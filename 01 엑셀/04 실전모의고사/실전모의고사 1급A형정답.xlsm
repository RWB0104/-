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150" windowWidth="26955" windowHeight="12495"/>
  </bookViews>
  <sheets>
    <sheet name="기본작업-1" sheetId="1" r:id="rId1"/>
    <sheet name="기본작업-2" sheetId="2" r:id="rId2"/>
    <sheet name="계산작업" sheetId="3" r:id="rId3"/>
    <sheet name="대리" sheetId="10" r:id="rId4"/>
    <sheet name="분석작업-1" sheetId="4" r:id="rId5"/>
    <sheet name="시나리오 요약" sheetId="11" r:id="rId6"/>
    <sheet name="분석작업-2" sheetId="6" r:id="rId7"/>
    <sheet name="기타작업-1" sheetId="7" r:id="rId8"/>
    <sheet name="기타작업-2" sheetId="8" r:id="rId9"/>
  </sheets>
  <functionGroups builtInGroupCount="17"/>
  <definedNames>
    <definedName name="_xlnm._FilterDatabase" localSheetId="1" hidden="1">'기본작업-2'!$A$3:$F$32</definedName>
    <definedName name="_xlnm.Criteria" localSheetId="1">'기본작업-2'!$A$34:$A$35</definedName>
    <definedName name="_xlnm.Extract" localSheetId="1">'기본작업-2'!$A$37:$D$37</definedName>
    <definedName name="_xlnm.Print_Area" localSheetId="1">'기본작업-2'!$A$1:$F$32</definedName>
    <definedName name="_xlnm.Print_Titles" localSheetId="1">'기본작업-2'!$3:$3</definedName>
  </definedNames>
  <calcPr calcId="145621"/>
  <pivotCaches>
    <pivotCache cacheId="32" r:id="rId10"/>
  </pivotCaches>
</workbook>
</file>

<file path=xl/calcChain.xml><?xml version="1.0" encoding="utf-8"?>
<calcChain xmlns="http://schemas.openxmlformats.org/spreadsheetml/2006/main">
  <c r="A35" i="2" l="1"/>
  <c r="C6" i="6" l="1"/>
  <c r="E46" i="3"/>
  <c r="B46" i="3"/>
  <c r="E45" i="3"/>
  <c r="B45" i="3"/>
  <c r="E44" i="3"/>
  <c r="B44" i="3"/>
  <c r="E43" i="3"/>
  <c r="B43" i="3"/>
  <c r="E42" i="3"/>
  <c r="B42" i="3"/>
  <c r="E41" i="3"/>
  <c r="B41" i="3"/>
  <c r="E40" i="3"/>
  <c r="B40" i="3"/>
  <c r="E39" i="3"/>
  <c r="B39" i="3"/>
  <c r="F6" i="3" a="1"/>
  <c r="F6" i="3" s="1"/>
  <c r="F5" i="3"/>
  <c r="F5" i="3" a="1"/>
  <c r="B5" i="3"/>
  <c r="F4" i="3" a="1"/>
  <c r="F4" i="3" s="1"/>
  <c r="B4" i="3"/>
  <c r="F3" i="3" a="1"/>
  <c r="F3" i="3" s="1"/>
  <c r="B3" i="3"/>
  <c r="F45" i="3"/>
  <c r="F46" i="3"/>
  <c r="F42" i="3"/>
  <c r="F39" i="3"/>
  <c r="F43" i="3"/>
  <c r="F44" i="3"/>
  <c r="F41" i="3"/>
  <c r="F40" i="3"/>
</calcChain>
</file>

<file path=xl/sharedStrings.xml><?xml version="1.0" encoding="utf-8"?>
<sst xmlns="http://schemas.openxmlformats.org/spreadsheetml/2006/main" count="375" uniqueCount="178">
  <si>
    <t>건물별 임대정보</t>
    <phoneticPr fontId="5" type="noConversion"/>
  </si>
  <si>
    <t>업종별 평균 근속년수</t>
    <phoneticPr fontId="5" type="noConversion"/>
  </si>
  <si>
    <t>분류</t>
  </si>
  <si>
    <t>업무</t>
  </si>
  <si>
    <t>평균학력</t>
  </si>
  <si>
    <t>평균근속년수</t>
  </si>
  <si>
    <t>평균경력</t>
  </si>
  <si>
    <t>임금근로자수</t>
  </si>
  <si>
    <t>시스템SW개발자</t>
  </si>
  <si>
    <t>개발</t>
  </si>
  <si>
    <t>통신케이블설치</t>
  </si>
  <si>
    <t>애니메이터</t>
  </si>
  <si>
    <t>관리</t>
  </si>
  <si>
    <t>PC수리원</t>
  </si>
  <si>
    <t>웹디자이너</t>
  </si>
  <si>
    <t>PC강사</t>
  </si>
  <si>
    <t>SM관리자</t>
  </si>
  <si>
    <t>정보통신관리자</t>
  </si>
  <si>
    <t>웹개발자</t>
  </si>
  <si>
    <t>멀티미디어기획</t>
  </si>
  <si>
    <t>응용SW개발자</t>
  </si>
  <si>
    <t>IT컨설턴트</t>
  </si>
  <si>
    <t>보안전문가</t>
  </si>
  <si>
    <t>시스템설계/분석</t>
  </si>
  <si>
    <t>조건</t>
    <phoneticPr fontId="4" type="noConversion"/>
  </si>
  <si>
    <t>분류</t>
    <phoneticPr fontId="5" type="noConversion"/>
  </si>
  <si>
    <t>업무</t>
    <phoneticPr fontId="4" type="noConversion"/>
  </si>
  <si>
    <t>평균학력</t>
    <phoneticPr fontId="5" type="noConversion"/>
  </si>
  <si>
    <t>임금근로자수</t>
    <phoneticPr fontId="5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</si>
  <si>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</si>
  <si>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</si>
  <si>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배달량</t>
    <phoneticPr fontId="5" type="noConversion"/>
  </si>
  <si>
    <t>배달건수</t>
    <phoneticPr fontId="5" type="noConversion"/>
  </si>
  <si>
    <t>배달지역</t>
    <phoneticPr fontId="5" type="noConversion"/>
  </si>
  <si>
    <t>배달담당</t>
    <phoneticPr fontId="5" type="noConversion"/>
  </si>
  <si>
    <t>산남지구</t>
    <phoneticPr fontId="5" type="noConversion"/>
  </si>
  <si>
    <t>산북지구</t>
    <phoneticPr fontId="5" type="noConversion"/>
  </si>
  <si>
    <t>산서지구</t>
    <phoneticPr fontId="5" type="noConversion"/>
  </si>
  <si>
    <t>산동지구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</si>
  <si>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</si>
  <si>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t>일자</t>
    <phoneticPr fontId="5" type="noConversion"/>
  </si>
  <si>
    <t>배달시간(분)</t>
  </si>
  <si>
    <t>비고</t>
    <phoneticPr fontId="5" type="noConversion"/>
  </si>
  <si>
    <t>도부영</t>
    <phoneticPr fontId="5" type="noConversion"/>
  </si>
  <si>
    <t>배무영</t>
  </si>
  <si>
    <t>장동욱</t>
    <phoneticPr fontId="5" type="noConversion"/>
  </si>
  <si>
    <t>배달누락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</si>
  <si>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4]</t>
    </r>
    <phoneticPr fontId="5" type="noConversion"/>
  </si>
  <si>
    <t>제품코드</t>
    <phoneticPr fontId="5" type="noConversion"/>
  </si>
  <si>
    <t>제품코드2</t>
    <phoneticPr fontId="5" type="noConversion"/>
  </si>
  <si>
    <t>품명</t>
    <phoneticPr fontId="5" type="noConversion"/>
  </si>
  <si>
    <t>판매량</t>
    <phoneticPr fontId="5" type="noConversion"/>
  </si>
  <si>
    <t>판매금액</t>
    <phoneticPr fontId="5" type="noConversion"/>
  </si>
  <si>
    <t>이익금</t>
    <phoneticPr fontId="5" type="noConversion"/>
  </si>
  <si>
    <t>y201k</t>
  </si>
  <si>
    <t>곰인형</t>
    <phoneticPr fontId="5" type="noConversion"/>
  </si>
  <si>
    <t>b450n</t>
  </si>
  <si>
    <t>놀이동산</t>
    <phoneticPr fontId="5" type="noConversion"/>
  </si>
  <si>
    <t>제품 코드표</t>
    <phoneticPr fontId="5" type="noConversion"/>
  </si>
  <si>
    <t>y203d</t>
  </si>
  <si>
    <t>딸랑이</t>
    <phoneticPr fontId="5" type="noConversion"/>
  </si>
  <si>
    <t>코드</t>
    <phoneticPr fontId="5" type="noConversion"/>
  </si>
  <si>
    <t>판매단가</t>
    <phoneticPr fontId="5" type="noConversion"/>
  </si>
  <si>
    <t>할인율</t>
    <phoneticPr fontId="5" type="noConversion"/>
  </si>
  <si>
    <t>y012g</t>
  </si>
  <si>
    <t>꼬마인형</t>
    <phoneticPr fontId="5" type="noConversion"/>
  </si>
  <si>
    <t>k</t>
    <phoneticPr fontId="5" type="noConversion"/>
  </si>
  <si>
    <t>y305k</t>
  </si>
  <si>
    <t>n</t>
    <phoneticPr fontId="5" type="noConversion"/>
  </si>
  <si>
    <t>y365y</t>
  </si>
  <si>
    <t>우유병</t>
    <phoneticPr fontId="5" type="noConversion"/>
  </si>
  <si>
    <t>d</t>
    <phoneticPr fontId="5" type="noConversion"/>
  </si>
  <si>
    <t>b304n</t>
  </si>
  <si>
    <t>g</t>
    <phoneticPr fontId="5" type="noConversion"/>
  </si>
  <si>
    <t>b123d</t>
  </si>
  <si>
    <t>y</t>
    <phoneticPr fontId="5" type="noConversion"/>
  </si>
  <si>
    <t>성명</t>
  </si>
  <si>
    <t>부서</t>
  </si>
  <si>
    <t>직위</t>
  </si>
  <si>
    <t>인사고과</t>
  </si>
  <si>
    <t>기본급</t>
  </si>
  <si>
    <t>상여비율</t>
  </si>
  <si>
    <t>수당</t>
  </si>
  <si>
    <t>총급여액</t>
  </si>
  <si>
    <t>박덕우</t>
  </si>
  <si>
    <t>기획부</t>
  </si>
  <si>
    <t>부장</t>
  </si>
  <si>
    <t>하나영</t>
  </si>
  <si>
    <t>홍보부</t>
  </si>
  <si>
    <t>사원</t>
  </si>
  <si>
    <t>호지명</t>
  </si>
  <si>
    <t>김동지</t>
  </si>
  <si>
    <t>판매부</t>
  </si>
  <si>
    <t>대리</t>
  </si>
  <si>
    <t>한아름</t>
  </si>
  <si>
    <t>지연학</t>
  </si>
  <si>
    <t>과장</t>
  </si>
  <si>
    <t>이진경</t>
  </si>
  <si>
    <t>오여령</t>
  </si>
  <si>
    <t>주지연</t>
  </si>
  <si>
    <t>한승수</t>
  </si>
  <si>
    <t>민지환</t>
  </si>
  <si>
    <t>이세현</t>
  </si>
  <si>
    <t>시나리오 요약</t>
  </si>
  <si>
    <t>현재 값:</t>
  </si>
  <si>
    <t>대출금 증가</t>
  </si>
  <si>
    <t>대출금 감소</t>
  </si>
  <si>
    <t>만든 사람 김우경 날짜 2017-01-03</t>
  </si>
  <si>
    <t>변경 셀:</t>
  </si>
  <si>
    <t>$C$3</t>
  </si>
  <si>
    <t>결과 셀:</t>
  </si>
  <si>
    <t>$C$6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</si>
  <si>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</si>
  <si>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</si>
  <si>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</si>
  <si>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대출금 상환 금액</t>
  </si>
  <si>
    <t>대출금</t>
  </si>
  <si>
    <t>연이율</t>
  </si>
  <si>
    <t>상환기간(개월)</t>
  </si>
  <si>
    <t>상환금액(월)</t>
  </si>
  <si>
    <t>신입사원 명단</t>
    <phoneticPr fontId="5" type="noConversion"/>
  </si>
  <si>
    <t>성명</t>
    <phoneticPr fontId="5" type="noConversion"/>
  </si>
  <si>
    <t>성별</t>
    <phoneticPr fontId="5" type="noConversion"/>
  </si>
  <si>
    <t>TOEIC</t>
    <phoneticPr fontId="5" type="noConversion"/>
  </si>
  <si>
    <t>TOEFL</t>
    <phoneticPr fontId="5" type="noConversion"/>
  </si>
  <si>
    <t>졸업학점</t>
    <phoneticPr fontId="5" type="noConversion"/>
  </si>
  <si>
    <t>면접점수</t>
    <phoneticPr fontId="5" type="noConversion"/>
  </si>
  <si>
    <t>김근태</t>
    <phoneticPr fontId="5" type="noConversion"/>
  </si>
  <si>
    <t>남</t>
    <phoneticPr fontId="5" type="noConversion"/>
  </si>
  <si>
    <t>남연희</t>
    <phoneticPr fontId="5" type="noConversion"/>
  </si>
  <si>
    <t>여</t>
    <phoneticPr fontId="5" type="noConversion"/>
  </si>
  <si>
    <t>류성미</t>
    <phoneticPr fontId="5" type="noConversion"/>
  </si>
  <si>
    <t>박선효</t>
    <phoneticPr fontId="5" type="noConversion"/>
  </si>
  <si>
    <t>손정은</t>
    <phoneticPr fontId="5" type="noConversion"/>
  </si>
  <si>
    <t>오성빈</t>
    <phoneticPr fontId="5" type="noConversion"/>
  </si>
  <si>
    <t>남</t>
    <phoneticPr fontId="5" type="noConversion"/>
  </si>
  <si>
    <t>정창준</t>
    <phoneticPr fontId="5" type="noConversion"/>
  </si>
  <si>
    <t>호수</t>
    <phoneticPr fontId="5" type="noConversion"/>
  </si>
  <si>
    <t>성명</t>
    <phoneticPr fontId="5" type="noConversion"/>
  </si>
  <si>
    <t>101호</t>
  </si>
  <si>
    <t>101호</t>
    <phoneticPr fontId="5" type="noConversion"/>
  </si>
  <si>
    <t>김구자</t>
    <phoneticPr fontId="5" type="noConversion"/>
  </si>
  <si>
    <t>102호</t>
  </si>
  <si>
    <t>102호</t>
    <phoneticPr fontId="5" type="noConversion"/>
  </si>
  <si>
    <t>박선량</t>
    <phoneticPr fontId="5" type="noConversion"/>
  </si>
  <si>
    <t>103호</t>
    <phoneticPr fontId="5" type="noConversion"/>
  </si>
  <si>
    <t>이시끌</t>
    <phoneticPr fontId="5" type="noConversion"/>
  </si>
  <si>
    <t>104호</t>
    <phoneticPr fontId="5" type="noConversion"/>
  </si>
  <si>
    <t>최만득</t>
    <phoneticPr fontId="5" type="noConversion"/>
  </si>
  <si>
    <t>건물번호</t>
  </si>
  <si>
    <t>건물이름</t>
  </si>
  <si>
    <t>건물주번호</t>
  </si>
  <si>
    <t>평형</t>
  </si>
  <si>
    <t>월세금액</t>
  </si>
  <si>
    <t>임대시작일</t>
  </si>
  <si>
    <t>임대종료일</t>
  </si>
  <si>
    <t>A-004</t>
  </si>
  <si>
    <t>한국빌딩</t>
  </si>
  <si>
    <t>A-017</t>
  </si>
  <si>
    <t>월드빌딩</t>
  </si>
  <si>
    <t>(모두)</t>
  </si>
  <si>
    <t>총합계</t>
  </si>
  <si>
    <t>최대값 : 기본급</t>
  </si>
  <si>
    <t>최대값 : 수당</t>
  </si>
  <si>
    <t>과장 요약</t>
  </si>
  <si>
    <t>대리 요약</t>
  </si>
  <si>
    <t>부장 요약</t>
  </si>
  <si>
    <t>사원 요약</t>
  </si>
  <si>
    <t>합계 : 총수령금액</t>
  </si>
  <si>
    <t>성명</t>
    <phoneticPr fontId="4" type="noConversion"/>
  </si>
  <si>
    <t>수도세</t>
    <phoneticPr fontId="5" type="noConversion"/>
  </si>
  <si>
    <t>전기세</t>
    <phoneticPr fontId="5" type="noConversion"/>
  </si>
  <si>
    <t>납입기간</t>
    <phoneticPr fontId="5" type="noConversion"/>
  </si>
  <si>
    <t>김구자</t>
    <phoneticPr fontId="4" type="noConversion"/>
  </si>
  <si>
    <t>박선량</t>
    <phoneticPr fontId="4" type="noConversion"/>
  </si>
  <si>
    <t>납기내</t>
    <phoneticPr fontId="4" type="noConversion"/>
  </si>
  <si>
    <t>납기후</t>
    <phoneticPr fontId="4" type="noConversion"/>
  </si>
  <si>
    <t>[표1] 공과금 관리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</si>
</sst>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₩&quot;#,##0;[Red]\-&quot;₩&quot;#,##0"/>
    <numFmt numFmtId="41" formatCode="_-* #,##0_-;\-* #,##0_-;_-* &quot;-&quot;_-;_-@_-"/>
    <numFmt numFmtId="176" formatCode="0.00_ "/>
  </numFmts>
  <fonts count="19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6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4" tint="0.79998168889431442"/>
        <bgColor theme="4" tint="0.79998168889431442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theme="4"/>
      </right>
      <top style="thin">
        <color indexed="8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indexed="22"/>
      </bottom>
      <diagonal/>
    </border>
    <border>
      <left/>
      <right/>
      <top style="thin">
        <color theme="4"/>
      </top>
      <bottom style="thin">
        <color indexed="22"/>
      </bottom>
      <diagonal/>
    </border>
    <border>
      <left/>
      <right style="thin">
        <color theme="4"/>
      </right>
      <top style="thin">
        <color theme="4"/>
      </top>
      <bottom style="thin">
        <color indexed="22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">
    <xf numFmtId="0" fontId="0" fillId="0" borderId="0">
      <alignment vertical="center"/>
    </xf>
    <xf numFmtId="0" fontId="2" fillId="0" borderId="0"/>
    <xf numFmtId="41" fontId="2" fillId="0" borderId="0" applyFont="0" applyFill="0" applyBorder="0" applyAlignment="0" applyProtection="0"/>
    <xf numFmtId="0" fontId="2" fillId="0" borderId="0"/>
  </cellStyleXfs>
  <cellXfs count="79">
    <xf numFmtId="0" fontId="0" fillId="0" borderId="0" xfId="0">
      <alignment vertical="center"/>
    </xf>
    <xf numFmtId="0" fontId="3" fillId="0" borderId="0" xfId="1" applyFont="1" applyAlignment="1">
      <alignment horizontal="left"/>
    </xf>
    <xf numFmtId="0" fontId="3" fillId="0" borderId="0" xfId="1" applyFont="1"/>
    <xf numFmtId="0" fontId="7" fillId="0" borderId="1" xfId="1" applyFont="1" applyBorder="1" applyAlignment="1">
      <alignment horizontal="center"/>
    </xf>
    <xf numFmtId="0" fontId="3" fillId="0" borderId="1" xfId="1" applyFont="1" applyBorder="1"/>
    <xf numFmtId="0" fontId="3" fillId="0" borderId="1" xfId="1" applyFont="1" applyBorder="1" applyAlignment="1">
      <alignment horizontal="center"/>
    </xf>
    <xf numFmtId="0" fontId="3" fillId="0" borderId="0" xfId="1" applyFont="1" applyFill="1" applyBorder="1" applyAlignment="1">
      <alignment vertical="center"/>
    </xf>
    <xf numFmtId="0" fontId="3" fillId="0" borderId="0" xfId="1" applyFont="1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0" borderId="0" xfId="1" applyFont="1" applyFill="1"/>
    <xf numFmtId="0" fontId="3" fillId="0" borderId="1" xfId="1" applyFont="1" applyFill="1" applyBorder="1" applyAlignment="1">
      <alignment horizontal="center"/>
    </xf>
    <xf numFmtId="0" fontId="3" fillId="0" borderId="0" xfId="1" applyFont="1" applyFill="1" applyBorder="1"/>
    <xf numFmtId="14" fontId="3" fillId="0" borderId="1" xfId="1" applyNumberFormat="1" applyFont="1" applyBorder="1" applyAlignment="1">
      <alignment horizontal="center"/>
    </xf>
    <xf numFmtId="0" fontId="3" fillId="0" borderId="1" xfId="1" applyFont="1" applyFill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41" fontId="3" fillId="0" borderId="1" xfId="2" applyFont="1" applyBorder="1"/>
    <xf numFmtId="41" fontId="3" fillId="0" borderId="1" xfId="1" applyNumberFormat="1" applyFont="1" applyBorder="1"/>
    <xf numFmtId="9" fontId="3" fillId="0" borderId="1" xfId="1" applyNumberFormat="1" applyFont="1" applyBorder="1"/>
    <xf numFmtId="0" fontId="3" fillId="0" borderId="1" xfId="1" applyFont="1" applyFill="1" applyBorder="1"/>
    <xf numFmtId="49" fontId="3" fillId="0" borderId="0" xfId="1" applyNumberFormat="1" applyFont="1"/>
    <xf numFmtId="0" fontId="9" fillId="3" borderId="2" xfId="1" applyNumberFormat="1" applyFont="1" applyFill="1" applyBorder="1" applyAlignment="1"/>
    <xf numFmtId="0" fontId="9" fillId="3" borderId="3" xfId="1" applyNumberFormat="1" applyFont="1" applyFill="1" applyBorder="1" applyAlignment="1"/>
    <xf numFmtId="0" fontId="9" fillId="3" borderId="4" xfId="1" applyNumberFormat="1" applyFont="1" applyFill="1" applyBorder="1" applyAlignment="1"/>
    <xf numFmtId="0" fontId="3" fillId="0" borderId="5" xfId="1" applyNumberFormat="1" applyFont="1" applyBorder="1" applyAlignment="1"/>
    <xf numFmtId="0" fontId="3" fillId="0" borderId="6" xfId="1" applyNumberFormat="1" applyFont="1" applyBorder="1" applyAlignment="1"/>
    <xf numFmtId="0" fontId="3" fillId="0" borderId="7" xfId="1" applyNumberFormat="1" applyFont="1" applyBorder="1" applyAlignment="1"/>
    <xf numFmtId="0" fontId="3" fillId="0" borderId="8" xfId="1" applyNumberFormat="1" applyFont="1" applyBorder="1" applyAlignment="1"/>
    <xf numFmtId="0" fontId="3" fillId="0" borderId="9" xfId="1" applyNumberFormat="1" applyFont="1" applyBorder="1" applyAlignment="1"/>
    <xf numFmtId="0" fontId="3" fillId="0" borderId="10" xfId="1" applyNumberFormat="1" applyFont="1" applyBorder="1" applyAlignment="1"/>
    <xf numFmtId="0" fontId="10" fillId="4" borderId="11" xfId="0" applyFont="1" applyFill="1" applyBorder="1" applyAlignment="1">
      <alignment horizontal="left" vertical="center"/>
    </xf>
    <xf numFmtId="0" fontId="11" fillId="4" borderId="11" xfId="0" applyFont="1" applyFill="1" applyBorder="1" applyAlignment="1">
      <alignment horizontal="left" vertical="center"/>
    </xf>
    <xf numFmtId="0" fontId="10" fillId="4" borderId="11" xfId="0" applyFont="1" applyFill="1" applyBorder="1" applyAlignment="1">
      <alignment horizontal="right" vertical="center"/>
    </xf>
    <xf numFmtId="0" fontId="11" fillId="4" borderId="12" xfId="0" applyFont="1" applyFill="1" applyBorder="1" applyAlignment="1">
      <alignment horizontal="left" vertical="center"/>
    </xf>
    <xf numFmtId="0" fontId="10" fillId="4" borderId="12" xfId="0" applyFont="1" applyFill="1" applyBorder="1" applyAlignment="1">
      <alignment horizontal="right" vertical="center"/>
    </xf>
    <xf numFmtId="0" fontId="12" fillId="5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13" fillId="0" borderId="0" xfId="0" applyFont="1" applyFill="1" applyBorder="1" applyAlignment="1">
      <alignment vertical="top" wrapText="1"/>
    </xf>
    <xf numFmtId="0" fontId="14" fillId="5" borderId="13" xfId="0" applyFont="1" applyFill="1" applyBorder="1" applyAlignment="1">
      <alignment horizontal="left" vertical="center"/>
    </xf>
    <xf numFmtId="0" fontId="15" fillId="5" borderId="13" xfId="0" applyFont="1" applyFill="1" applyBorder="1" applyAlignment="1">
      <alignment horizontal="left" vertical="center"/>
    </xf>
    <xf numFmtId="0" fontId="0" fillId="0" borderId="13" xfId="0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6" borderId="0" xfId="0" applyNumberFormat="1" applyFill="1" applyBorder="1" applyAlignment="1">
      <alignment vertical="center"/>
    </xf>
    <xf numFmtId="0" fontId="12" fillId="5" borderId="14" xfId="0" applyFont="1" applyFill="1" applyBorder="1" applyAlignment="1">
      <alignment horizontal="left" vertical="center"/>
    </xf>
    <xf numFmtId="6" fontId="0" fillId="0" borderId="14" xfId="0" applyNumberFormat="1" applyFill="1" applyBorder="1" applyAlignment="1">
      <alignment vertical="center"/>
    </xf>
    <xf numFmtId="0" fontId="3" fillId="0" borderId="17" xfId="1" applyFont="1" applyBorder="1"/>
    <xf numFmtId="41" fontId="8" fillId="0" borderId="18" xfId="2" applyFont="1" applyBorder="1"/>
    <xf numFmtId="0" fontId="3" fillId="0" borderId="19" xfId="1" applyFont="1" applyBorder="1"/>
    <xf numFmtId="10" fontId="3" fillId="0" borderId="20" xfId="1" applyNumberFormat="1" applyFont="1" applyBorder="1"/>
    <xf numFmtId="0" fontId="3" fillId="0" borderId="20" xfId="1" applyFont="1" applyBorder="1"/>
    <xf numFmtId="0" fontId="3" fillId="0" borderId="21" xfId="1" applyFont="1" applyBorder="1"/>
    <xf numFmtId="6" fontId="3" fillId="0" borderId="22" xfId="1" applyNumberFormat="1" applyFont="1" applyBorder="1"/>
    <xf numFmtId="0" fontId="3" fillId="0" borderId="0" xfId="1" applyFont="1" applyFill="1" applyBorder="1" applyAlignment="1">
      <alignment horizontal="left"/>
    </xf>
    <xf numFmtId="0" fontId="17" fillId="0" borderId="1" xfId="3" applyFont="1" applyFill="1" applyBorder="1" applyAlignment="1">
      <alignment horizontal="center" vertical="center"/>
    </xf>
    <xf numFmtId="0" fontId="17" fillId="0" borderId="1" xfId="3" applyFont="1" applyFill="1" applyBorder="1" applyAlignment="1">
      <alignment vertical="center"/>
    </xf>
    <xf numFmtId="176" fontId="17" fillId="0" borderId="1" xfId="3" applyNumberFormat="1" applyFont="1" applyFill="1" applyBorder="1" applyAlignment="1">
      <alignment vertical="center"/>
    </xf>
    <xf numFmtId="0" fontId="18" fillId="0" borderId="0" xfId="1" applyFont="1"/>
    <xf numFmtId="0" fontId="7" fillId="0" borderId="0" xfId="1" applyFont="1" applyAlignment="1">
      <alignment horizontal="center"/>
    </xf>
    <xf numFmtId="0" fontId="0" fillId="7" borderId="23" xfId="0" applyFont="1" applyFill="1" applyBorder="1">
      <alignment vertical="center"/>
    </xf>
    <xf numFmtId="0" fontId="0" fillId="7" borderId="24" xfId="0" applyFont="1" applyFill="1" applyBorder="1">
      <alignment vertical="center"/>
    </xf>
    <xf numFmtId="22" fontId="0" fillId="7" borderId="24" xfId="0" applyNumberFormat="1" applyFont="1" applyFill="1" applyBorder="1">
      <alignment vertical="center"/>
    </xf>
    <xf numFmtId="22" fontId="0" fillId="7" borderId="25" xfId="0" applyNumberFormat="1" applyFont="1" applyFill="1" applyBorder="1">
      <alignment vertical="center"/>
    </xf>
    <xf numFmtId="0" fontId="1" fillId="3" borderId="26" xfId="0" applyFont="1" applyFill="1" applyBorder="1">
      <alignment vertical="center"/>
    </xf>
    <xf numFmtId="0" fontId="1" fillId="3" borderId="27" xfId="0" applyFont="1" applyFill="1" applyBorder="1">
      <alignment vertical="center"/>
    </xf>
    <xf numFmtId="0" fontId="1" fillId="3" borderId="28" xfId="0" applyFont="1" applyFill="1" applyBorder="1">
      <alignment vertical="center"/>
    </xf>
    <xf numFmtId="0" fontId="0" fillId="7" borderId="26" xfId="0" applyFont="1" applyFill="1" applyBorder="1">
      <alignment vertical="center"/>
    </xf>
    <xf numFmtId="0" fontId="0" fillId="7" borderId="27" xfId="0" applyFont="1" applyFill="1" applyBorder="1">
      <alignment vertical="center"/>
    </xf>
    <xf numFmtId="22" fontId="0" fillId="7" borderId="27" xfId="0" applyNumberFormat="1" applyFont="1" applyFill="1" applyBorder="1">
      <alignment vertical="center"/>
    </xf>
    <xf numFmtId="22" fontId="0" fillId="7" borderId="28" xfId="0" applyNumberFormat="1" applyFont="1" applyFill="1" applyBorder="1">
      <alignment vertical="center"/>
    </xf>
    <xf numFmtId="0" fontId="0" fillId="0" borderId="26" xfId="0" applyFont="1" applyBorder="1">
      <alignment vertical="center"/>
    </xf>
    <xf numFmtId="0" fontId="0" fillId="0" borderId="27" xfId="0" applyFont="1" applyBorder="1">
      <alignment vertical="center"/>
    </xf>
    <xf numFmtId="22" fontId="0" fillId="0" borderId="27" xfId="0" applyNumberFormat="1" applyFont="1" applyBorder="1">
      <alignment vertical="center"/>
    </xf>
    <xf numFmtId="22" fontId="0" fillId="0" borderId="28" xfId="0" applyNumberFormat="1" applyFont="1" applyBorder="1">
      <alignment vertical="center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0" fontId="6" fillId="0" borderId="0" xfId="1" applyFont="1" applyAlignment="1">
      <alignment horizontal="center"/>
    </xf>
    <xf numFmtId="0" fontId="7" fillId="0" borderId="15" xfId="1" applyFont="1" applyBorder="1" applyAlignment="1">
      <alignment horizontal="center"/>
    </xf>
    <xf numFmtId="0" fontId="7" fillId="0" borderId="16" xfId="1" applyFont="1" applyBorder="1" applyAlignment="1">
      <alignment horizontal="center"/>
    </xf>
    <xf numFmtId="0" fontId="3" fillId="0" borderId="0" xfId="1" applyFont="1" applyFill="1" applyBorder="1" applyAlignment="1">
      <alignment horizontal="center"/>
    </xf>
  </cellXfs>
  <cellStyles count="4">
    <cellStyle name="쉼표 [0] 2" xfId="2"/>
    <cellStyle name="표준" xfId="0" builtinId="0"/>
    <cellStyle name="표준 2" xfId="1"/>
    <cellStyle name="표준_C01-1" xfId="3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u="sng">
                <a:solidFill>
                  <a:srgbClr val="0070C0"/>
                </a:solidFill>
              </a:defRPr>
            </a:pPr>
            <a:r>
              <a:rPr lang="en-US" altLang="en-US" sz="1400" u="sng">
                <a:solidFill>
                  <a:srgbClr val="0070C0"/>
                </a:solidFill>
              </a:rPr>
              <a:t>TOEIC/TOEFL </a:t>
            </a:r>
            <a:r>
              <a:rPr lang="ko-KR" altLang="en-US" sz="1400" u="sng">
                <a:solidFill>
                  <a:srgbClr val="0070C0"/>
                </a:solidFill>
              </a:rPr>
              <a:t>점수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TOEIC</c:v>
                </c:pt>
              </c:strCache>
            </c:strRef>
          </c:tx>
          <c:spPr>
            <a:blipFill>
              <a:blip xmlns:r="http://schemas.openxmlformats.org/officeDocument/2006/relationships" r:embed="rId1"/>
              <a:tile tx="0" ty="0" sx="100000" sy="100000" flip="none" algn="tl"/>
            </a:blipFill>
          </c:spPr>
          <c:invertIfNegative val="0"/>
          <c:dLbls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trendlineType val="movingAvg"/>
            <c:period val="3"/>
            <c:dispRSqr val="0"/>
            <c:dispEq val="0"/>
          </c:trendline>
          <c:cat>
            <c:strRef>
              <c:f>'기타작업-1'!$A$4:$A$10</c:f>
              <c:strCache>
                <c:ptCount val="7"/>
                <c:pt idx="0">
                  <c:v>김근태</c:v>
                </c:pt>
                <c:pt idx="1">
                  <c:v>남연희</c:v>
                </c:pt>
                <c:pt idx="2">
                  <c:v>류성미</c:v>
                </c:pt>
                <c:pt idx="3">
                  <c:v>박선효</c:v>
                </c:pt>
                <c:pt idx="4">
                  <c:v>손정은</c:v>
                </c:pt>
                <c:pt idx="5">
                  <c:v>오성빈</c:v>
                </c:pt>
                <c:pt idx="6">
                  <c:v>정창준</c:v>
                </c:pt>
              </c:strCache>
            </c:strRef>
          </c:cat>
          <c:val>
            <c:numRef>
              <c:f>'기타작업-1'!$C$4:$C$10</c:f>
              <c:numCache>
                <c:formatCode>General</c:formatCode>
                <c:ptCount val="7"/>
                <c:pt idx="0">
                  <c:v>720</c:v>
                </c:pt>
                <c:pt idx="1">
                  <c:v>710</c:v>
                </c:pt>
                <c:pt idx="2">
                  <c:v>840</c:v>
                </c:pt>
                <c:pt idx="3">
                  <c:v>775</c:v>
                </c:pt>
                <c:pt idx="4">
                  <c:v>765</c:v>
                </c:pt>
                <c:pt idx="5">
                  <c:v>665</c:v>
                </c:pt>
                <c:pt idx="6">
                  <c:v>875</c:v>
                </c:pt>
              </c:numCache>
            </c:numRef>
          </c:val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TOEFL</c:v>
                </c:pt>
              </c:strCache>
            </c:strRef>
          </c:tx>
          <c:invertIfNegative val="0"/>
          <c:cat>
            <c:strRef>
              <c:f>'기타작업-1'!$A$4:$A$10</c:f>
              <c:strCache>
                <c:ptCount val="7"/>
                <c:pt idx="0">
                  <c:v>김근태</c:v>
                </c:pt>
                <c:pt idx="1">
                  <c:v>남연희</c:v>
                </c:pt>
                <c:pt idx="2">
                  <c:v>류성미</c:v>
                </c:pt>
                <c:pt idx="3">
                  <c:v>박선효</c:v>
                </c:pt>
                <c:pt idx="4">
                  <c:v>손정은</c:v>
                </c:pt>
                <c:pt idx="5">
                  <c:v>오성빈</c:v>
                </c:pt>
                <c:pt idx="6">
                  <c:v>정창준</c:v>
                </c:pt>
              </c:strCache>
            </c:strRef>
          </c:cat>
          <c:val>
            <c:numRef>
              <c:f>'기타작업-1'!$D$4:$D$10</c:f>
              <c:numCache>
                <c:formatCode>General</c:formatCode>
                <c:ptCount val="7"/>
                <c:pt idx="0">
                  <c:v>498</c:v>
                </c:pt>
                <c:pt idx="1">
                  <c:v>498</c:v>
                </c:pt>
                <c:pt idx="2">
                  <c:v>556</c:v>
                </c:pt>
                <c:pt idx="3">
                  <c:v>510</c:v>
                </c:pt>
                <c:pt idx="4">
                  <c:v>499</c:v>
                </c:pt>
                <c:pt idx="5">
                  <c:v>412</c:v>
                </c:pt>
                <c:pt idx="6">
                  <c:v>534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013120"/>
        <c:axId val="155015040"/>
      </c:barChart>
      <c:catAx>
        <c:axId val="155013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사원명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015040"/>
        <c:crosses val="autoZero"/>
        <c:auto val="1"/>
        <c:lblAlgn val="ctr"/>
        <c:lblOffset val="100"/>
        <c:noMultiLvlLbl val="0"/>
      </c:catAx>
      <c:valAx>
        <c:axId val="155015040"/>
        <c:scaling>
          <c:orientation val="minMax"/>
          <c:max val="900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ko-KR" altLang="en-US"/>
                  <a:t>점수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013120"/>
        <c:crosses val="autoZero"/>
        <c:crossBetween val="between"/>
        <c:majorUnit val="300"/>
      </c:valAx>
    </c:plotArea>
    <c:legend>
      <c:legendPos val="t"/>
      <c:overlay val="0"/>
      <c:spPr>
        <a:solidFill>
          <a:srgbClr val="FFFF00"/>
        </a:solidFill>
        <a:effectLst>
          <a:innerShdw blurRad="114300">
            <a:prstClr val="black"/>
          </a:innerShdw>
        </a:effectLst>
      </c:spPr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시나리오 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0</xdr:row>
      <xdr:rowOff>0</xdr:rowOff>
    </xdr:from>
    <xdr:to>
      <xdr:col>8</xdr:col>
      <xdr:colOff>723900</xdr:colOff>
      <xdr:row>0</xdr:row>
      <xdr:rowOff>0</xdr:rowOff>
    </xdr:to>
    <xdr:sp macro="" textlink="">
      <xdr:nvSpPr>
        <xdr:cNvPr id="2" name="AutoShape 1"/>
        <xdr:cNvSpPr>
          <a:spLocks noChangeArrowheads="1"/>
        </xdr:cNvSpPr>
      </xdr:nvSpPr>
      <xdr:spPr bwMode="auto">
        <a:xfrm>
          <a:off x="4991100" y="0"/>
          <a:ext cx="1323975" cy="0"/>
        </a:xfrm>
        <a:prstGeom prst="ribbon2">
          <a:avLst>
            <a:gd name="adj1" fmla="val 12500"/>
            <a:gd name="adj2" fmla="val 500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판매금액</a:t>
          </a:r>
        </a:p>
      </xdr:txBody>
    </xdr:sp>
    <xdr:clientData/>
  </xdr:twoCellAnchor>
  <xdr:twoCellAnchor>
    <xdr:from>
      <xdr:col>7</xdr:col>
      <xdr:colOff>19050</xdr:colOff>
      <xdr:row>0</xdr:row>
      <xdr:rowOff>0</xdr:rowOff>
    </xdr:from>
    <xdr:to>
      <xdr:col>8</xdr:col>
      <xdr:colOff>733425</xdr:colOff>
      <xdr:row>0</xdr:row>
      <xdr:rowOff>0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4962525" y="0"/>
          <a:ext cx="1352550" cy="0"/>
        </a:xfrm>
        <a:prstGeom prst="ribbon2">
          <a:avLst>
            <a:gd name="adj1" fmla="val 12500"/>
            <a:gd name="adj2" fmla="val 500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셀서식</a:t>
          </a: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7</xdr:col>
      <xdr:colOff>0</xdr:colOff>
      <xdr:row>26</xdr:row>
      <xdr:rowOff>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</xdr:row>
          <xdr:rowOff>0</xdr:rowOff>
        </xdr:from>
        <xdr:to>
          <xdr:col>5</xdr:col>
          <xdr:colOff>19050</xdr:colOff>
          <xdr:row>2</xdr:row>
          <xdr:rowOff>133350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7.661740162039" createdVersion="4" refreshedVersion="4" minRefreshableVersion="3" recordCount="12">
  <cacheSource type="worksheet">
    <worksheetSource ref="A2:H14" sheet="분석작업-1"/>
  </cacheSource>
  <cacheFields count="9">
    <cacheField name="성명" numFmtId="0">
      <sharedItems count="12">
        <s v="박덕우"/>
        <s v="하나영"/>
        <s v="호지명"/>
        <s v="김동지"/>
        <s v="한아름"/>
        <s v="지연학"/>
        <s v="이진경"/>
        <s v="오여령"/>
        <s v="주지연"/>
        <s v="한승수"/>
        <s v="민지환"/>
        <s v="이세현"/>
      </sharedItems>
    </cacheField>
    <cacheField name="부서" numFmtId="0">
      <sharedItems count="3">
        <s v="기획부"/>
        <s v="홍보부"/>
        <s v="판매부"/>
      </sharedItems>
    </cacheField>
    <cacheField name="직위" numFmtId="0">
      <sharedItems count="4">
        <s v="부장"/>
        <s v="사원"/>
        <s v="대리"/>
        <s v="과장"/>
      </sharedItems>
    </cacheField>
    <cacheField name="인사고과" numFmtId="0">
      <sharedItems containsSemiMixedTypes="0" containsString="0" containsNumber="1" containsInteger="1" minValue="6" maxValue="30"/>
    </cacheField>
    <cacheField name="기본급" numFmtId="0">
      <sharedItems containsSemiMixedTypes="0" containsString="0" containsNumber="1" containsInteger="1" minValue="995000" maxValue="1450000"/>
    </cacheField>
    <cacheField name="상여비율" numFmtId="0">
      <sharedItems containsSemiMixedTypes="0" containsString="0" containsNumber="1" minValue="0.03" maxValue="0.1"/>
    </cacheField>
    <cacheField name="수당" numFmtId="0">
      <sharedItems containsSemiMixedTypes="0" containsString="0" containsNumber="1" containsInteger="1" minValue="149250" maxValue="290000"/>
    </cacheField>
    <cacheField name="총급여액" numFmtId="0">
      <sharedItems containsSemiMixedTypes="0" containsString="0" containsNumber="1" containsInteger="1" minValue="1144250" maxValue="1740000"/>
    </cacheField>
    <cacheField name="총수령금액" numFmtId="0" formula=" SUM(기본급,수당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x v="0"/>
    <n v="30"/>
    <n v="1450000"/>
    <n v="0.1"/>
    <n v="290000"/>
    <n v="1740000"/>
  </r>
  <r>
    <x v="1"/>
    <x v="1"/>
    <x v="1"/>
    <n v="24"/>
    <n v="1055000"/>
    <n v="7.0000000000000007E-2"/>
    <n v="179350"/>
    <n v="1234350"/>
  </r>
  <r>
    <x v="2"/>
    <x v="0"/>
    <x v="1"/>
    <n v="19"/>
    <n v="1125000"/>
    <n v="0.05"/>
    <n v="168750"/>
    <n v="1293750"/>
  </r>
  <r>
    <x v="3"/>
    <x v="2"/>
    <x v="2"/>
    <n v="6"/>
    <n v="1200000"/>
    <n v="0.03"/>
    <n v="156000"/>
    <n v="1356000"/>
  </r>
  <r>
    <x v="4"/>
    <x v="1"/>
    <x v="0"/>
    <n v="28"/>
    <n v="1450000"/>
    <n v="7.0000000000000007E-2"/>
    <n v="246500"/>
    <n v="1696500"/>
  </r>
  <r>
    <x v="5"/>
    <x v="0"/>
    <x v="3"/>
    <n v="20"/>
    <n v="1350000"/>
    <n v="7.0000000000000007E-2"/>
    <n v="229500"/>
    <n v="1579500"/>
  </r>
  <r>
    <x v="6"/>
    <x v="2"/>
    <x v="0"/>
    <n v="24"/>
    <n v="1450000"/>
    <n v="7.0000000000000007E-2"/>
    <n v="246500"/>
    <n v="1696500"/>
  </r>
  <r>
    <x v="7"/>
    <x v="1"/>
    <x v="2"/>
    <n v="15"/>
    <n v="1200000"/>
    <n v="0.05"/>
    <n v="180000"/>
    <n v="1380000"/>
  </r>
  <r>
    <x v="8"/>
    <x v="0"/>
    <x v="2"/>
    <n v="18"/>
    <n v="1200000"/>
    <n v="0.05"/>
    <n v="180000"/>
    <n v="1380000"/>
  </r>
  <r>
    <x v="9"/>
    <x v="2"/>
    <x v="3"/>
    <n v="25"/>
    <n v="1350000"/>
    <n v="7.0000000000000007E-2"/>
    <n v="229500"/>
    <n v="1579500"/>
  </r>
  <r>
    <x v="10"/>
    <x v="2"/>
    <x v="1"/>
    <n v="12"/>
    <n v="995000"/>
    <n v="0.05"/>
    <n v="149250"/>
    <n v="1144250"/>
  </r>
  <r>
    <x v="11"/>
    <x v="1"/>
    <x v="3"/>
    <n v="10"/>
    <n v="1350000"/>
    <n v="7.0000000000000007E-2"/>
    <n v="202500"/>
    <n v="1552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32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A20:E41" firstHeaderRow="0" firstDataRow="1" firstDataCol="2" rowPageCount="1" colPageCount="1"/>
  <pivotFields count="9">
    <pivotField axis="axisPage" compact="0" subtotalTop="0" showAll="0">
      <items count="13">
        <item x="3"/>
        <item x="10"/>
        <item x="0"/>
        <item x="7"/>
        <item x="11"/>
        <item x="6"/>
        <item x="8"/>
        <item x="5"/>
        <item x="1"/>
        <item x="9"/>
        <item x="4"/>
        <item x="2"/>
        <item t="default"/>
      </items>
    </pivotField>
    <pivotField axis="axisRow" compact="0" subtotalTop="0" showAll="0">
      <items count="4">
        <item x="0"/>
        <item x="2"/>
        <item x="1"/>
        <item t="default"/>
      </items>
    </pivotField>
    <pivotField axis="axisRow" compact="0" subtotalTop="0" showAll="0">
      <items count="5">
        <item x="0"/>
        <item x="3"/>
        <item x="2"/>
        <item x="1"/>
        <item t="default"/>
      </items>
    </pivotField>
    <pivotField compact="0" subtotalTop="0" showAll="0"/>
    <pivotField dataField="1" compact="0" subtotalTop="0" showAll="0"/>
    <pivotField compact="0" subtotalTop="0" showAll="0"/>
    <pivotField dataField="1" compact="0" subtotalTop="0" showAll="0"/>
    <pivotField compact="0" subtotalTop="0" showAll="0"/>
    <pivotField dataField="1" compact="0" subtotalTop="0" dragToRow="0" dragToCol="0" dragToPage="0" showAll="0"/>
  </pivotFields>
  <rowFields count="2">
    <field x="2"/>
    <field x="1"/>
  </rowFields>
  <rowItems count="21">
    <i>
      <x/>
    </i>
    <i r="1">
      <x/>
    </i>
    <i r="1">
      <x v="1"/>
    </i>
    <i r="1">
      <x v="2"/>
    </i>
    <i t="default">
      <x/>
    </i>
    <i>
      <x v="1"/>
    </i>
    <i r="1">
      <x/>
    </i>
    <i r="1">
      <x v="1"/>
    </i>
    <i r="1">
      <x v="2"/>
    </i>
    <i t="default">
      <x v="1"/>
    </i>
    <i>
      <x v="2"/>
    </i>
    <i r="1">
      <x/>
    </i>
    <i r="1">
      <x v="1"/>
    </i>
    <i r="1">
      <x v="2"/>
    </i>
    <i t="default">
      <x v="2"/>
    </i>
    <i>
      <x v="3"/>
    </i>
    <i r="1">
      <x/>
    </i>
    <i r="1">
      <x v="1"/>
    </i>
    <i r="1">
      <x v="2"/>
    </i>
    <i t="default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최대값 : 기본급" fld="4" subtotal="max" baseField="1" baseItem="1" numFmtId="41"/>
    <dataField name="최대값 : 수당" fld="6" subtotal="max" baseField="1" baseItem="1" numFmtId="41"/>
    <dataField name="합계 : 총수령금액" fld="8" baseField="2" baseItem="0" numFmtId="41"/>
  </dataField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H4" totalsRowShown="0">
  <autoFilter ref="A1:H4"/>
  <tableColumns count="8">
    <tableColumn id="1" name="성명"/>
    <tableColumn id="2" name="부서"/>
    <tableColumn id="3" name="직위"/>
    <tableColumn id="4" name="인사고과"/>
    <tableColumn id="5" name="기본급"/>
    <tableColumn id="6" name="상여비율"/>
    <tableColumn id="7" name="수당"/>
    <tableColumn id="8" name="총급여액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tabSelected="1" workbookViewId="0">
      <selection activeCell="F19" sqref="F19"/>
    </sheetView>
  </sheetViews>
  <sheetFormatPr defaultRowHeight="16.5"/>
  <cols>
    <col min="1" max="2" width="11.25" customWidth="1"/>
    <col min="3" max="3" width="13.25" customWidth="1"/>
    <col min="4" max="4" width="7.5" customWidth="1"/>
    <col min="5" max="5" width="11.25" customWidth="1"/>
    <col min="6" max="7" width="15.5" customWidth="1"/>
  </cols>
  <sheetData>
    <row r="1" spans="1:7">
      <c r="A1" s="1" t="s">
        <v>0</v>
      </c>
    </row>
    <row r="3" spans="1:7">
      <c r="A3" s="62" t="s">
        <v>149</v>
      </c>
      <c r="B3" s="63" t="s">
        <v>150</v>
      </c>
      <c r="C3" s="63" t="s">
        <v>151</v>
      </c>
      <c r="D3" s="63" t="s">
        <v>152</v>
      </c>
      <c r="E3" s="63" t="s">
        <v>153</v>
      </c>
      <c r="F3" s="63" t="s">
        <v>154</v>
      </c>
      <c r="G3" s="64" t="s">
        <v>155</v>
      </c>
    </row>
    <row r="4" spans="1:7">
      <c r="A4" s="65" t="s">
        <v>156</v>
      </c>
      <c r="B4" s="66" t="s">
        <v>157</v>
      </c>
      <c r="C4" s="66">
        <v>17</v>
      </c>
      <c r="D4" s="66">
        <v>12</v>
      </c>
      <c r="E4" s="66">
        <v>1320000</v>
      </c>
      <c r="F4" s="67">
        <v>41969</v>
      </c>
      <c r="G4" s="68">
        <v>42238</v>
      </c>
    </row>
    <row r="5" spans="1:7">
      <c r="A5" s="69" t="s">
        <v>156</v>
      </c>
      <c r="B5" s="70" t="s">
        <v>157</v>
      </c>
      <c r="C5" s="70">
        <v>17</v>
      </c>
      <c r="D5" s="70">
        <v>13</v>
      </c>
      <c r="E5" s="70">
        <v>1320000</v>
      </c>
      <c r="F5" s="71">
        <v>42682</v>
      </c>
      <c r="G5" s="72">
        <v>43412</v>
      </c>
    </row>
    <row r="6" spans="1:7">
      <c r="A6" s="65" t="s">
        <v>156</v>
      </c>
      <c r="B6" s="66" t="s">
        <v>157</v>
      </c>
      <c r="C6" s="66">
        <v>17</v>
      </c>
      <c r="D6" s="66">
        <v>15</v>
      </c>
      <c r="E6" s="66">
        <v>1320000</v>
      </c>
      <c r="F6" s="67">
        <v>42493</v>
      </c>
      <c r="G6" s="68">
        <v>43223</v>
      </c>
    </row>
    <row r="7" spans="1:7">
      <c r="A7" s="69" t="s">
        <v>156</v>
      </c>
      <c r="B7" s="70" t="s">
        <v>157</v>
      </c>
      <c r="C7" s="70">
        <v>17</v>
      </c>
      <c r="D7" s="70">
        <v>15</v>
      </c>
      <c r="E7" s="70">
        <v>1650000</v>
      </c>
      <c r="F7" s="71">
        <v>41875</v>
      </c>
      <c r="G7" s="72">
        <v>42238</v>
      </c>
    </row>
    <row r="8" spans="1:7">
      <c r="A8" s="65" t="s">
        <v>158</v>
      </c>
      <c r="B8" s="66" t="s">
        <v>159</v>
      </c>
      <c r="C8" s="66">
        <v>17</v>
      </c>
      <c r="D8" s="66">
        <v>20</v>
      </c>
      <c r="E8" s="66">
        <v>660000</v>
      </c>
      <c r="F8" s="67">
        <v>41935</v>
      </c>
      <c r="G8" s="68">
        <v>42238</v>
      </c>
    </row>
    <row r="9" spans="1:7">
      <c r="A9" s="69" t="s">
        <v>156</v>
      </c>
      <c r="B9" s="70" t="s">
        <v>157</v>
      </c>
      <c r="C9" s="70">
        <v>17</v>
      </c>
      <c r="D9" s="70">
        <v>25</v>
      </c>
      <c r="E9" s="70">
        <v>1100000</v>
      </c>
      <c r="F9" s="71">
        <v>40868</v>
      </c>
      <c r="G9" s="72">
        <v>42604</v>
      </c>
    </row>
    <row r="10" spans="1:7">
      <c r="A10" s="65" t="s">
        <v>156</v>
      </c>
      <c r="B10" s="66" t="s">
        <v>157</v>
      </c>
      <c r="C10" s="66">
        <v>17</v>
      </c>
      <c r="D10" s="66">
        <v>27</v>
      </c>
      <c r="E10" s="66">
        <v>550000</v>
      </c>
      <c r="F10" s="67">
        <v>40867</v>
      </c>
      <c r="G10" s="68">
        <v>42238</v>
      </c>
    </row>
    <row r="11" spans="1:7">
      <c r="A11" s="69" t="s">
        <v>156</v>
      </c>
      <c r="B11" s="70" t="s">
        <v>157</v>
      </c>
      <c r="C11" s="70">
        <v>17</v>
      </c>
      <c r="D11" s="70">
        <v>29</v>
      </c>
      <c r="E11" s="70">
        <v>1650000</v>
      </c>
      <c r="F11" s="71">
        <v>41875</v>
      </c>
      <c r="G11" s="72">
        <v>42238</v>
      </c>
    </row>
    <row r="12" spans="1:7">
      <c r="A12" s="65" t="s">
        <v>156</v>
      </c>
      <c r="B12" s="66" t="s">
        <v>157</v>
      </c>
      <c r="C12" s="66">
        <v>17</v>
      </c>
      <c r="D12" s="66">
        <v>30</v>
      </c>
      <c r="E12" s="66">
        <v>1100000</v>
      </c>
      <c r="F12" s="67">
        <v>40868</v>
      </c>
      <c r="G12" s="68">
        <v>42604</v>
      </c>
    </row>
    <row r="13" spans="1:7">
      <c r="A13" s="69" t="s">
        <v>156</v>
      </c>
      <c r="B13" s="70" t="s">
        <v>157</v>
      </c>
      <c r="C13" s="70">
        <v>17</v>
      </c>
      <c r="D13" s="70">
        <v>30</v>
      </c>
      <c r="E13" s="70">
        <v>1650000</v>
      </c>
      <c r="F13" s="71">
        <v>41875</v>
      </c>
      <c r="G13" s="72">
        <v>42238</v>
      </c>
    </row>
    <row r="14" spans="1:7">
      <c r="A14" s="58" t="s">
        <v>156</v>
      </c>
      <c r="B14" s="59" t="s">
        <v>157</v>
      </c>
      <c r="C14" s="59">
        <v>17</v>
      </c>
      <c r="D14" s="59">
        <v>30</v>
      </c>
      <c r="E14" s="59">
        <v>550000</v>
      </c>
      <c r="F14" s="60">
        <v>40867</v>
      </c>
      <c r="G14" s="61">
        <v>42238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6"/>
  <sheetViews>
    <sheetView topLeftCell="A16" workbookViewId="0">
      <selection activeCell="S64" sqref="S64"/>
    </sheetView>
  </sheetViews>
  <sheetFormatPr defaultRowHeight="16.5"/>
  <cols>
    <col min="1" max="1" width="16.5" style="2" bestFit="1" customWidth="1"/>
    <col min="2" max="2" width="5.75" style="2" bestFit="1" customWidth="1"/>
    <col min="3" max="3" width="9.75" style="2" bestFit="1" customWidth="1"/>
    <col min="4" max="4" width="14" style="2" bestFit="1" customWidth="1"/>
    <col min="5" max="5" width="9.75" style="2" bestFit="1" customWidth="1"/>
    <col min="6" max="6" width="14" style="2" bestFit="1" customWidth="1"/>
    <col min="7" max="16384" width="9" style="2"/>
  </cols>
  <sheetData>
    <row r="1" spans="1:6" ht="26.25">
      <c r="A1" s="75" t="s">
        <v>1</v>
      </c>
      <c r="B1" s="75"/>
      <c r="C1" s="75"/>
      <c r="D1" s="75"/>
      <c r="E1" s="75"/>
      <c r="F1" s="75"/>
    </row>
    <row r="3" spans="1:6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>
      <c r="A4" s="4" t="s">
        <v>8</v>
      </c>
      <c r="B4" s="5" t="s">
        <v>9</v>
      </c>
      <c r="C4" s="4">
        <v>12.4</v>
      </c>
      <c r="D4" s="4">
        <v>5.2</v>
      </c>
      <c r="E4" s="4">
        <v>5.5</v>
      </c>
      <c r="F4" s="4">
        <v>33</v>
      </c>
    </row>
    <row r="5" spans="1:6">
      <c r="A5" s="4" t="s">
        <v>10</v>
      </c>
      <c r="B5" s="5" t="s">
        <v>9</v>
      </c>
      <c r="C5" s="4">
        <v>12.7</v>
      </c>
      <c r="D5" s="4">
        <v>7.9</v>
      </c>
      <c r="E5" s="4">
        <v>10.6</v>
      </c>
      <c r="F5" s="4">
        <v>88</v>
      </c>
    </row>
    <row r="6" spans="1:6">
      <c r="A6" s="4" t="s">
        <v>11</v>
      </c>
      <c r="B6" s="5" t="s">
        <v>12</v>
      </c>
      <c r="C6" s="4">
        <v>13.3</v>
      </c>
      <c r="D6" s="4">
        <v>8.3000000000000007</v>
      </c>
      <c r="E6" s="4">
        <v>9.6999999999999993</v>
      </c>
      <c r="F6" s="4">
        <v>89</v>
      </c>
    </row>
    <row r="7" spans="1:6">
      <c r="A7" s="4" t="s">
        <v>13</v>
      </c>
      <c r="B7" s="5" t="s">
        <v>12</v>
      </c>
      <c r="C7" s="4">
        <v>13.7</v>
      </c>
      <c r="D7" s="4">
        <v>4</v>
      </c>
      <c r="E7" s="4">
        <v>4.9000000000000004</v>
      </c>
      <c r="F7" s="4">
        <v>59</v>
      </c>
    </row>
    <row r="8" spans="1:6">
      <c r="A8" s="4" t="s">
        <v>14</v>
      </c>
      <c r="B8" s="5" t="s">
        <v>12</v>
      </c>
      <c r="C8" s="4">
        <v>14.3</v>
      </c>
      <c r="D8" s="4">
        <v>2.5</v>
      </c>
      <c r="E8" s="4">
        <v>3.1</v>
      </c>
      <c r="F8" s="4">
        <v>84</v>
      </c>
    </row>
    <row r="9" spans="1:6">
      <c r="A9" s="4" t="s">
        <v>15</v>
      </c>
      <c r="B9" s="5" t="s">
        <v>9</v>
      </c>
      <c r="C9" s="4">
        <v>14.7</v>
      </c>
      <c r="D9" s="4">
        <v>2.4</v>
      </c>
      <c r="E9" s="4">
        <v>2.8</v>
      </c>
      <c r="F9" s="4">
        <v>83</v>
      </c>
    </row>
    <row r="10" spans="1:6">
      <c r="A10" s="4" t="s">
        <v>20</v>
      </c>
      <c r="B10" s="5" t="s">
        <v>9</v>
      </c>
      <c r="C10" s="4">
        <v>12.3</v>
      </c>
      <c r="D10" s="4">
        <v>3.8</v>
      </c>
      <c r="E10" s="4">
        <v>5.4</v>
      </c>
      <c r="F10" s="4">
        <v>51</v>
      </c>
    </row>
    <row r="11" spans="1:6">
      <c r="A11" s="4" t="s">
        <v>18</v>
      </c>
      <c r="B11" s="5" t="s">
        <v>9</v>
      </c>
      <c r="C11" s="4">
        <v>12.4</v>
      </c>
      <c r="D11" s="4">
        <v>2</v>
      </c>
      <c r="E11" s="4">
        <v>4.0999999999999996</v>
      </c>
      <c r="F11" s="4">
        <v>25</v>
      </c>
    </row>
    <row r="12" spans="1:6">
      <c r="A12" s="4" t="s">
        <v>13</v>
      </c>
      <c r="B12" s="5" t="s">
        <v>12</v>
      </c>
      <c r="C12" s="4">
        <v>13.5</v>
      </c>
      <c r="D12" s="4">
        <v>4.5999999999999996</v>
      </c>
      <c r="E12" s="4">
        <v>4.9000000000000004</v>
      </c>
      <c r="F12" s="4">
        <v>65</v>
      </c>
    </row>
    <row r="13" spans="1:6">
      <c r="A13" s="4" t="s">
        <v>21</v>
      </c>
      <c r="B13" s="5" t="s">
        <v>12</v>
      </c>
      <c r="C13" s="4">
        <v>12.5</v>
      </c>
      <c r="D13" s="4">
        <v>3.7</v>
      </c>
      <c r="E13" s="4">
        <v>5.9</v>
      </c>
      <c r="F13" s="4">
        <v>58</v>
      </c>
    </row>
    <row r="14" spans="1:6">
      <c r="A14" s="4" t="s">
        <v>22</v>
      </c>
      <c r="B14" s="5" t="s">
        <v>12</v>
      </c>
      <c r="C14" s="4">
        <v>13.7</v>
      </c>
      <c r="D14" s="4">
        <v>2.4</v>
      </c>
      <c r="E14" s="4">
        <v>6</v>
      </c>
      <c r="F14" s="4">
        <v>95</v>
      </c>
    </row>
    <row r="15" spans="1:6">
      <c r="A15" s="4" t="s">
        <v>19</v>
      </c>
      <c r="B15" s="5" t="s">
        <v>9</v>
      </c>
      <c r="C15" s="4">
        <v>14.1</v>
      </c>
      <c r="D15" s="4">
        <v>3.9</v>
      </c>
      <c r="E15" s="4">
        <v>3.4</v>
      </c>
      <c r="F15" s="4">
        <v>2</v>
      </c>
    </row>
    <row r="16" spans="1:6">
      <c r="A16" s="4" t="s">
        <v>13</v>
      </c>
      <c r="B16" s="5" t="s">
        <v>12</v>
      </c>
      <c r="C16" s="4">
        <v>12.8</v>
      </c>
      <c r="D16" s="4">
        <v>4.4000000000000004</v>
      </c>
      <c r="E16" s="4">
        <v>6.5</v>
      </c>
      <c r="F16" s="4">
        <v>15</v>
      </c>
    </row>
    <row r="17" spans="1:6">
      <c r="A17" s="4" t="s">
        <v>18</v>
      </c>
      <c r="B17" s="5" t="s">
        <v>9</v>
      </c>
      <c r="C17" s="4">
        <v>13.5</v>
      </c>
      <c r="D17" s="4">
        <v>2</v>
      </c>
      <c r="E17" s="4">
        <v>4.0999999999999996</v>
      </c>
      <c r="F17" s="4">
        <v>12</v>
      </c>
    </row>
    <row r="18" spans="1:6">
      <c r="A18" s="4" t="s">
        <v>19</v>
      </c>
      <c r="B18" s="5" t="s">
        <v>9</v>
      </c>
      <c r="C18" s="4">
        <v>15.7</v>
      </c>
      <c r="D18" s="4">
        <v>3.9</v>
      </c>
      <c r="E18" s="4">
        <v>3.4</v>
      </c>
      <c r="F18" s="4">
        <v>54</v>
      </c>
    </row>
    <row r="19" spans="1:6">
      <c r="A19" s="4" t="s">
        <v>13</v>
      </c>
      <c r="B19" s="5" t="s">
        <v>12</v>
      </c>
      <c r="C19" s="4">
        <v>14.2</v>
      </c>
      <c r="D19" s="4">
        <v>4.4000000000000004</v>
      </c>
      <c r="E19" s="4">
        <v>6.5</v>
      </c>
      <c r="F19" s="4">
        <v>32</v>
      </c>
    </row>
    <row r="20" spans="1:6">
      <c r="A20" s="4" t="s">
        <v>21</v>
      </c>
      <c r="B20" s="5" t="s">
        <v>12</v>
      </c>
      <c r="C20" s="4">
        <v>14.1</v>
      </c>
      <c r="D20" s="4">
        <v>3.7</v>
      </c>
      <c r="E20" s="4">
        <v>5.9</v>
      </c>
      <c r="F20" s="4">
        <v>58</v>
      </c>
    </row>
    <row r="21" spans="1:6">
      <c r="A21" s="4" t="s">
        <v>22</v>
      </c>
      <c r="B21" s="5" t="s">
        <v>12</v>
      </c>
      <c r="C21" s="4">
        <v>16.8</v>
      </c>
      <c r="D21" s="4">
        <v>2.4</v>
      </c>
      <c r="E21" s="4">
        <v>6</v>
      </c>
      <c r="F21" s="4">
        <v>47</v>
      </c>
    </row>
    <row r="22" spans="1:6">
      <c r="A22" s="4" t="s">
        <v>21</v>
      </c>
      <c r="B22" s="5" t="s">
        <v>12</v>
      </c>
      <c r="C22" s="4">
        <v>16.7</v>
      </c>
      <c r="D22" s="4">
        <v>3.7</v>
      </c>
      <c r="E22" s="4">
        <v>5.9</v>
      </c>
      <c r="F22" s="4">
        <v>74</v>
      </c>
    </row>
    <row r="23" spans="1:6">
      <c r="A23" s="4" t="s">
        <v>20</v>
      </c>
      <c r="B23" s="5" t="s">
        <v>9</v>
      </c>
      <c r="C23" s="4">
        <v>12.4</v>
      </c>
      <c r="D23" s="4">
        <v>3.8</v>
      </c>
      <c r="E23" s="4">
        <v>5.4</v>
      </c>
      <c r="F23" s="4">
        <v>32</v>
      </c>
    </row>
    <row r="24" spans="1:6">
      <c r="A24" s="4" t="s">
        <v>15</v>
      </c>
      <c r="B24" s="5" t="s">
        <v>9</v>
      </c>
      <c r="C24" s="4">
        <v>15.9</v>
      </c>
      <c r="D24" s="4">
        <v>6.5</v>
      </c>
      <c r="E24" s="4">
        <v>8.4</v>
      </c>
      <c r="F24" s="4">
        <v>8</v>
      </c>
    </row>
    <row r="25" spans="1:6">
      <c r="A25" s="4" t="s">
        <v>16</v>
      </c>
      <c r="B25" s="5" t="s">
        <v>12</v>
      </c>
      <c r="C25" s="4">
        <v>14.8</v>
      </c>
      <c r="D25" s="4">
        <v>5.6</v>
      </c>
      <c r="E25" s="4">
        <v>6.7</v>
      </c>
      <c r="F25" s="4">
        <v>94</v>
      </c>
    </row>
    <row r="26" spans="1:6">
      <c r="A26" s="4" t="s">
        <v>17</v>
      </c>
      <c r="B26" s="5" t="s">
        <v>12</v>
      </c>
      <c r="C26" s="4">
        <v>14.9</v>
      </c>
      <c r="D26" s="4">
        <v>7.2</v>
      </c>
      <c r="E26" s="4">
        <v>12.9</v>
      </c>
      <c r="F26" s="4">
        <v>68</v>
      </c>
    </row>
    <row r="27" spans="1:6">
      <c r="A27" s="4" t="s">
        <v>18</v>
      </c>
      <c r="B27" s="5" t="s">
        <v>9</v>
      </c>
      <c r="C27" s="4">
        <v>15.1</v>
      </c>
      <c r="D27" s="4">
        <v>2</v>
      </c>
      <c r="E27" s="4">
        <v>4.0999999999999996</v>
      </c>
      <c r="F27" s="4">
        <v>72</v>
      </c>
    </row>
    <row r="28" spans="1:6">
      <c r="A28" s="4" t="s">
        <v>19</v>
      </c>
      <c r="B28" s="5" t="s">
        <v>9</v>
      </c>
      <c r="C28" s="4">
        <v>15.2</v>
      </c>
      <c r="D28" s="4">
        <v>3.9</v>
      </c>
      <c r="E28" s="4">
        <v>3.4</v>
      </c>
      <c r="F28" s="4">
        <v>100</v>
      </c>
    </row>
    <row r="29" spans="1:6">
      <c r="A29" s="4" t="s">
        <v>13</v>
      </c>
      <c r="B29" s="5" t="s">
        <v>12</v>
      </c>
      <c r="C29" s="4">
        <v>12.6</v>
      </c>
      <c r="D29" s="4">
        <v>4.4000000000000004</v>
      </c>
      <c r="E29" s="4">
        <v>6.5</v>
      </c>
      <c r="F29" s="4">
        <v>95</v>
      </c>
    </row>
    <row r="30" spans="1:6">
      <c r="A30" s="4" t="s">
        <v>22</v>
      </c>
      <c r="B30" s="5" t="s">
        <v>12</v>
      </c>
      <c r="C30" s="4">
        <v>15.1</v>
      </c>
      <c r="D30" s="4">
        <v>2.4</v>
      </c>
      <c r="E30" s="4">
        <v>6</v>
      </c>
      <c r="F30" s="4">
        <v>31</v>
      </c>
    </row>
    <row r="31" spans="1:6">
      <c r="A31" s="4" t="s">
        <v>13</v>
      </c>
      <c r="B31" s="5" t="s">
        <v>12</v>
      </c>
      <c r="C31" s="4">
        <v>17.8</v>
      </c>
      <c r="D31" s="4">
        <v>4.5999999999999996</v>
      </c>
      <c r="E31" s="4">
        <v>4.9000000000000004</v>
      </c>
      <c r="F31" s="4">
        <v>51</v>
      </c>
    </row>
    <row r="32" spans="1:6">
      <c r="A32" s="4" t="s">
        <v>23</v>
      </c>
      <c r="B32" s="5" t="s">
        <v>12</v>
      </c>
      <c r="C32" s="4">
        <v>18.399999999999999</v>
      </c>
      <c r="D32" s="4">
        <v>6.8</v>
      </c>
      <c r="E32" s="4">
        <v>8</v>
      </c>
      <c r="F32" s="4">
        <v>82</v>
      </c>
    </row>
    <row r="34" spans="1:4">
      <c r="A34" s="6" t="s">
        <v>24</v>
      </c>
      <c r="C34" s="7"/>
    </row>
    <row r="35" spans="1:4">
      <c r="A35" s="6" t="b">
        <f>FIND("자",A4)&gt;=1</f>
        <v>1</v>
      </c>
      <c r="C35" s="7"/>
    </row>
    <row r="37" spans="1:4">
      <c r="A37" s="6" t="s">
        <v>25</v>
      </c>
      <c r="B37" s="2" t="s">
        <v>26</v>
      </c>
      <c r="C37" s="7" t="s">
        <v>27</v>
      </c>
      <c r="D37" s="7" t="s">
        <v>28</v>
      </c>
    </row>
    <row r="38" spans="1:4">
      <c r="A38" s="4" t="s">
        <v>8</v>
      </c>
      <c r="B38" s="5" t="s">
        <v>9</v>
      </c>
      <c r="C38" s="4">
        <v>12.4</v>
      </c>
      <c r="D38" s="4">
        <v>33</v>
      </c>
    </row>
    <row r="39" spans="1:4">
      <c r="A39" s="4" t="s">
        <v>14</v>
      </c>
      <c r="B39" s="5" t="s">
        <v>12</v>
      </c>
      <c r="C39" s="4">
        <v>14.3</v>
      </c>
      <c r="D39" s="4">
        <v>84</v>
      </c>
    </row>
    <row r="40" spans="1:4">
      <c r="A40" s="4" t="s">
        <v>20</v>
      </c>
      <c r="B40" s="5" t="s">
        <v>9</v>
      </c>
      <c r="C40" s="4">
        <v>12.3</v>
      </c>
      <c r="D40" s="4">
        <v>51</v>
      </c>
    </row>
    <row r="41" spans="1:4">
      <c r="A41" s="4" t="s">
        <v>18</v>
      </c>
      <c r="B41" s="5" t="s">
        <v>9</v>
      </c>
      <c r="C41" s="4">
        <v>12.4</v>
      </c>
      <c r="D41" s="4">
        <v>25</v>
      </c>
    </row>
    <row r="42" spans="1:4">
      <c r="A42" s="4" t="s">
        <v>18</v>
      </c>
      <c r="B42" s="5" t="s">
        <v>9</v>
      </c>
      <c r="C42" s="4">
        <v>13.5</v>
      </c>
      <c r="D42" s="4">
        <v>12</v>
      </c>
    </row>
    <row r="43" spans="1:4">
      <c r="A43" s="4" t="s">
        <v>20</v>
      </c>
      <c r="B43" s="5" t="s">
        <v>9</v>
      </c>
      <c r="C43" s="4">
        <v>12.4</v>
      </c>
      <c r="D43" s="4">
        <v>32</v>
      </c>
    </row>
    <row r="44" spans="1:4">
      <c r="A44" s="4" t="s">
        <v>16</v>
      </c>
      <c r="B44" s="5" t="s">
        <v>12</v>
      </c>
      <c r="C44" s="4">
        <v>14.8</v>
      </c>
      <c r="D44" s="4">
        <v>94</v>
      </c>
    </row>
    <row r="45" spans="1:4">
      <c r="A45" s="4" t="s">
        <v>17</v>
      </c>
      <c r="B45" s="5" t="s">
        <v>12</v>
      </c>
      <c r="C45" s="4">
        <v>14.9</v>
      </c>
      <c r="D45" s="4">
        <v>68</v>
      </c>
    </row>
    <row r="46" spans="1:4">
      <c r="A46" s="4" t="s">
        <v>18</v>
      </c>
      <c r="B46" s="5" t="s">
        <v>9</v>
      </c>
      <c r="C46" s="4">
        <v>15.1</v>
      </c>
      <c r="D46" s="4">
        <v>72</v>
      </c>
    </row>
  </sheetData>
  <mergeCells count="1">
    <mergeCell ref="A1:F1"/>
  </mergeCells>
  <phoneticPr fontId="4" type="noConversion"/>
  <conditionalFormatting sqref="A4:F32">
    <cfRule type="expression" dxfId="0" priority="11">
      <formula>OR($E4=MAX($E$4:$E$32),$E4=MIN($E$4:$E$32))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>
    <oddFooter>&amp;C총 &amp;N쪽 중 &amp;P쪽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48"/>
  <sheetViews>
    <sheetView zoomScaleNormal="100" workbookViewId="0"/>
  </sheetViews>
  <sheetFormatPr defaultColWidth="6.375" defaultRowHeight="16.5"/>
  <cols>
    <col min="1" max="1" width="12.875" style="2" bestFit="1" customWidth="1"/>
    <col min="2" max="2" width="12.25" style="2" customWidth="1"/>
    <col min="3" max="3" width="10.25" style="2" customWidth="1"/>
    <col min="4" max="4" width="12.75" style="2" bestFit="1" customWidth="1"/>
    <col min="5" max="5" width="12.375" style="2" customWidth="1"/>
    <col min="6" max="6" width="11.875" style="2" customWidth="1"/>
    <col min="7" max="7" width="2.25" style="2" customWidth="1"/>
    <col min="8" max="8" width="9.25" style="2" bestFit="1" customWidth="1"/>
    <col min="9" max="9" width="11.75" style="2" customWidth="1"/>
    <col min="10" max="10" width="8.125" style="2" customWidth="1"/>
    <col min="11" max="11" width="8.875" style="2" customWidth="1"/>
    <col min="12" max="16384" width="6.375" style="2"/>
  </cols>
  <sheetData>
    <row r="1" spans="1:6">
      <c r="A1" s="2" t="s">
        <v>29</v>
      </c>
      <c r="E1" s="2" t="s">
        <v>30</v>
      </c>
    </row>
    <row r="2" spans="1:6">
      <c r="A2" s="5" t="s">
        <v>31</v>
      </c>
      <c r="B2" s="8" t="s">
        <v>32</v>
      </c>
      <c r="D2" s="9"/>
      <c r="E2" s="10" t="s">
        <v>33</v>
      </c>
      <c r="F2" s="8" t="s">
        <v>34</v>
      </c>
    </row>
    <row r="3" spans="1:6">
      <c r="A3" s="5">
        <v>300</v>
      </c>
      <c r="B3" s="10" t="str">
        <f>COUNTIFS($B$9:$B$35, "*영", $E$9:$E$35, "&lt;="&amp;A3) &amp; "건"</f>
        <v>7건</v>
      </c>
      <c r="D3" s="9"/>
      <c r="E3" s="5" t="s">
        <v>35</v>
      </c>
      <c r="F3" s="5" t="str">
        <f t="array" ref="F3">INDEX($A$9:$F$35,MATCH(LARGE(($C$9:$C$35=E3)*$D$9:$D$35,3),($C$9:$C$35=E3)*$D$9:$D$35,0),2)</f>
        <v>장동욱</v>
      </c>
    </row>
    <row r="4" spans="1:6">
      <c r="A4" s="5">
        <v>600</v>
      </c>
      <c r="B4" s="10" t="str">
        <f t="shared" ref="B4:B5" si="0">COUNTIFS($B$9:$B$35, "*영", $E$9:$E$35, "&lt;="&amp;A4) &amp; "건"</f>
        <v>12건</v>
      </c>
      <c r="D4" s="9"/>
      <c r="E4" s="5" t="s">
        <v>36</v>
      </c>
      <c r="F4" s="5" t="str">
        <f t="array" ref="F4">INDEX($A$9:$F$35,MATCH(LARGE(($C$9:$C$35=E4)*$D$9:$D$35,3),($C$9:$C$35=E4)*$D$9:$D$35,0),2)</f>
        <v>장동욱</v>
      </c>
    </row>
    <row r="5" spans="1:6">
      <c r="A5" s="5">
        <v>1000</v>
      </c>
      <c r="B5" s="10" t="str">
        <f t="shared" si="0"/>
        <v>16건</v>
      </c>
      <c r="D5" s="9"/>
      <c r="E5" s="5" t="s">
        <v>37</v>
      </c>
      <c r="F5" s="5" t="str">
        <f t="array" ref="F5">INDEX($A$9:$F$35,MATCH(LARGE(($C$9:$C$35=E5)*$D$9:$D$35,3),($C$9:$C$35=E5)*$D$9:$D$35,0),2)</f>
        <v>도부영</v>
      </c>
    </row>
    <row r="6" spans="1:6">
      <c r="A6" s="9"/>
      <c r="B6" s="9"/>
      <c r="C6" s="9"/>
      <c r="D6" s="9"/>
      <c r="E6" s="5" t="s">
        <v>38</v>
      </c>
      <c r="F6" s="5" t="str">
        <f t="array" ref="F6">INDEX($A$9:$F$35,MATCH(LARGE(($C$9:$C$35=E6)*$D$9:$D$35,3),($C$9:$C$35=E6)*$D$9:$D$35,0),2)</f>
        <v>배무영</v>
      </c>
    </row>
    <row r="7" spans="1:6">
      <c r="A7" s="11" t="s">
        <v>39</v>
      </c>
      <c r="B7" s="9"/>
      <c r="C7" s="9"/>
      <c r="D7" s="9"/>
      <c r="E7" s="9"/>
      <c r="F7" s="9"/>
    </row>
    <row r="8" spans="1:6">
      <c r="A8" s="5" t="s">
        <v>40</v>
      </c>
      <c r="B8" s="5" t="s">
        <v>34</v>
      </c>
      <c r="C8" s="5" t="s">
        <v>33</v>
      </c>
      <c r="D8" s="5" t="s">
        <v>41</v>
      </c>
      <c r="E8" s="5" t="s">
        <v>31</v>
      </c>
      <c r="F8" s="5" t="s">
        <v>42</v>
      </c>
    </row>
    <row r="9" spans="1:6">
      <c r="A9" s="12">
        <v>42381</v>
      </c>
      <c r="B9" s="5" t="s">
        <v>43</v>
      </c>
      <c r="C9" s="5" t="s">
        <v>35</v>
      </c>
      <c r="D9" s="5">
        <v>63</v>
      </c>
      <c r="E9" s="5">
        <v>48</v>
      </c>
      <c r="F9" s="5"/>
    </row>
    <row r="10" spans="1:6">
      <c r="A10" s="12">
        <v>42381</v>
      </c>
      <c r="B10" s="5" t="s">
        <v>43</v>
      </c>
      <c r="C10" s="5" t="s">
        <v>36</v>
      </c>
      <c r="D10" s="5">
        <v>37</v>
      </c>
      <c r="E10" s="5">
        <v>331</v>
      </c>
      <c r="F10" s="5"/>
    </row>
    <row r="11" spans="1:6">
      <c r="A11" s="12">
        <v>42381</v>
      </c>
      <c r="B11" s="5" t="s">
        <v>44</v>
      </c>
      <c r="C11" s="5" t="s">
        <v>37</v>
      </c>
      <c r="D11" s="5">
        <v>70</v>
      </c>
      <c r="E11" s="5">
        <v>433</v>
      </c>
      <c r="F11" s="5"/>
    </row>
    <row r="12" spans="1:6">
      <c r="A12" s="12">
        <v>42381</v>
      </c>
      <c r="B12" s="5" t="s">
        <v>45</v>
      </c>
      <c r="C12" s="5" t="s">
        <v>38</v>
      </c>
      <c r="D12" s="5">
        <v>11</v>
      </c>
      <c r="E12" s="5">
        <v>362</v>
      </c>
      <c r="F12" s="5"/>
    </row>
    <row r="13" spans="1:6">
      <c r="A13" s="12">
        <v>42381</v>
      </c>
      <c r="B13" s="5" t="s">
        <v>45</v>
      </c>
      <c r="C13" s="5" t="s">
        <v>38</v>
      </c>
      <c r="D13" s="5">
        <v>28</v>
      </c>
      <c r="E13" s="5">
        <v>2</v>
      </c>
      <c r="F13" s="5" t="s">
        <v>46</v>
      </c>
    </row>
    <row r="14" spans="1:6">
      <c r="A14" s="12">
        <v>42382</v>
      </c>
      <c r="B14" s="5" t="s">
        <v>43</v>
      </c>
      <c r="C14" s="5" t="s">
        <v>37</v>
      </c>
      <c r="D14" s="5">
        <v>28</v>
      </c>
      <c r="E14" s="5">
        <v>62</v>
      </c>
      <c r="F14" s="5"/>
    </row>
    <row r="15" spans="1:6">
      <c r="A15" s="12">
        <v>42382</v>
      </c>
      <c r="B15" s="5" t="s">
        <v>43</v>
      </c>
      <c r="C15" s="5" t="s">
        <v>37</v>
      </c>
      <c r="D15" s="5">
        <v>42</v>
      </c>
      <c r="E15" s="5">
        <v>3</v>
      </c>
      <c r="F15" s="5" t="s">
        <v>46</v>
      </c>
    </row>
    <row r="16" spans="1:6">
      <c r="A16" s="12">
        <v>42382</v>
      </c>
      <c r="B16" s="5" t="s">
        <v>44</v>
      </c>
      <c r="C16" s="5" t="s">
        <v>38</v>
      </c>
      <c r="D16" s="5">
        <v>67</v>
      </c>
      <c r="E16" s="5">
        <v>76</v>
      </c>
      <c r="F16" s="5"/>
    </row>
    <row r="17" spans="1:6">
      <c r="A17" s="12">
        <v>42382</v>
      </c>
      <c r="B17" s="5" t="s">
        <v>45</v>
      </c>
      <c r="C17" s="5" t="s">
        <v>35</v>
      </c>
      <c r="D17" s="5">
        <v>83</v>
      </c>
      <c r="E17" s="5">
        <v>471</v>
      </c>
      <c r="F17" s="5"/>
    </row>
    <row r="18" spans="1:6">
      <c r="A18" s="12">
        <v>42382</v>
      </c>
      <c r="B18" s="5" t="s">
        <v>45</v>
      </c>
      <c r="C18" s="5" t="s">
        <v>36</v>
      </c>
      <c r="D18" s="5">
        <v>36</v>
      </c>
      <c r="E18" s="5">
        <v>750</v>
      </c>
      <c r="F18" s="5"/>
    </row>
    <row r="19" spans="1:6">
      <c r="A19" s="12">
        <v>42383</v>
      </c>
      <c r="B19" s="5" t="s">
        <v>43</v>
      </c>
      <c r="C19" s="5" t="s">
        <v>37</v>
      </c>
      <c r="D19" s="5">
        <v>13</v>
      </c>
      <c r="E19" s="5">
        <v>914</v>
      </c>
      <c r="F19" s="5"/>
    </row>
    <row r="20" spans="1:6">
      <c r="A20" s="12">
        <v>42383</v>
      </c>
      <c r="B20" s="5" t="s">
        <v>44</v>
      </c>
      <c r="C20" s="5" t="s">
        <v>35</v>
      </c>
      <c r="D20" s="5">
        <v>97</v>
      </c>
      <c r="E20" s="5">
        <v>790</v>
      </c>
      <c r="F20" s="5"/>
    </row>
    <row r="21" spans="1:6">
      <c r="A21" s="12">
        <v>42383</v>
      </c>
      <c r="B21" s="5" t="s">
        <v>44</v>
      </c>
      <c r="C21" s="5" t="s">
        <v>36</v>
      </c>
      <c r="D21" s="5">
        <v>91</v>
      </c>
      <c r="E21" s="5">
        <v>356</v>
      </c>
      <c r="F21" s="5"/>
    </row>
    <row r="22" spans="1:6">
      <c r="A22" s="12">
        <v>42383</v>
      </c>
      <c r="B22" s="5" t="s">
        <v>45</v>
      </c>
      <c r="C22" s="5" t="s">
        <v>37</v>
      </c>
      <c r="D22" s="5">
        <v>5</v>
      </c>
      <c r="E22" s="5">
        <v>336</v>
      </c>
      <c r="F22" s="5"/>
    </row>
    <row r="23" spans="1:6">
      <c r="A23" s="12">
        <v>42383</v>
      </c>
      <c r="B23" s="5" t="s">
        <v>45</v>
      </c>
      <c r="C23" s="5" t="s">
        <v>37</v>
      </c>
      <c r="D23" s="5">
        <v>14</v>
      </c>
      <c r="E23" s="5">
        <v>4</v>
      </c>
      <c r="F23" s="5" t="s">
        <v>46</v>
      </c>
    </row>
    <row r="24" spans="1:6">
      <c r="A24" s="12">
        <v>42384</v>
      </c>
      <c r="B24" s="5" t="s">
        <v>43</v>
      </c>
      <c r="C24" s="5" t="s">
        <v>35</v>
      </c>
      <c r="D24" s="5">
        <v>16</v>
      </c>
      <c r="E24" s="5">
        <v>322</v>
      </c>
      <c r="F24" s="5"/>
    </row>
    <row r="25" spans="1:6">
      <c r="A25" s="12">
        <v>42384</v>
      </c>
      <c r="B25" s="5" t="s">
        <v>43</v>
      </c>
      <c r="C25" s="5" t="s">
        <v>36</v>
      </c>
      <c r="D25" s="5">
        <v>32</v>
      </c>
      <c r="E25" s="5">
        <v>247</v>
      </c>
      <c r="F25" s="5"/>
    </row>
    <row r="26" spans="1:6">
      <c r="A26" s="12">
        <v>42384</v>
      </c>
      <c r="B26" s="5" t="s">
        <v>44</v>
      </c>
      <c r="C26" s="5" t="s">
        <v>37</v>
      </c>
      <c r="D26" s="5">
        <v>11</v>
      </c>
      <c r="E26" s="5">
        <v>365</v>
      </c>
      <c r="F26" s="5"/>
    </row>
    <row r="27" spans="1:6">
      <c r="A27" s="12">
        <v>42384</v>
      </c>
      <c r="B27" s="5" t="s">
        <v>45</v>
      </c>
      <c r="C27" s="5" t="s">
        <v>38</v>
      </c>
      <c r="D27" s="5">
        <v>85</v>
      </c>
      <c r="E27" s="5">
        <v>423</v>
      </c>
      <c r="F27" s="5"/>
    </row>
    <row r="28" spans="1:6">
      <c r="A28" s="12">
        <v>42385</v>
      </c>
      <c r="B28" s="5" t="s">
        <v>43</v>
      </c>
      <c r="C28" s="5" t="s">
        <v>37</v>
      </c>
      <c r="D28" s="5">
        <v>94</v>
      </c>
      <c r="E28" s="5">
        <v>177</v>
      </c>
      <c r="F28" s="5"/>
    </row>
    <row r="29" spans="1:6">
      <c r="A29" s="12">
        <v>42385</v>
      </c>
      <c r="B29" s="5" t="s">
        <v>44</v>
      </c>
      <c r="C29" s="5" t="s">
        <v>38</v>
      </c>
      <c r="D29" s="5">
        <v>56</v>
      </c>
      <c r="E29" s="5">
        <v>209</v>
      </c>
      <c r="F29" s="5"/>
    </row>
    <row r="30" spans="1:6">
      <c r="A30" s="12">
        <v>42385</v>
      </c>
      <c r="B30" s="5" t="s">
        <v>45</v>
      </c>
      <c r="C30" s="5" t="s">
        <v>35</v>
      </c>
      <c r="D30" s="5">
        <v>44</v>
      </c>
      <c r="E30" s="5">
        <v>5</v>
      </c>
      <c r="F30" s="5" t="s">
        <v>46</v>
      </c>
    </row>
    <row r="31" spans="1:6">
      <c r="A31" s="12">
        <v>42385</v>
      </c>
      <c r="B31" s="5" t="s">
        <v>45</v>
      </c>
      <c r="C31" s="5" t="s">
        <v>36</v>
      </c>
      <c r="D31" s="5">
        <v>51</v>
      </c>
      <c r="E31" s="5">
        <v>908</v>
      </c>
      <c r="F31" s="5"/>
    </row>
    <row r="32" spans="1:6">
      <c r="A32" s="12">
        <v>42386</v>
      </c>
      <c r="B32" s="5" t="s">
        <v>43</v>
      </c>
      <c r="C32" s="5" t="s">
        <v>37</v>
      </c>
      <c r="D32" s="5">
        <v>11</v>
      </c>
      <c r="E32" s="5">
        <v>626</v>
      </c>
      <c r="F32" s="5"/>
    </row>
    <row r="33" spans="1:10">
      <c r="A33" s="12">
        <v>42386</v>
      </c>
      <c r="B33" s="5" t="s">
        <v>44</v>
      </c>
      <c r="C33" s="5" t="s">
        <v>38</v>
      </c>
      <c r="D33" s="5">
        <v>38</v>
      </c>
      <c r="E33" s="5">
        <v>874</v>
      </c>
      <c r="F33" s="5"/>
    </row>
    <row r="34" spans="1:10">
      <c r="A34" s="12">
        <v>42386</v>
      </c>
      <c r="B34" s="5" t="s">
        <v>45</v>
      </c>
      <c r="C34" s="5" t="s">
        <v>35</v>
      </c>
      <c r="D34" s="5">
        <v>74</v>
      </c>
      <c r="E34" s="5">
        <v>359</v>
      </c>
      <c r="F34" s="5"/>
    </row>
    <row r="35" spans="1:10">
      <c r="A35" s="12">
        <v>42386</v>
      </c>
      <c r="B35" s="5" t="s">
        <v>45</v>
      </c>
      <c r="C35" s="5" t="s">
        <v>36</v>
      </c>
      <c r="D35" s="5">
        <v>95</v>
      </c>
      <c r="E35" s="5">
        <v>767</v>
      </c>
      <c r="F35" s="5"/>
    </row>
    <row r="37" spans="1:10">
      <c r="A37" s="2" t="s">
        <v>47</v>
      </c>
    </row>
    <row r="38" spans="1:10">
      <c r="A38" s="13" t="s">
        <v>48</v>
      </c>
      <c r="B38" s="8" t="s">
        <v>49</v>
      </c>
      <c r="C38" s="13" t="s">
        <v>50</v>
      </c>
      <c r="D38" s="14" t="s">
        <v>51</v>
      </c>
      <c r="E38" s="15" t="s">
        <v>52</v>
      </c>
      <c r="F38" s="15" t="s">
        <v>53</v>
      </c>
    </row>
    <row r="39" spans="1:10">
      <c r="A39" s="5" t="s">
        <v>54</v>
      </c>
      <c r="B39" s="5" t="str">
        <f>UPPER(SUBSTITUTE(A39,0,9))</f>
        <v>Y291K</v>
      </c>
      <c r="C39" s="5" t="s">
        <v>55</v>
      </c>
      <c r="D39" s="16">
        <v>45</v>
      </c>
      <c r="E39" s="17">
        <f>D39*VLOOKUP(RIGHT(A39,1),$H$42:$J$46,2,FALSE)-D39*VLOOKUP(RIGHT(A39,1),$H$42:$J$46,2,FALSE)*VLOOKUP(RIGHT(A39,1),$H$42:$J$46,3,FALSE)</f>
        <v>128250</v>
      </c>
      <c r="F39" s="16">
        <f>fn이익금(E39,C39,D39)</f>
        <v>38475</v>
      </c>
    </row>
    <row r="40" spans="1:10">
      <c r="A40" s="5" t="s">
        <v>56</v>
      </c>
      <c r="B40" s="5" t="str">
        <f t="shared" ref="B40:B46" si="1">UPPER(SUBSTITUTE(A40,0,9))</f>
        <v>B459N</v>
      </c>
      <c r="C40" s="5" t="s">
        <v>57</v>
      </c>
      <c r="D40" s="16">
        <v>89</v>
      </c>
      <c r="E40" s="17">
        <f t="shared" ref="E40:E46" si="2">D40*VLOOKUP(RIGHT(A40,1),$H$42:$J$46,2,FALSE)-D40*VLOOKUP(RIGHT(A40,1),$H$42:$J$46,2,FALSE)*VLOOKUP(RIGHT(A40,1),$H$42:$J$46,3,FALSE)</f>
        <v>372465</v>
      </c>
      <c r="F40" s="16">
        <f t="shared" ref="F40:F46" si="3">fn이익금(E40,C40,D40)</f>
        <v>111739.50000000003</v>
      </c>
      <c r="H40" s="2" t="s">
        <v>58</v>
      </c>
    </row>
    <row r="41" spans="1:10">
      <c r="A41" s="5" t="s">
        <v>59</v>
      </c>
      <c r="B41" s="5" t="str">
        <f t="shared" si="1"/>
        <v>Y293D</v>
      </c>
      <c r="C41" s="5" t="s">
        <v>60</v>
      </c>
      <c r="D41" s="16">
        <v>230</v>
      </c>
      <c r="E41" s="17">
        <f t="shared" si="2"/>
        <v>338100</v>
      </c>
      <c r="F41" s="16">
        <f t="shared" si="3"/>
        <v>169050</v>
      </c>
      <c r="H41" s="10" t="s">
        <v>61</v>
      </c>
      <c r="I41" s="4" t="s">
        <v>62</v>
      </c>
      <c r="J41" s="4" t="s">
        <v>63</v>
      </c>
    </row>
    <row r="42" spans="1:10">
      <c r="A42" s="5" t="s">
        <v>64</v>
      </c>
      <c r="B42" s="5" t="str">
        <f t="shared" si="1"/>
        <v>Y912G</v>
      </c>
      <c r="C42" s="5" t="s">
        <v>65</v>
      </c>
      <c r="D42" s="16">
        <v>30</v>
      </c>
      <c r="E42" s="17">
        <f t="shared" si="2"/>
        <v>151200</v>
      </c>
      <c r="F42" s="16">
        <f t="shared" si="3"/>
        <v>45360</v>
      </c>
      <c r="H42" s="10" t="s">
        <v>66</v>
      </c>
      <c r="I42" s="4">
        <v>3000</v>
      </c>
      <c r="J42" s="18">
        <v>0.05</v>
      </c>
    </row>
    <row r="43" spans="1:10">
      <c r="A43" s="5" t="s">
        <v>67</v>
      </c>
      <c r="B43" s="5" t="str">
        <f t="shared" si="1"/>
        <v>Y395K</v>
      </c>
      <c r="C43" s="5" t="s">
        <v>55</v>
      </c>
      <c r="D43" s="16">
        <v>120</v>
      </c>
      <c r="E43" s="17">
        <f t="shared" si="2"/>
        <v>342000</v>
      </c>
      <c r="F43" s="16">
        <f t="shared" si="3"/>
        <v>102600.00000000003</v>
      </c>
      <c r="H43" s="10" t="s">
        <v>68</v>
      </c>
      <c r="I43" s="4">
        <v>4500</v>
      </c>
      <c r="J43" s="18">
        <v>7.0000000000000007E-2</v>
      </c>
    </row>
    <row r="44" spans="1:10">
      <c r="A44" s="5" t="s">
        <v>69</v>
      </c>
      <c r="B44" s="5" t="str">
        <f t="shared" si="1"/>
        <v>Y365Y</v>
      </c>
      <c r="C44" s="5" t="s">
        <v>70</v>
      </c>
      <c r="D44" s="16">
        <v>120</v>
      </c>
      <c r="E44" s="17">
        <f t="shared" si="2"/>
        <v>360960</v>
      </c>
      <c r="F44" s="16">
        <f t="shared" si="3"/>
        <v>180480</v>
      </c>
      <c r="H44" s="10" t="s">
        <v>71</v>
      </c>
      <c r="I44" s="4">
        <v>1500</v>
      </c>
      <c r="J44" s="18">
        <v>0.02</v>
      </c>
    </row>
    <row r="45" spans="1:10">
      <c r="A45" s="5" t="s">
        <v>72</v>
      </c>
      <c r="B45" s="5" t="str">
        <f t="shared" si="1"/>
        <v>B394N</v>
      </c>
      <c r="C45" s="5" t="s">
        <v>57</v>
      </c>
      <c r="D45" s="16">
        <v>325</v>
      </c>
      <c r="E45" s="17">
        <f t="shared" si="2"/>
        <v>1360125</v>
      </c>
      <c r="F45" s="16">
        <f t="shared" si="3"/>
        <v>408037.50000000012</v>
      </c>
      <c r="H45" s="10" t="s">
        <v>73</v>
      </c>
      <c r="I45" s="19">
        <v>5600</v>
      </c>
      <c r="J45" s="18">
        <v>0.1</v>
      </c>
    </row>
    <row r="46" spans="1:10">
      <c r="A46" s="5" t="s">
        <v>74</v>
      </c>
      <c r="B46" s="5" t="str">
        <f t="shared" si="1"/>
        <v>B123D</v>
      </c>
      <c r="C46" s="5" t="s">
        <v>60</v>
      </c>
      <c r="D46" s="16">
        <v>60</v>
      </c>
      <c r="E46" s="17">
        <f t="shared" si="2"/>
        <v>88200</v>
      </c>
      <c r="F46" s="16">
        <f t="shared" si="3"/>
        <v>26460.000000000007</v>
      </c>
      <c r="H46" s="10" t="s">
        <v>75</v>
      </c>
      <c r="I46" s="19">
        <v>3200</v>
      </c>
      <c r="J46" s="18">
        <v>0.06</v>
      </c>
    </row>
    <row r="48" spans="1:10">
      <c r="C48" s="20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"/>
  <sheetViews>
    <sheetView workbookViewId="0">
      <selection activeCell="G30" sqref="G30"/>
    </sheetView>
  </sheetViews>
  <sheetFormatPr defaultRowHeight="16.5"/>
  <cols>
    <col min="1" max="3" width="7.5" bestFit="1" customWidth="1"/>
    <col min="4" max="4" width="11.25" bestFit="1" customWidth="1"/>
    <col min="5" max="5" width="9.375" bestFit="1" customWidth="1"/>
    <col min="6" max="6" width="11.25" bestFit="1" customWidth="1"/>
    <col min="7" max="7" width="7.5" bestFit="1" customWidth="1"/>
    <col min="8" max="8" width="11.25" bestFit="1" customWidth="1"/>
  </cols>
  <sheetData>
    <row r="1" spans="1:8">
      <c r="A1" t="s">
        <v>76</v>
      </c>
      <c r="B1" t="s">
        <v>77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</row>
    <row r="2" spans="1:8">
      <c r="A2" t="s">
        <v>99</v>
      </c>
      <c r="B2" t="s">
        <v>85</v>
      </c>
      <c r="C2" t="s">
        <v>93</v>
      </c>
      <c r="D2">
        <v>18</v>
      </c>
      <c r="E2">
        <v>1200000</v>
      </c>
      <c r="F2">
        <v>0.05</v>
      </c>
      <c r="G2">
        <v>180000</v>
      </c>
      <c r="H2">
        <v>1380000</v>
      </c>
    </row>
    <row r="3" spans="1:8">
      <c r="A3" t="s">
        <v>91</v>
      </c>
      <c r="B3" t="s">
        <v>92</v>
      </c>
      <c r="C3" t="s">
        <v>93</v>
      </c>
      <c r="D3">
        <v>6</v>
      </c>
      <c r="E3">
        <v>1200000</v>
      </c>
      <c r="F3">
        <v>0.03</v>
      </c>
      <c r="G3">
        <v>156000</v>
      </c>
      <c r="H3">
        <v>1356000</v>
      </c>
    </row>
    <row r="4" spans="1:8">
      <c r="A4" t="s">
        <v>98</v>
      </c>
      <c r="B4" t="s">
        <v>88</v>
      </c>
      <c r="C4" t="s">
        <v>93</v>
      </c>
      <c r="D4">
        <v>15</v>
      </c>
      <c r="E4">
        <v>1200000</v>
      </c>
      <c r="F4">
        <v>0.05</v>
      </c>
      <c r="G4">
        <v>180000</v>
      </c>
      <c r="H4">
        <v>1380000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41"/>
  <sheetViews>
    <sheetView topLeftCell="A10" workbookViewId="0">
      <selection activeCell="C35" sqref="C35"/>
    </sheetView>
  </sheetViews>
  <sheetFormatPr defaultRowHeight="16.5"/>
  <cols>
    <col min="1" max="1" width="11.875" style="2" customWidth="1"/>
    <col min="2" max="2" width="8.5" style="2" customWidth="1"/>
    <col min="3" max="3" width="15.25" style="2" bestFit="1" customWidth="1"/>
    <col min="4" max="4" width="13.125" style="2" customWidth="1"/>
    <col min="5" max="5" width="17.375" style="2" bestFit="1" customWidth="1"/>
    <col min="6" max="6" width="10.25" style="2" customWidth="1"/>
    <col min="7" max="7" width="9" style="2"/>
    <col min="8" max="8" width="10.25" style="2" customWidth="1"/>
    <col min="9" max="16384" width="9" style="2"/>
  </cols>
  <sheetData>
    <row r="2" spans="1:8">
      <c r="A2" s="21" t="s">
        <v>76</v>
      </c>
      <c r="B2" s="22" t="s">
        <v>77</v>
      </c>
      <c r="C2" s="22" t="s">
        <v>78</v>
      </c>
      <c r="D2" s="22" t="s">
        <v>79</v>
      </c>
      <c r="E2" s="22" t="s">
        <v>80</v>
      </c>
      <c r="F2" s="22" t="s">
        <v>81</v>
      </c>
      <c r="G2" s="22" t="s">
        <v>82</v>
      </c>
      <c r="H2" s="23" t="s">
        <v>83</v>
      </c>
    </row>
    <row r="3" spans="1:8">
      <c r="A3" s="24" t="s">
        <v>84</v>
      </c>
      <c r="B3" s="25" t="s">
        <v>85</v>
      </c>
      <c r="C3" s="25" t="s">
        <v>86</v>
      </c>
      <c r="D3" s="25">
        <v>30</v>
      </c>
      <c r="E3" s="25">
        <v>1450000</v>
      </c>
      <c r="F3" s="25">
        <v>0.1</v>
      </c>
      <c r="G3" s="25">
        <v>290000</v>
      </c>
      <c r="H3" s="26">
        <v>1740000</v>
      </c>
    </row>
    <row r="4" spans="1:8">
      <c r="A4" s="24" t="s">
        <v>87</v>
      </c>
      <c r="B4" s="25" t="s">
        <v>88</v>
      </c>
      <c r="C4" s="25" t="s">
        <v>89</v>
      </c>
      <c r="D4" s="25">
        <v>24</v>
      </c>
      <c r="E4" s="25">
        <v>1055000</v>
      </c>
      <c r="F4" s="25">
        <v>7.0000000000000007E-2</v>
      </c>
      <c r="G4" s="25">
        <v>179350</v>
      </c>
      <c r="H4" s="26">
        <v>1234350</v>
      </c>
    </row>
    <row r="5" spans="1:8">
      <c r="A5" s="24" t="s">
        <v>90</v>
      </c>
      <c r="B5" s="25" t="s">
        <v>85</v>
      </c>
      <c r="C5" s="25" t="s">
        <v>89</v>
      </c>
      <c r="D5" s="25">
        <v>19</v>
      </c>
      <c r="E5" s="25">
        <v>1125000</v>
      </c>
      <c r="F5" s="25">
        <v>0.05</v>
      </c>
      <c r="G5" s="25">
        <v>168750</v>
      </c>
      <c r="H5" s="26">
        <v>1293750</v>
      </c>
    </row>
    <row r="6" spans="1:8">
      <c r="A6" s="24" t="s">
        <v>91</v>
      </c>
      <c r="B6" s="25" t="s">
        <v>92</v>
      </c>
      <c r="C6" s="25" t="s">
        <v>93</v>
      </c>
      <c r="D6" s="25">
        <v>6</v>
      </c>
      <c r="E6" s="25">
        <v>1200000</v>
      </c>
      <c r="F6" s="25">
        <v>0.03</v>
      </c>
      <c r="G6" s="25">
        <v>156000</v>
      </c>
      <c r="H6" s="26">
        <v>1356000</v>
      </c>
    </row>
    <row r="7" spans="1:8">
      <c r="A7" s="24" t="s">
        <v>94</v>
      </c>
      <c r="B7" s="25" t="s">
        <v>88</v>
      </c>
      <c r="C7" s="25" t="s">
        <v>86</v>
      </c>
      <c r="D7" s="25">
        <v>28</v>
      </c>
      <c r="E7" s="25">
        <v>1450000</v>
      </c>
      <c r="F7" s="25">
        <v>7.0000000000000007E-2</v>
      </c>
      <c r="G7" s="25">
        <v>246500</v>
      </c>
      <c r="H7" s="26">
        <v>1696500</v>
      </c>
    </row>
    <row r="8" spans="1:8">
      <c r="A8" s="24" t="s">
        <v>95</v>
      </c>
      <c r="B8" s="25" t="s">
        <v>85</v>
      </c>
      <c r="C8" s="25" t="s">
        <v>96</v>
      </c>
      <c r="D8" s="25">
        <v>20</v>
      </c>
      <c r="E8" s="25">
        <v>1350000</v>
      </c>
      <c r="F8" s="25">
        <v>7.0000000000000007E-2</v>
      </c>
      <c r="G8" s="25">
        <v>229500</v>
      </c>
      <c r="H8" s="26">
        <v>1579500</v>
      </c>
    </row>
    <row r="9" spans="1:8">
      <c r="A9" s="24" t="s">
        <v>97</v>
      </c>
      <c r="B9" s="25" t="s">
        <v>92</v>
      </c>
      <c r="C9" s="25" t="s">
        <v>86</v>
      </c>
      <c r="D9" s="25">
        <v>24</v>
      </c>
      <c r="E9" s="25">
        <v>1450000</v>
      </c>
      <c r="F9" s="25">
        <v>7.0000000000000007E-2</v>
      </c>
      <c r="G9" s="25">
        <v>246500</v>
      </c>
      <c r="H9" s="26">
        <v>1696500</v>
      </c>
    </row>
    <row r="10" spans="1:8">
      <c r="A10" s="24" t="s">
        <v>98</v>
      </c>
      <c r="B10" s="25" t="s">
        <v>88</v>
      </c>
      <c r="C10" s="25" t="s">
        <v>93</v>
      </c>
      <c r="D10" s="25">
        <v>15</v>
      </c>
      <c r="E10" s="25">
        <v>1200000</v>
      </c>
      <c r="F10" s="25">
        <v>0.05</v>
      </c>
      <c r="G10" s="25">
        <v>180000</v>
      </c>
      <c r="H10" s="26">
        <v>1380000</v>
      </c>
    </row>
    <row r="11" spans="1:8">
      <c r="A11" s="24" t="s">
        <v>99</v>
      </c>
      <c r="B11" s="25" t="s">
        <v>85</v>
      </c>
      <c r="C11" s="25" t="s">
        <v>93</v>
      </c>
      <c r="D11" s="25">
        <v>18</v>
      </c>
      <c r="E11" s="25">
        <v>1200000</v>
      </c>
      <c r="F11" s="25">
        <v>0.05</v>
      </c>
      <c r="G11" s="25">
        <v>180000</v>
      </c>
      <c r="H11" s="26">
        <v>1380000</v>
      </c>
    </row>
    <row r="12" spans="1:8">
      <c r="A12" s="24" t="s">
        <v>100</v>
      </c>
      <c r="B12" s="25" t="s">
        <v>92</v>
      </c>
      <c r="C12" s="25" t="s">
        <v>96</v>
      </c>
      <c r="D12" s="25">
        <v>25</v>
      </c>
      <c r="E12" s="25">
        <v>1350000</v>
      </c>
      <c r="F12" s="25">
        <v>7.0000000000000007E-2</v>
      </c>
      <c r="G12" s="25">
        <v>229500</v>
      </c>
      <c r="H12" s="26">
        <v>1579500</v>
      </c>
    </row>
    <row r="13" spans="1:8">
      <c r="A13" s="24" t="s">
        <v>101</v>
      </c>
      <c r="B13" s="25" t="s">
        <v>92</v>
      </c>
      <c r="C13" s="25" t="s">
        <v>89</v>
      </c>
      <c r="D13" s="25">
        <v>12</v>
      </c>
      <c r="E13" s="25">
        <v>995000</v>
      </c>
      <c r="F13" s="25">
        <v>0.05</v>
      </c>
      <c r="G13" s="25">
        <v>149250</v>
      </c>
      <c r="H13" s="26">
        <v>1144250</v>
      </c>
    </row>
    <row r="14" spans="1:8">
      <c r="A14" s="27" t="s">
        <v>102</v>
      </c>
      <c r="B14" s="28" t="s">
        <v>88</v>
      </c>
      <c r="C14" s="28" t="s">
        <v>96</v>
      </c>
      <c r="D14" s="28">
        <v>10</v>
      </c>
      <c r="E14" s="28">
        <v>1350000</v>
      </c>
      <c r="F14" s="28">
        <v>7.0000000000000007E-2</v>
      </c>
      <c r="G14" s="28">
        <v>202500</v>
      </c>
      <c r="H14" s="29">
        <v>1552500</v>
      </c>
    </row>
    <row r="18" spans="1:5">
      <c r="A18" s="73" t="s">
        <v>76</v>
      </c>
      <c r="B18" t="s">
        <v>160</v>
      </c>
    </row>
    <row r="20" spans="1:5">
      <c r="A20" s="73" t="s">
        <v>78</v>
      </c>
      <c r="B20" s="73" t="s">
        <v>77</v>
      </c>
      <c r="C20" t="s">
        <v>162</v>
      </c>
      <c r="D20" t="s">
        <v>163</v>
      </c>
      <c r="E20" t="s">
        <v>168</v>
      </c>
    </row>
    <row r="21" spans="1:5">
      <c r="A21" t="s">
        <v>86</v>
      </c>
      <c r="B21"/>
      <c r="C21" s="74"/>
      <c r="D21" s="74"/>
      <c r="E21" s="74"/>
    </row>
    <row r="22" spans="1:5">
      <c r="A22"/>
      <c r="B22" t="s">
        <v>85</v>
      </c>
      <c r="C22" s="74">
        <v>1450000</v>
      </c>
      <c r="D22" s="74">
        <v>290000</v>
      </c>
      <c r="E22" s="74">
        <v>1740000</v>
      </c>
    </row>
    <row r="23" spans="1:5">
      <c r="A23"/>
      <c r="B23" t="s">
        <v>92</v>
      </c>
      <c r="C23" s="74">
        <v>1450000</v>
      </c>
      <c r="D23" s="74">
        <v>246500</v>
      </c>
      <c r="E23" s="74">
        <v>1696500</v>
      </c>
    </row>
    <row r="24" spans="1:5">
      <c r="A24"/>
      <c r="B24" t="s">
        <v>88</v>
      </c>
      <c r="C24" s="74">
        <v>1450000</v>
      </c>
      <c r="D24" s="74">
        <v>246500</v>
      </c>
      <c r="E24" s="74">
        <v>1696500</v>
      </c>
    </row>
    <row r="25" spans="1:5">
      <c r="A25" t="s">
        <v>166</v>
      </c>
      <c r="B25"/>
      <c r="C25" s="74">
        <v>1450000</v>
      </c>
      <c r="D25" s="74">
        <v>290000</v>
      </c>
      <c r="E25" s="74">
        <v>5133000</v>
      </c>
    </row>
    <row r="26" spans="1:5">
      <c r="A26" t="s">
        <v>96</v>
      </c>
      <c r="B26"/>
      <c r="C26" s="74"/>
      <c r="D26" s="74"/>
      <c r="E26" s="74"/>
    </row>
    <row r="27" spans="1:5">
      <c r="A27"/>
      <c r="B27" t="s">
        <v>85</v>
      </c>
      <c r="C27" s="74">
        <v>1350000</v>
      </c>
      <c r="D27" s="74">
        <v>229500</v>
      </c>
      <c r="E27" s="74">
        <v>1579500</v>
      </c>
    </row>
    <row r="28" spans="1:5">
      <c r="A28"/>
      <c r="B28" t="s">
        <v>92</v>
      </c>
      <c r="C28" s="74">
        <v>1350000</v>
      </c>
      <c r="D28" s="74">
        <v>229500</v>
      </c>
      <c r="E28" s="74">
        <v>1579500</v>
      </c>
    </row>
    <row r="29" spans="1:5">
      <c r="A29"/>
      <c r="B29" t="s">
        <v>88</v>
      </c>
      <c r="C29" s="74">
        <v>1350000</v>
      </c>
      <c r="D29" s="74">
        <v>202500</v>
      </c>
      <c r="E29" s="74">
        <v>1552500</v>
      </c>
    </row>
    <row r="30" spans="1:5">
      <c r="A30" t="s">
        <v>164</v>
      </c>
      <c r="B30"/>
      <c r="C30" s="74">
        <v>1350000</v>
      </c>
      <c r="D30" s="74">
        <v>229500</v>
      </c>
      <c r="E30" s="74">
        <v>4711500</v>
      </c>
    </row>
    <row r="31" spans="1:5">
      <c r="A31" t="s">
        <v>93</v>
      </c>
      <c r="B31"/>
      <c r="C31" s="74"/>
      <c r="D31" s="74"/>
      <c r="E31" s="74"/>
    </row>
    <row r="32" spans="1:5">
      <c r="A32"/>
      <c r="B32" t="s">
        <v>85</v>
      </c>
      <c r="C32" s="74">
        <v>1200000</v>
      </c>
      <c r="D32" s="74">
        <v>180000</v>
      </c>
      <c r="E32" s="74">
        <v>1380000</v>
      </c>
    </row>
    <row r="33" spans="1:5">
      <c r="A33"/>
      <c r="B33" t="s">
        <v>92</v>
      </c>
      <c r="C33" s="74">
        <v>1200000</v>
      </c>
      <c r="D33" s="74">
        <v>156000</v>
      </c>
      <c r="E33" s="74">
        <v>1356000</v>
      </c>
    </row>
    <row r="34" spans="1:5">
      <c r="A34"/>
      <c r="B34" t="s">
        <v>88</v>
      </c>
      <c r="C34" s="74">
        <v>1200000</v>
      </c>
      <c r="D34" s="74">
        <v>180000</v>
      </c>
      <c r="E34" s="74">
        <v>1380000</v>
      </c>
    </row>
    <row r="35" spans="1:5">
      <c r="A35" t="s">
        <v>165</v>
      </c>
      <c r="B35"/>
      <c r="C35" s="74">
        <v>1200000</v>
      </c>
      <c r="D35" s="74">
        <v>180000</v>
      </c>
      <c r="E35" s="74">
        <v>4116000</v>
      </c>
    </row>
    <row r="36" spans="1:5">
      <c r="A36" t="s">
        <v>89</v>
      </c>
      <c r="B36"/>
      <c r="C36" s="74"/>
      <c r="D36" s="74"/>
      <c r="E36" s="74"/>
    </row>
    <row r="37" spans="1:5">
      <c r="A37"/>
      <c r="B37" t="s">
        <v>85</v>
      </c>
      <c r="C37" s="74">
        <v>1125000</v>
      </c>
      <c r="D37" s="74">
        <v>168750</v>
      </c>
      <c r="E37" s="74">
        <v>1293750</v>
      </c>
    </row>
    <row r="38" spans="1:5">
      <c r="A38"/>
      <c r="B38" t="s">
        <v>92</v>
      </c>
      <c r="C38" s="74">
        <v>995000</v>
      </c>
      <c r="D38" s="74">
        <v>149250</v>
      </c>
      <c r="E38" s="74">
        <v>1144250</v>
      </c>
    </row>
    <row r="39" spans="1:5">
      <c r="A39"/>
      <c r="B39" t="s">
        <v>88</v>
      </c>
      <c r="C39" s="74">
        <v>1055000</v>
      </c>
      <c r="D39" s="74">
        <v>179350</v>
      </c>
      <c r="E39" s="74">
        <v>1234350</v>
      </c>
    </row>
    <row r="40" spans="1:5">
      <c r="A40" t="s">
        <v>167</v>
      </c>
      <c r="B40"/>
      <c r="C40" s="74">
        <v>1125000</v>
      </c>
      <c r="D40" s="74">
        <v>179350</v>
      </c>
      <c r="E40" s="74">
        <v>3672350</v>
      </c>
    </row>
    <row r="41" spans="1:5">
      <c r="A41" t="s">
        <v>161</v>
      </c>
      <c r="B41"/>
      <c r="C41" s="74">
        <v>1450000</v>
      </c>
      <c r="D41" s="74">
        <v>290000</v>
      </c>
      <c r="E41" s="74">
        <v>17632850</v>
      </c>
    </row>
  </sheetData>
  <phoneticPr fontId="4" type="noConversion"/>
  <pageMargins left="0.75" right="0.75" top="1" bottom="1" header="0.5" footer="0.5"/>
  <pageSetup paperSize="9" orientation="portrait" verticalDpi="0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/>
  </sheetPr>
  <dimension ref="B1:F11"/>
  <sheetViews>
    <sheetView showGridLines="0" workbookViewId="0">
      <selection activeCell="J22" sqref="J22"/>
    </sheetView>
  </sheetViews>
  <sheetFormatPr defaultRowHeight="16.5" outlineLevelRow="1" outlineLevelCol="1"/>
  <cols>
    <col min="3" max="3" width="5.75" customWidth="1"/>
    <col min="4" max="6" width="11.875" bestFit="1" customWidth="1" outlineLevel="1"/>
  </cols>
  <sheetData>
    <row r="1" spans="2:6" ht="17.25" thickBot="1"/>
    <row r="2" spans="2:6">
      <c r="B2" s="30" t="s">
        <v>103</v>
      </c>
      <c r="C2" s="31"/>
      <c r="D2" s="32"/>
      <c r="E2" s="32"/>
      <c r="F2" s="32"/>
    </row>
    <row r="3" spans="2:6" collapsed="1">
      <c r="B3" s="33"/>
      <c r="C3" s="33"/>
      <c r="D3" s="34" t="s">
        <v>104</v>
      </c>
      <c r="E3" s="34" t="s">
        <v>105</v>
      </c>
      <c r="F3" s="34" t="s">
        <v>106</v>
      </c>
    </row>
    <row r="4" spans="2:6" ht="40.5" hidden="1" outlineLevel="1">
      <c r="B4" s="35"/>
      <c r="C4" s="35"/>
      <c r="D4" s="36"/>
      <c r="E4" s="37" t="s">
        <v>107</v>
      </c>
      <c r="F4" s="37" t="s">
        <v>107</v>
      </c>
    </row>
    <row r="5" spans="2:6">
      <c r="B5" s="38" t="s">
        <v>108</v>
      </c>
      <c r="C5" s="39"/>
      <c r="D5" s="40"/>
      <c r="E5" s="40"/>
      <c r="F5" s="40"/>
    </row>
    <row r="6" spans="2:6" outlineLevel="1">
      <c r="B6" s="35"/>
      <c r="C6" s="35" t="s">
        <v>109</v>
      </c>
      <c r="D6" s="41">
        <v>20000000</v>
      </c>
      <c r="E6" s="42">
        <v>30000000</v>
      </c>
      <c r="F6" s="42">
        <v>15000000</v>
      </c>
    </row>
    <row r="7" spans="2:6">
      <c r="B7" s="38" t="s">
        <v>110</v>
      </c>
      <c r="C7" s="39"/>
      <c r="D7" s="40"/>
      <c r="E7" s="40"/>
      <c r="F7" s="40"/>
    </row>
    <row r="8" spans="2:6" ht="17.25" outlineLevel="1" thickBot="1">
      <c r="B8" s="43"/>
      <c r="C8" s="43" t="s">
        <v>111</v>
      </c>
      <c r="D8" s="44">
        <v>622124.36321312899</v>
      </c>
      <c r="E8" s="44">
        <v>933186.54481969296</v>
      </c>
      <c r="F8" s="44">
        <v>466593.27240984602</v>
      </c>
    </row>
    <row r="9" spans="2:6">
      <c r="B9" t="s">
        <v>112</v>
      </c>
    </row>
    <row r="10" spans="2:6">
      <c r="B10" t="s">
        <v>113</v>
      </c>
    </row>
    <row r="11" spans="2:6">
      <c r="B11" t="s">
        <v>114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C6"/>
  <sheetViews>
    <sheetView workbookViewId="0">
      <selection activeCell="G2" sqref="G2"/>
    </sheetView>
  </sheetViews>
  <sheetFormatPr defaultRowHeight="16.5"/>
  <cols>
    <col min="1" max="1" width="4.875" style="2" customWidth="1"/>
    <col min="2" max="2" width="15" style="2" customWidth="1"/>
    <col min="3" max="3" width="13.25" style="2" customWidth="1"/>
    <col min="4" max="16384" width="9" style="2"/>
  </cols>
  <sheetData>
    <row r="1" spans="2:3" ht="17.25" thickBot="1"/>
    <row r="2" spans="2:3" ht="17.25" thickBot="1">
      <c r="B2" s="76" t="s">
        <v>115</v>
      </c>
      <c r="C2" s="77"/>
    </row>
    <row r="3" spans="2:3">
      <c r="B3" s="45" t="s">
        <v>116</v>
      </c>
      <c r="C3" s="46">
        <v>20000000</v>
      </c>
    </row>
    <row r="4" spans="2:3">
      <c r="B4" s="47" t="s">
        <v>117</v>
      </c>
      <c r="C4" s="48">
        <v>7.4999999999999997E-2</v>
      </c>
    </row>
    <row r="5" spans="2:3">
      <c r="B5" s="47" t="s">
        <v>118</v>
      </c>
      <c r="C5" s="49">
        <v>36</v>
      </c>
    </row>
    <row r="6" spans="2:3" ht="17.25" thickBot="1">
      <c r="B6" s="50" t="s">
        <v>119</v>
      </c>
      <c r="C6" s="51">
        <f>PMT(C4/12,C5,-$C3)</f>
        <v>622124.36321312876</v>
      </c>
    </row>
  </sheetData>
  <scenarios current="1" sqref="C6">
    <scenario name="대출금 증가" locked="1" count="1" user="김우경" comment="만든 사람 김우경 날짜 2017-01-03">
      <inputCells r="C3" val="30000000"/>
    </scenario>
    <scenario name="대출금 감소" locked="1" count="1" user="김우경" comment="만든 사람 김우경 날짜 2017-01-03">
      <inputCells r="C3" val="15000000"/>
    </scenario>
  </scenarios>
  <mergeCells count="1">
    <mergeCell ref="B2:C2"/>
  </mergeCells>
  <phoneticPr fontId="4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시나리오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0"/>
  <sheetViews>
    <sheetView workbookViewId="0"/>
  </sheetViews>
  <sheetFormatPr defaultRowHeight="16.5"/>
  <cols>
    <col min="1" max="6" width="9" style="2"/>
    <col min="7" max="7" width="10.875" style="2" customWidth="1"/>
    <col min="8" max="16384" width="9" style="2"/>
  </cols>
  <sheetData>
    <row r="1" spans="1:6" s="9" customFormat="1">
      <c r="A1" s="52"/>
      <c r="B1" s="78" t="s">
        <v>120</v>
      </c>
      <c r="C1" s="78"/>
      <c r="D1" s="78"/>
      <c r="E1" s="78"/>
      <c r="F1" s="78"/>
    </row>
    <row r="2" spans="1:6" s="9" customFormat="1"/>
    <row r="3" spans="1:6" s="9" customFormat="1">
      <c r="A3" s="53" t="s">
        <v>121</v>
      </c>
      <c r="B3" s="53" t="s">
        <v>122</v>
      </c>
      <c r="C3" s="53" t="s">
        <v>123</v>
      </c>
      <c r="D3" s="53" t="s">
        <v>124</v>
      </c>
      <c r="E3" s="53" t="s">
        <v>125</v>
      </c>
      <c r="F3" s="53" t="s">
        <v>126</v>
      </c>
    </row>
    <row r="4" spans="1:6" s="9" customFormat="1">
      <c r="A4" s="53" t="s">
        <v>127</v>
      </c>
      <c r="B4" s="53" t="s">
        <v>128</v>
      </c>
      <c r="C4" s="53">
        <v>720</v>
      </c>
      <c r="D4" s="54">
        <v>498</v>
      </c>
      <c r="E4" s="55">
        <v>3.41</v>
      </c>
      <c r="F4" s="54">
        <v>860</v>
      </c>
    </row>
    <row r="5" spans="1:6" s="9" customFormat="1">
      <c r="A5" s="53" t="s">
        <v>129</v>
      </c>
      <c r="B5" s="53" t="s">
        <v>130</v>
      </c>
      <c r="C5" s="53">
        <v>710</v>
      </c>
      <c r="D5" s="54">
        <v>498</v>
      </c>
      <c r="E5" s="55">
        <v>3.43</v>
      </c>
      <c r="F5" s="54">
        <v>910</v>
      </c>
    </row>
    <row r="6" spans="1:6" s="9" customFormat="1">
      <c r="A6" s="53" t="s">
        <v>131</v>
      </c>
      <c r="B6" s="53" t="s">
        <v>130</v>
      </c>
      <c r="C6" s="53">
        <v>840</v>
      </c>
      <c r="D6" s="54">
        <v>556</v>
      </c>
      <c r="E6" s="55">
        <v>2.94</v>
      </c>
      <c r="F6" s="54">
        <v>980</v>
      </c>
    </row>
    <row r="7" spans="1:6" s="9" customFormat="1">
      <c r="A7" s="53" t="s">
        <v>132</v>
      </c>
      <c r="B7" s="53" t="s">
        <v>130</v>
      </c>
      <c r="C7" s="53">
        <v>775</v>
      </c>
      <c r="D7" s="54">
        <v>510</v>
      </c>
      <c r="E7" s="55">
        <v>3.49</v>
      </c>
      <c r="F7" s="54">
        <v>890</v>
      </c>
    </row>
    <row r="8" spans="1:6" s="9" customFormat="1">
      <c r="A8" s="53" t="s">
        <v>133</v>
      </c>
      <c r="B8" s="53" t="s">
        <v>130</v>
      </c>
      <c r="C8" s="53">
        <v>765</v>
      </c>
      <c r="D8" s="54">
        <v>499</v>
      </c>
      <c r="E8" s="55">
        <v>3.9</v>
      </c>
      <c r="F8" s="54">
        <v>780</v>
      </c>
    </row>
    <row r="9" spans="1:6" s="9" customFormat="1">
      <c r="A9" s="53" t="s">
        <v>134</v>
      </c>
      <c r="B9" s="53" t="s">
        <v>135</v>
      </c>
      <c r="C9" s="53">
        <v>665</v>
      </c>
      <c r="D9" s="54">
        <v>412</v>
      </c>
      <c r="E9" s="55">
        <v>3.63</v>
      </c>
      <c r="F9" s="54">
        <v>910</v>
      </c>
    </row>
    <row r="10" spans="1:6" s="9" customFormat="1">
      <c r="A10" s="53" t="s">
        <v>136</v>
      </c>
      <c r="B10" s="53" t="s">
        <v>135</v>
      </c>
      <c r="C10" s="53">
        <v>875</v>
      </c>
      <c r="D10" s="54">
        <v>534</v>
      </c>
      <c r="E10" s="55">
        <v>3.52</v>
      </c>
      <c r="F10" s="54">
        <v>810</v>
      </c>
    </row>
  </sheetData>
  <mergeCells count="1">
    <mergeCell ref="B1:F1"/>
  </mergeCells>
  <phoneticPr fontId="4" type="noConversion"/>
  <pageMargins left="0.75" right="0.75" top="1" bottom="1" header="0.5" footer="0.5"/>
  <pageSetup paperSize="9" orientation="portrait" horizontalDpi="4294967292" verticalDpi="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I7"/>
  <sheetViews>
    <sheetView workbookViewId="0"/>
  </sheetViews>
  <sheetFormatPr defaultRowHeight="16.5"/>
  <cols>
    <col min="1" max="16384" width="9" style="2"/>
  </cols>
  <sheetData>
    <row r="2" spans="1:9">
      <c r="H2" s="2" t="s">
        <v>137</v>
      </c>
      <c r="I2" s="2" t="s">
        <v>138</v>
      </c>
    </row>
    <row r="3" spans="1:9" ht="17.25">
      <c r="A3" s="56" t="s">
        <v>177</v>
      </c>
      <c r="H3" s="2" t="s">
        <v>140</v>
      </c>
      <c r="I3" s="2" t="s">
        <v>141</v>
      </c>
    </row>
    <row r="4" spans="1:9">
      <c r="H4" s="2" t="s">
        <v>143</v>
      </c>
      <c r="I4" s="2" t="s">
        <v>144</v>
      </c>
    </row>
    <row r="5" spans="1:9">
      <c r="A5" s="57" t="s">
        <v>137</v>
      </c>
      <c r="B5" s="57" t="s">
        <v>169</v>
      </c>
      <c r="C5" s="57" t="s">
        <v>170</v>
      </c>
      <c r="D5" s="57" t="s">
        <v>171</v>
      </c>
      <c r="E5" s="57" t="s">
        <v>172</v>
      </c>
      <c r="H5" s="2" t="s">
        <v>145</v>
      </c>
      <c r="I5" s="2" t="s">
        <v>146</v>
      </c>
    </row>
    <row r="6" spans="1:9">
      <c r="A6" s="2" t="s">
        <v>139</v>
      </c>
      <c r="B6" s="2" t="s">
        <v>173</v>
      </c>
      <c r="C6" s="2">
        <v>15000</v>
      </c>
      <c r="D6" s="2">
        <v>12000</v>
      </c>
      <c r="E6" s="2" t="s">
        <v>175</v>
      </c>
      <c r="H6" s="2" t="s">
        <v>147</v>
      </c>
      <c r="I6" s="2" t="s">
        <v>148</v>
      </c>
    </row>
    <row r="7" spans="1:9">
      <c r="A7" s="2" t="s">
        <v>142</v>
      </c>
      <c r="B7" s="2" t="s">
        <v>174</v>
      </c>
      <c r="C7" s="2">
        <v>13000</v>
      </c>
      <c r="D7" s="2">
        <v>10000</v>
      </c>
      <c r="E7" s="2" t="s">
        <v>176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3</xdr:col>
                <xdr:colOff>209550</xdr:colOff>
                <xdr:row>1</xdr:row>
                <xdr:rowOff>0</xdr:rowOff>
              </from>
              <to>
                <xdr:col>5</xdr:col>
                <xdr:colOff>19050</xdr:colOff>
                <xdr:row>2</xdr:row>
                <xdr:rowOff>133350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계산작업</vt:lpstr>
      <vt:lpstr>대리</vt:lpstr>
      <vt:lpstr>분석작업-1</vt:lpstr>
      <vt:lpstr>시나리오 요약</vt:lpstr>
      <vt:lpstr>분석작업-2</vt:lpstr>
      <vt:lpstr>기타작업-1</vt:lpstr>
      <vt:lpstr>기타작업-2</vt:lpstr>
      <vt:lpstr>'기본작업-2'!Criteria</vt:lpstr>
      <vt:lpstr>'기본작업-2'!Extract</vt:lpstr>
      <vt:lpstr>'기본작업-2'!Print_Area</vt:lpstr>
      <vt:lpstr>'기본작업-2'!Print_Titles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2017-09-05T01:11:43Z</cp:lastPrinted>
  <dcterms:created xsi:type="dcterms:W3CDTF">2017-08-30T05:43:59Z</dcterms:created>
  <dcterms:modified xsi:type="dcterms:W3CDTF">2017-09-06T04:25:06Z</dcterms:modified>
</cp:coreProperties>
</file>