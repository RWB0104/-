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현재_통합_문서" defaultThemeVersion="124226"/>
  <bookViews>
    <workbookView xWindow="480" yWindow="135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definedNames>
    <definedName name="_xlnm._FilterDatabase" localSheetId="1" hidden="1">'기본작업-2'!$B$2:$H$13</definedName>
    <definedName name="_xlnm.Criteria" localSheetId="1">'기본작업-2'!$B$15:$C$19</definedName>
    <definedName name="_xlnm.Extract" localSheetId="1">'기본작업-2'!$B$22:$H$22</definedName>
    <definedName name="_xlnm.Print_Area" localSheetId="1">'기본작업-2'!$B$1:$H$25</definedName>
  </definedNames>
  <calcPr calcId="125725"/>
  <pivotCaches>
    <pivotCache cacheId="1" r:id="rId8"/>
  </pivotCaches>
</workbook>
</file>

<file path=xl/calcChain.xml><?xml version="1.0" encoding="utf-8"?>
<calcChain xmlns="http://schemas.openxmlformats.org/spreadsheetml/2006/main">
  <c r="D10" i="5"/>
  <c r="E9"/>
  <c r="E8"/>
  <c r="E7"/>
  <c r="E6"/>
  <c r="E5"/>
  <c r="E4"/>
  <c r="E3"/>
  <c r="G23" i="3"/>
  <c r="M22" a="1"/>
  <c r="M22" s="1"/>
  <c r="L22" a="1"/>
  <c r="L22" s="1"/>
  <c r="K22" a="1"/>
  <c r="K22" s="1"/>
  <c r="G22"/>
  <c r="G21"/>
  <c r="G20"/>
  <c r="G19"/>
  <c r="G18"/>
  <c r="M17" a="1"/>
  <c r="M17" s="1"/>
  <c r="L17" a="1"/>
  <c r="L17" s="1"/>
  <c r="K17" a="1"/>
  <c r="K17" s="1"/>
  <c r="G17"/>
  <c r="G16"/>
  <c r="G15"/>
  <c r="G14"/>
  <c r="G13"/>
  <c r="G12"/>
  <c r="G11"/>
  <c r="G10"/>
  <c r="G9"/>
  <c r="G8"/>
  <c r="G7"/>
  <c r="G6"/>
  <c r="G5"/>
  <c r="G4"/>
  <c r="G3"/>
  <c r="N11" s="1" a="1"/>
  <c r="N11" s="1"/>
  <c r="H3"/>
  <c r="H14"/>
  <c r="H13"/>
  <c r="H20"/>
  <c r="H5"/>
  <c r="H12"/>
  <c r="H7"/>
  <c r="H17"/>
  <c r="H9"/>
  <c r="H21"/>
  <c r="H19"/>
  <c r="H23"/>
  <c r="H10"/>
  <c r="H18"/>
  <c r="H4"/>
  <c r="H6"/>
  <c r="H22"/>
  <c r="H16"/>
  <c r="H8"/>
  <c r="H15"/>
  <c r="H11"/>
  <c r="E10" i="5" l="1"/>
  <c r="O4" i="3" a="1"/>
  <c r="O4" s="1"/>
  <c r="O6" a="1"/>
  <c r="O6" s="1"/>
  <c r="O9" a="1"/>
  <c r="O9" s="1"/>
  <c r="O11" a="1"/>
  <c r="O11" s="1"/>
  <c r="N3" a="1"/>
  <c r="N3" s="1"/>
  <c r="P3" a="1"/>
  <c r="P3" s="1"/>
  <c r="N5" a="1"/>
  <c r="N5" s="1"/>
  <c r="N6" a="1"/>
  <c r="N6" s="1"/>
  <c r="N7" a="1"/>
  <c r="N7" s="1"/>
  <c r="N8" a="1"/>
  <c r="N8" s="1"/>
  <c r="N9" a="1"/>
  <c r="N9" s="1"/>
  <c r="N10" a="1"/>
  <c r="N10" s="1"/>
  <c r="P10" a="1"/>
  <c r="P10" s="1"/>
  <c r="P11" a="1"/>
  <c r="P11" s="1"/>
  <c r="O3" a="1"/>
  <c r="O3" s="1"/>
  <c r="O5" a="1"/>
  <c r="O5" s="1"/>
  <c r="O7" a="1"/>
  <c r="O7" s="1"/>
  <c r="O8" a="1"/>
  <c r="O8" s="1"/>
  <c r="O10" a="1"/>
  <c r="O10" s="1"/>
  <c r="N4" a="1"/>
  <c r="N4" s="1"/>
  <c r="P4" a="1"/>
  <c r="P4" s="1"/>
  <c r="P5" a="1"/>
  <c r="P5" s="1"/>
  <c r="P6" a="1"/>
  <c r="P6" s="1"/>
  <c r="P7" a="1"/>
  <c r="P7" s="1"/>
  <c r="P8" a="1"/>
  <c r="P8" s="1"/>
  <c r="P9" a="1"/>
  <c r="P9" s="1"/>
</calcChain>
</file>

<file path=xl/sharedStrings.xml><?xml version="1.0" encoding="utf-8"?>
<sst xmlns="http://schemas.openxmlformats.org/spreadsheetml/2006/main" count="284" uniqueCount="188">
  <si>
    <t>팀별 가공 현황</t>
    <phoneticPr fontId="5" type="noConversion"/>
  </si>
  <si>
    <t>고객 예금정보</t>
    <phoneticPr fontId="5" type="noConversion"/>
  </si>
  <si>
    <t>계좌번호</t>
  </si>
  <si>
    <t>고객명</t>
  </si>
  <si>
    <t>주민번호</t>
  </si>
  <si>
    <t>예금종류</t>
  </si>
  <si>
    <t>잔액</t>
  </si>
  <si>
    <t>개설일자</t>
  </si>
  <si>
    <t>개설지점</t>
  </si>
  <si>
    <t>615-21-2831</t>
  </si>
  <si>
    <t>길호성</t>
  </si>
  <si>
    <t>740503-117628</t>
  </si>
  <si>
    <t>보통예금</t>
  </si>
  <si>
    <t>인천지점</t>
  </si>
  <si>
    <t>582-21-7255</t>
  </si>
  <si>
    <t>김건희</t>
  </si>
  <si>
    <t>751129-108141</t>
  </si>
  <si>
    <t>강남지점</t>
  </si>
  <si>
    <t>582-21-4166</t>
  </si>
  <si>
    <t>국혜선</t>
  </si>
  <si>
    <t>761008-254891</t>
  </si>
  <si>
    <t>417-21-9094</t>
  </si>
  <si>
    <t>우찬성</t>
  </si>
  <si>
    <t>431024-134781</t>
  </si>
  <si>
    <t>수원지점</t>
  </si>
  <si>
    <t>417-21-2594</t>
  </si>
  <si>
    <t>이하균</t>
  </si>
  <si>
    <t>680409-108291</t>
  </si>
  <si>
    <t>201-21-2734</t>
  </si>
  <si>
    <t>최창선</t>
  </si>
  <si>
    <t>671120-109457</t>
  </si>
  <si>
    <t>과천지점</t>
  </si>
  <si>
    <t>201-21-1278</t>
  </si>
  <si>
    <t>송정민</t>
  </si>
  <si>
    <t>720505-216654</t>
  </si>
  <si>
    <t>101-21-0245</t>
  </si>
  <si>
    <t>김성태</t>
  </si>
  <si>
    <t>581029-104844</t>
  </si>
  <si>
    <t>송파지점</t>
  </si>
  <si>
    <t>582-27-0329</t>
  </si>
  <si>
    <t>장민준</t>
  </si>
  <si>
    <t>550425-105436</t>
  </si>
  <si>
    <t>저축예금</t>
  </si>
  <si>
    <t>302-27-0023</t>
  </si>
  <si>
    <t>전은창</t>
  </si>
  <si>
    <t>760604-175243</t>
  </si>
  <si>
    <t>대전지점</t>
  </si>
  <si>
    <t>101-27-7153</t>
  </si>
  <si>
    <t>민형태</t>
  </si>
  <si>
    <t>620917-128792</t>
  </si>
  <si>
    <t>개설지점</t>
    <phoneticPr fontId="4" type="noConversion"/>
  </si>
  <si>
    <t>잔액</t>
    <phoneticPr fontId="4" type="noConversion"/>
  </si>
  <si>
    <t>강남지점</t>
    <phoneticPr fontId="4" type="noConversion"/>
  </si>
  <si>
    <t>&lt;0</t>
    <phoneticPr fontId="4" type="noConversion"/>
  </si>
  <si>
    <t>&gt;=60000</t>
    <phoneticPr fontId="4" type="noConversion"/>
  </si>
  <si>
    <t>수원지점</t>
    <phoneticPr fontId="4" type="noConversion"/>
  </si>
  <si>
    <t>[표1]</t>
    <phoneticPr fontId="5" type="noConversion"/>
  </si>
  <si>
    <t>[표2]</t>
    <phoneticPr fontId="5" type="noConversion"/>
  </si>
  <si>
    <t>성적 분포도</t>
    <phoneticPr fontId="5" type="noConversion"/>
  </si>
  <si>
    <t>성명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</si>
  <si>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</si>
  <si>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</si>
  <si>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</si>
  <si>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결석</t>
    <phoneticPr fontId="5" type="noConversion"/>
  </si>
  <si>
    <t>평균</t>
    <phoneticPr fontId="5" type="noConversion"/>
  </si>
  <si>
    <t>평점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</si>
  <si>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</si>
  <si>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</si>
  <si>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</si>
  <si>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강애연</t>
  </si>
  <si>
    <t>F</t>
    <phoneticPr fontId="5" type="noConversion"/>
  </si>
  <si>
    <t>강충기</t>
  </si>
  <si>
    <t>D</t>
    <phoneticPr fontId="5" type="noConversion"/>
  </si>
  <si>
    <t>김규한</t>
  </si>
  <si>
    <t>D+</t>
    <phoneticPr fontId="5" type="noConversion"/>
  </si>
  <si>
    <t>김동구</t>
  </si>
  <si>
    <t>C</t>
    <phoneticPr fontId="5" type="noConversion"/>
  </si>
  <si>
    <t>김병철</t>
  </si>
  <si>
    <t>C+</t>
    <phoneticPr fontId="5" type="noConversion"/>
  </si>
  <si>
    <t>김영석</t>
  </si>
  <si>
    <t>B</t>
    <phoneticPr fontId="5" type="noConversion"/>
  </si>
  <si>
    <t>김용철</t>
  </si>
  <si>
    <t>B+</t>
    <phoneticPr fontId="5" type="noConversion"/>
  </si>
  <si>
    <t>김인철</t>
  </si>
  <si>
    <t>A</t>
    <phoneticPr fontId="5" type="noConversion"/>
  </si>
  <si>
    <t>김재웅</t>
  </si>
  <si>
    <t>A+</t>
    <phoneticPr fontId="5" type="noConversion"/>
  </si>
  <si>
    <t>김종진</t>
  </si>
  <si>
    <t>김호진</t>
  </si>
  <si>
    <t>박득우</t>
  </si>
  <si>
    <t>박중태</t>
  </si>
  <si>
    <t>[표3]</t>
    <phoneticPr fontId="5" type="noConversion"/>
  </si>
  <si>
    <t>반별 평균</t>
    <phoneticPr fontId="5" type="noConversion"/>
  </si>
  <si>
    <t>박한식</t>
  </si>
  <si>
    <t>신점기</t>
  </si>
  <si>
    <t>신종갑</t>
  </si>
  <si>
    <t>오문규</t>
  </si>
  <si>
    <t>[표4]</t>
    <phoneticPr fontId="5" type="noConversion"/>
  </si>
  <si>
    <t>반별 평균차</t>
  </si>
  <si>
    <t>오진영</t>
  </si>
  <si>
    <t>이유석</t>
  </si>
  <si>
    <t>이홍기</t>
  </si>
  <si>
    <t>정창욱</t>
  </si>
  <si>
    <t>길분 콘도 이용 현황</t>
    <phoneticPr fontId="5" type="noConversion"/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</si>
  <si>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</si>
  <si>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</si>
  <si>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</si>
  <si>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</si>
  <si>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</si>
  <si>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</si>
  <si>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</si>
  <si>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</si>
  <si>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</si>
  <si>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</si>
  <si>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</si>
  <si>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합계</t>
  </si>
  <si>
    <t>자원별 목재수급 현황</t>
    <phoneticPr fontId="5" type="noConversion"/>
  </si>
  <si>
    <r>
      <t>단위: 1,000m</t>
    </r>
    <r>
      <rPr>
        <vertAlign val="superscript"/>
        <sz val="10"/>
        <color indexed="59"/>
        <rFont val="맑은 고딕"/>
        <family val="3"/>
        <charset val="129"/>
        <scheme val="major"/>
      </rPr>
      <t>3</t>
    </r>
    <phoneticPr fontId="5" type="noConversion"/>
  </si>
  <si>
    <t>연도</t>
  </si>
  <si>
    <t>내재</t>
  </si>
  <si>
    <t>외재</t>
  </si>
  <si>
    <t>합계</t>
    <phoneticPr fontId="5" type="noConversion"/>
  </si>
  <si>
    <t>폐재</t>
  </si>
  <si>
    <t>자급율(%)</t>
    <phoneticPr fontId="5" type="noConversion"/>
  </si>
  <si>
    <t>2012년</t>
  </si>
  <si>
    <t>2013년</t>
  </si>
  <si>
    <t>2014년</t>
  </si>
  <si>
    <t>2015년</t>
    <phoneticPr fontId="5" type="noConversion"/>
  </si>
  <si>
    <t>2016년</t>
    <phoneticPr fontId="5" type="noConversion"/>
  </si>
  <si>
    <t xml:space="preserve"> </t>
    <phoneticPr fontId="5" type="noConversion"/>
  </si>
  <si>
    <t>사원번호</t>
    <phoneticPr fontId="5" type="noConversion"/>
  </si>
  <si>
    <t>부서명</t>
    <phoneticPr fontId="5" type="noConversion"/>
  </si>
  <si>
    <t>기본수당</t>
    <phoneticPr fontId="5" type="noConversion"/>
  </si>
  <si>
    <t>판매수당</t>
    <phoneticPr fontId="5" type="noConversion"/>
  </si>
  <si>
    <t>고과점수</t>
    <phoneticPr fontId="5" type="noConversion"/>
  </si>
  <si>
    <t>비고</t>
    <phoneticPr fontId="5" type="noConversion"/>
  </si>
  <si>
    <t>기본판매수량</t>
    <phoneticPr fontId="5" type="noConversion"/>
  </si>
  <si>
    <t>기본판매단가</t>
    <phoneticPr fontId="5" type="noConversion"/>
  </si>
  <si>
    <t>초과판매단가</t>
    <phoneticPr fontId="5" type="noConversion"/>
  </si>
  <si>
    <t>1</t>
  </si>
  <si>
    <t>전산</t>
  </si>
  <si>
    <t>전산</t>
    <phoneticPr fontId="5" type="noConversion"/>
  </si>
  <si>
    <t>2</t>
  </si>
  <si>
    <t>홍보</t>
  </si>
  <si>
    <t>홍보</t>
    <phoneticPr fontId="5" type="noConversion"/>
  </si>
  <si>
    <t>3</t>
  </si>
  <si>
    <t>자재</t>
  </si>
  <si>
    <t>주의</t>
  </si>
  <si>
    <t>총무</t>
    <phoneticPr fontId="5" type="noConversion"/>
  </si>
  <si>
    <t>4</t>
  </si>
  <si>
    <t>총무</t>
  </si>
  <si>
    <t>영업</t>
    <phoneticPr fontId="5" type="noConversion"/>
  </si>
  <si>
    <t>자재</t>
    <phoneticPr fontId="5" type="noConversion"/>
  </si>
  <si>
    <t>가공품명</t>
  </si>
  <si>
    <t>가공팀</t>
  </si>
  <si>
    <t>가공일</t>
  </si>
  <si>
    <t>가공수량</t>
  </si>
  <si>
    <t>가공원가</t>
  </si>
  <si>
    <t>목표매출액</t>
  </si>
  <si>
    <t>오렌지가공</t>
  </si>
  <si>
    <t>제조2팀</t>
  </si>
  <si>
    <t>제조6팀</t>
  </si>
  <si>
    <t>품목</t>
  </si>
  <si>
    <t>산지</t>
  </si>
  <si>
    <t>단위</t>
  </si>
  <si>
    <t>상품</t>
  </si>
  <si>
    <t>중품</t>
  </si>
  <si>
    <t>하품</t>
  </si>
  <si>
    <t>광어</t>
  </si>
  <si>
    <t>서해</t>
  </si>
  <si>
    <t>자연1Kg</t>
  </si>
  <si>
    <t>농어</t>
  </si>
  <si>
    <t>남해</t>
  </si>
  <si>
    <t>대구</t>
  </si>
  <si>
    <t>동해</t>
  </si>
  <si>
    <t>도미</t>
  </si>
  <si>
    <t>양식1Kg</t>
  </si>
  <si>
    <t>방어</t>
  </si>
  <si>
    <t>붕장어</t>
  </si>
  <si>
    <t>오징어</t>
  </si>
  <si>
    <t>자연8Kg</t>
  </si>
  <si>
    <t>우럭</t>
  </si>
  <si>
    <t>전복</t>
  </si>
  <si>
    <t>***</t>
  </si>
  <si>
    <t>값</t>
  </si>
  <si>
    <t>합계 : 하품</t>
  </si>
  <si>
    <t>합계 : 상품</t>
  </si>
  <si>
    <t>합계 : 중품</t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</si>
</sst>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;&quot;-₩&quot;#,##0"/>
  </numFmts>
  <fonts count="15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6"/>
      <color indexed="59"/>
      <name val="맑은 고딕"/>
      <family val="3"/>
      <charset val="129"/>
      <scheme val="major"/>
    </font>
    <font>
      <sz val="10"/>
      <color indexed="59"/>
      <name val="맑은 고딕"/>
      <family val="3"/>
      <charset val="129"/>
      <scheme val="major"/>
    </font>
    <font>
      <vertAlign val="superscript"/>
      <sz val="10"/>
      <color indexed="59"/>
      <name val="맑은 고딕"/>
      <family val="3"/>
      <charset val="129"/>
      <scheme val="major"/>
    </font>
    <font>
      <sz val="11"/>
      <name val="굴림체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/>
  </cellStyleXfs>
  <cellXfs count="58">
    <xf numFmtId="0" fontId="0" fillId="0" borderId="0" xfId="0">
      <alignment vertical="center"/>
    </xf>
    <xf numFmtId="14" fontId="3" fillId="0" borderId="0" xfId="1" applyNumberFormat="1" applyFont="1" applyAlignment="1">
      <alignment vertical="top"/>
    </xf>
    <xf numFmtId="0" fontId="3" fillId="0" borderId="0" xfId="1" applyFont="1" applyBorder="1"/>
    <xf numFmtId="0" fontId="3" fillId="0" borderId="0" xfId="1" applyFont="1"/>
    <xf numFmtId="0" fontId="6" fillId="0" borderId="0" xfId="1" applyFont="1" applyBorder="1"/>
    <xf numFmtId="22" fontId="3" fillId="0" borderId="0" xfId="1" applyNumberFormat="1" applyFont="1"/>
    <xf numFmtId="0" fontId="3" fillId="0" borderId="1" xfId="1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/>
    <xf numFmtId="0" fontId="3" fillId="0" borderId="1" xfId="1" applyFont="1" applyBorder="1"/>
    <xf numFmtId="0" fontId="3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41" fontId="3" fillId="0" borderId="1" xfId="2" applyFont="1" applyBorder="1" applyAlignment="1">
      <alignment horizontal="center"/>
    </xf>
    <xf numFmtId="41" fontId="3" fillId="0" borderId="1" xfId="1" applyNumberFormat="1" applyFont="1" applyBorder="1"/>
    <xf numFmtId="0" fontId="8" fillId="0" borderId="4" xfId="1" applyFont="1" applyBorder="1" applyAlignment="1">
      <alignment horizontal="center" wrapText="1"/>
    </xf>
    <xf numFmtId="0" fontId="9" fillId="0" borderId="4" xfId="1" applyFont="1" applyBorder="1" applyAlignment="1">
      <alignment horizontal="right"/>
    </xf>
    <xf numFmtId="37" fontId="3" fillId="2" borderId="1" xfId="2" applyNumberFormat="1" applyFont="1" applyFill="1" applyBorder="1" applyAlignment="1">
      <alignment horizontal="center"/>
    </xf>
    <xf numFmtId="37" fontId="3" fillId="2" borderId="1" xfId="2" applyNumberFormat="1" applyFont="1" applyFill="1" applyBorder="1" applyAlignment="1">
      <alignment horizontal="center" wrapText="1"/>
    </xf>
    <xf numFmtId="0" fontId="3" fillId="0" borderId="1" xfId="2" applyNumberFormat="1" applyFont="1" applyFill="1" applyBorder="1" applyAlignment="1">
      <alignment horizontal="center" wrapText="1"/>
    </xf>
    <xf numFmtId="37" fontId="3" fillId="0" borderId="1" xfId="2" applyNumberFormat="1" applyFont="1" applyBorder="1" applyAlignment="1">
      <alignment horizontal="right"/>
    </xf>
    <xf numFmtId="37" fontId="3" fillId="0" borderId="1" xfId="2" applyNumberFormat="1" applyFont="1" applyBorder="1" applyAlignment="1">
      <alignment wrapText="1"/>
    </xf>
    <xf numFmtId="0" fontId="3" fillId="0" borderId="1" xfId="3" applyNumberFormat="1" applyFont="1" applyBorder="1" applyAlignment="1">
      <alignment wrapText="1"/>
    </xf>
    <xf numFmtId="0" fontId="3" fillId="0" borderId="1" xfId="2" applyNumberFormat="1" applyFont="1" applyBorder="1" applyAlignment="1">
      <alignment horizontal="center" wrapText="1"/>
    </xf>
    <xf numFmtId="37" fontId="3" fillId="0" borderId="1" xfId="2" applyNumberFormat="1" applyFont="1" applyBorder="1" applyAlignment="1"/>
    <xf numFmtId="0" fontId="3" fillId="0" borderId="1" xfId="3" applyNumberFormat="1" applyFont="1" applyBorder="1" applyAlignment="1"/>
    <xf numFmtId="0" fontId="6" fillId="0" borderId="0" xfId="1" applyFont="1" applyAlignment="1">
      <alignment horizontal="center"/>
    </xf>
    <xf numFmtId="0" fontId="11" fillId="0" borderId="0" xfId="1" applyFont="1"/>
    <xf numFmtId="0" fontId="0" fillId="4" borderId="6" xfId="0" applyFont="1" applyFill="1" applyBorder="1">
      <alignment vertical="center"/>
    </xf>
    <xf numFmtId="0" fontId="0" fillId="4" borderId="7" xfId="0" applyFont="1" applyFill="1" applyBorder="1">
      <alignment vertical="center"/>
    </xf>
    <xf numFmtId="22" fontId="0" fillId="4" borderId="7" xfId="0" applyNumberFormat="1" applyFont="1" applyFill="1" applyBorder="1">
      <alignment vertical="center"/>
    </xf>
    <xf numFmtId="0" fontId="0" fillId="4" borderId="8" xfId="0" applyFont="1" applyFill="1" applyBorder="1">
      <alignment vertical="center"/>
    </xf>
    <xf numFmtId="0" fontId="1" fillId="3" borderId="9" xfId="0" applyFont="1" applyFill="1" applyBorder="1">
      <alignment vertical="center"/>
    </xf>
    <xf numFmtId="0" fontId="1" fillId="3" borderId="10" xfId="0" applyFont="1" applyFill="1" applyBorder="1">
      <alignment vertical="center"/>
    </xf>
    <xf numFmtId="0" fontId="1" fillId="3" borderId="11" xfId="0" applyFont="1" applyFill="1" applyBorder="1">
      <alignment vertical="center"/>
    </xf>
    <xf numFmtId="0" fontId="0" fillId="4" borderId="9" xfId="0" applyFont="1" applyFill="1" applyBorder="1">
      <alignment vertical="center"/>
    </xf>
    <xf numFmtId="0" fontId="0" fillId="4" borderId="10" xfId="0" applyFont="1" applyFill="1" applyBorder="1">
      <alignment vertical="center"/>
    </xf>
    <xf numFmtId="22" fontId="0" fillId="4" borderId="10" xfId="0" applyNumberFormat="1" applyFont="1" applyFill="1" applyBorder="1">
      <alignment vertical="center"/>
    </xf>
    <xf numFmtId="0" fontId="0" fillId="4" borderId="11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22" fontId="0" fillId="0" borderId="10" xfId="0" applyNumberFormat="1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42" fontId="0" fillId="0" borderId="0" xfId="0" applyNumberFormat="1" applyAlignment="1">
      <alignment horizontal="center" vertical="center"/>
    </xf>
    <xf numFmtId="0" fontId="12" fillId="5" borderId="1" xfId="4" applyFont="1" applyFill="1" applyBorder="1" applyAlignment="1">
      <alignment horizontal="center"/>
    </xf>
    <xf numFmtId="0" fontId="12" fillId="0" borderId="1" xfId="4" applyFont="1" applyFill="1" applyBorder="1" applyAlignment="1">
      <alignment wrapText="1"/>
    </xf>
    <xf numFmtId="176" fontId="12" fillId="0" borderId="1" xfId="4" applyNumberFormat="1" applyFont="1" applyFill="1" applyBorder="1" applyAlignment="1">
      <alignment horizontal="right" wrapText="1"/>
    </xf>
    <xf numFmtId="0" fontId="13" fillId="0" borderId="1" xfId="4" applyBorder="1"/>
    <xf numFmtId="0" fontId="6" fillId="0" borderId="0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7" fillId="0" borderId="4" xfId="1" applyFont="1" applyBorder="1" applyAlignment="1">
      <alignment horizontal="center" vertical="center"/>
    </xf>
    <xf numFmtId="0" fontId="3" fillId="0" borderId="2" xfId="1" applyFont="1" applyFill="1" applyBorder="1" applyAlignment="1">
      <alignment horizontal="center"/>
    </xf>
    <xf numFmtId="0" fontId="3" fillId="0" borderId="5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center"/>
    </xf>
    <xf numFmtId="0" fontId="8" fillId="0" borderId="0" xfId="1" applyFont="1" applyBorder="1" applyAlignment="1">
      <alignment horizontal="center"/>
    </xf>
  </cellXfs>
  <cellStyles count="5">
    <cellStyle name="백분율 2" xfId="3"/>
    <cellStyle name="쉼표 [0] 2" xfId="2"/>
    <cellStyle name="표준" xfId="0" builtinId="0"/>
    <cellStyle name="표준 2" xfId="1"/>
    <cellStyle name="표준_분석작업-1" xfId="4"/>
  </cellStyles>
  <dxfs count="2">
    <dxf>
      <alignment horizontal="center" readingOrder="0"/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roundedCorners val="1"/>
  <c:chart>
    <c:title>
      <c:tx>
        <c:rich>
          <a:bodyPr/>
          <a:lstStyle/>
          <a:p>
            <a:pPr>
              <a:defRPr/>
            </a:pPr>
            <a:r>
              <a:rPr lang="ko-KR" altLang="en-US"/>
              <a:t>년도별 자급율 현황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자급율(%)</c:v>
                </c:pt>
              </c:strCache>
            </c:strRef>
          </c:tx>
          <c:cat>
            <c:strRef>
              <c:f>'기타작업-1'!$A$4:$A$8</c:f>
              <c:strCache>
                <c:ptCount val="5"/>
                <c:pt idx="0">
                  <c:v>2012년</c:v>
                </c:pt>
                <c:pt idx="1">
                  <c:v>2013년</c:v>
                </c:pt>
                <c:pt idx="2">
                  <c:v>2014년</c:v>
                </c:pt>
                <c:pt idx="3">
                  <c:v>2015년</c:v>
                </c:pt>
                <c:pt idx="4">
                  <c:v>2016년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12.82</c:v>
                </c:pt>
                <c:pt idx="1">
                  <c:v>14.879999999999999</c:v>
                </c:pt>
                <c:pt idx="2">
                  <c:v>12.839999999999998</c:v>
                </c:pt>
                <c:pt idx="3">
                  <c:v>32.67</c:v>
                </c:pt>
                <c:pt idx="4">
                  <c:v>34.369999999999997</c:v>
                </c:pt>
              </c:numCache>
            </c:numRef>
          </c:val>
        </c:ser>
        <c:marker val="1"/>
        <c:axId val="39887616"/>
        <c:axId val="40257024"/>
      </c:lineChart>
      <c:catAx>
        <c:axId val="39887616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년도</a:t>
                </a:r>
              </a:p>
            </c:rich>
          </c:tx>
          <c:layout/>
        </c:title>
        <c:tickLblPos val="nextTo"/>
        <c:crossAx val="40257024"/>
        <c:crosses val="autoZero"/>
        <c:auto val="1"/>
        <c:lblAlgn val="ctr"/>
        <c:lblOffset val="100"/>
      </c:catAx>
      <c:valAx>
        <c:axId val="40257024"/>
        <c:scaling>
          <c:orientation val="minMax"/>
        </c:scaling>
        <c:axPos val="l"/>
        <c:majorGridlines/>
        <c:numFmt formatCode="0&quot;%&quot;" sourceLinked="0"/>
        <c:tickLblPos val="nextTo"/>
        <c:crossAx val="39887616"/>
        <c:crosses val="autoZero"/>
        <c:crossBetween val="between"/>
      </c:valAx>
    </c:plotArea>
    <c:legend>
      <c:legendPos val="r"/>
      <c:layout/>
    </c:legend>
    <c:plotVisOnly val="1"/>
    <c:dispBlanksAs val="gap"/>
  </c:chart>
  <c:spPr>
    <a:effectLst>
      <a:glow rad="101600">
        <a:schemeClr val="accent1">
          <a:satMod val="175000"/>
          <a:alpha val="40000"/>
        </a:schemeClr>
      </a:glow>
    </a:effectLst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2066925" y="0"/>
          <a:ext cx="666750" cy="0"/>
        </a:xfrm>
        <a:prstGeom prst="wedgeEllipseCallout">
          <a:avLst>
            <a:gd name="adj1" fmla="val -41028"/>
            <a:gd name="adj2" fmla="val 6929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표시형식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4</xdr:col>
      <xdr:colOff>742950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2752725" y="0"/>
          <a:ext cx="666750" cy="0"/>
        </a:xfrm>
        <a:prstGeom prst="wedgeEllipseCallout">
          <a:avLst>
            <a:gd name="adj1" fmla="val -38157"/>
            <a:gd name="adj2" fmla="val 6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평균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911690740744" createdVersion="4" refreshedVersion="4" minRefreshableVersion="3" recordCount="9">
  <cacheSource type="worksheet">
    <worksheetSource ref="A1:F10" sheet="분석작업-1"/>
  </cacheSource>
  <cacheFields count="6">
    <cacheField name="품목" numFmtId="0">
      <sharedItems count="9">
        <s v="광어"/>
        <s v="농어"/>
        <s v="대구"/>
        <s v="도미"/>
        <s v="방어"/>
        <s v="붕장어"/>
        <s v="오징어"/>
        <s v="우럭"/>
        <s v="전복"/>
      </sharedItems>
    </cacheField>
    <cacheField name="산지" numFmtId="0">
      <sharedItems count="3">
        <s v="서해"/>
        <s v="남해"/>
        <s v="동해"/>
      </sharedItems>
    </cacheField>
    <cacheField name="단위" numFmtId="0">
      <sharedItems/>
    </cacheField>
    <cacheField name="상품" numFmtId="0">
      <sharedItems containsString="0" containsBlank="1" containsNumber="1" containsInteger="1" minValue="8000" maxValue="130000"/>
    </cacheField>
    <cacheField name="중품" numFmtId="0">
      <sharedItems containsString="0" containsBlank="1" containsNumber="1" containsInteger="1" minValue="5000" maxValue="24000"/>
    </cacheField>
    <cacheField name="하품" numFmtId="0">
      <sharedItems containsString="0" containsBlank="1" containsNumber="1" containsInteger="1" minValue="5000" maxValue="1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s v="자연1Kg"/>
    <n v="41000"/>
    <n v="24000"/>
    <n v="6000"/>
  </r>
  <r>
    <x v="1"/>
    <x v="1"/>
    <s v="자연1Kg"/>
    <n v="10000"/>
    <n v="7000"/>
    <n v="5000"/>
  </r>
  <r>
    <x v="2"/>
    <x v="2"/>
    <s v="자연1Kg"/>
    <n v="17000"/>
    <n v="11000"/>
    <n v="6000"/>
  </r>
  <r>
    <x v="3"/>
    <x v="1"/>
    <s v="양식1Kg"/>
    <n v="8000"/>
    <m/>
    <n v="5000"/>
  </r>
  <r>
    <x v="4"/>
    <x v="2"/>
    <s v="자연1Kg"/>
    <n v="25000"/>
    <n v="15000"/>
    <n v="5000"/>
  </r>
  <r>
    <x v="5"/>
    <x v="1"/>
    <s v="자연1Kg"/>
    <n v="16000"/>
    <m/>
    <n v="14000"/>
  </r>
  <r>
    <x v="6"/>
    <x v="2"/>
    <s v="자연8Kg"/>
    <n v="19000"/>
    <n v="15000"/>
    <n v="8000"/>
  </r>
  <r>
    <x v="7"/>
    <x v="1"/>
    <s v="양식1Kg"/>
    <m/>
    <n v="5000"/>
    <m/>
  </r>
  <r>
    <x v="8"/>
    <x v="0"/>
    <s v="자연1Kg"/>
    <n v="13000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1" dataOnRows="1" applyNumberFormats="0" applyBorderFormats="0" applyFontFormats="0" applyPatternFormats="0" applyAlignmentFormats="0" applyWidthHeightFormats="1" dataCaption="값" missingCaption="***" updatedVersion="4" minRefreshableVersion="3" useAutoFormatting="1" rowGrandTotals="0" colGrandTotals="0" itemPrintTitles="1" createdVersion="4" indent="0" compact="0" compactData="0" multipleFieldFilters="0">
  <location ref="H2:K14" firstHeaderRow="1" firstDataRow="1" firstDataCol="3"/>
  <pivotFields count="6"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>
      <items count="4">
        <item x="1"/>
        <item h="1" x="2"/>
        <item h="1" x="0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3">
    <field x="0"/>
    <field x="1"/>
    <field x="-2"/>
  </rowFields>
  <rowItems count="12">
    <i>
      <x v="1"/>
      <x/>
      <x/>
    </i>
    <i r="2" i="1">
      <x v="1"/>
    </i>
    <i r="2" i="2">
      <x v="2"/>
    </i>
    <i>
      <x v="3"/>
      <x/>
      <x/>
    </i>
    <i r="2" i="1">
      <x v="1"/>
    </i>
    <i r="2" i="2">
      <x v="2"/>
    </i>
    <i>
      <x v="5"/>
      <x/>
      <x/>
    </i>
    <i r="2" i="1">
      <x v="1"/>
    </i>
    <i r="2" i="2">
      <x v="2"/>
    </i>
    <i>
      <x v="7"/>
      <x/>
      <x/>
    </i>
    <i r="2" i="1">
      <x v="1"/>
    </i>
    <i r="2" i="2">
      <x v="2"/>
    </i>
  </rowItems>
  <colItems count="1">
    <i/>
  </colItems>
  <dataFields count="3">
    <dataField name="합계 : 상품" fld="3" baseField="1" baseItem="0" numFmtId="42"/>
    <dataField name="합계 : 중품" fld="4" baseField="1" baseItem="0" numFmtId="42"/>
    <dataField name="합계 : 하품" fld="5" baseField="1" baseItem="0" numFmtId="42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tabSelected="1" workbookViewId="0">
      <selection activeCell="I21" sqref="I21"/>
    </sheetView>
  </sheetViews>
  <sheetFormatPr defaultRowHeight="16.5"/>
  <cols>
    <col min="1" max="1" width="11.25" customWidth="1"/>
    <col min="2" max="2" width="9.375" bestFit="1" customWidth="1"/>
    <col min="3" max="3" width="15.5" bestFit="1" customWidth="1"/>
    <col min="4" max="5" width="11.25" customWidth="1"/>
    <col min="6" max="6" width="13.25" customWidth="1"/>
  </cols>
  <sheetData>
    <row r="1" spans="1:6">
      <c r="A1" s="1" t="s">
        <v>0</v>
      </c>
    </row>
    <row r="3" spans="1:6">
      <c r="A3" s="32" t="s">
        <v>153</v>
      </c>
      <c r="B3" s="33" t="s">
        <v>154</v>
      </c>
      <c r="C3" s="33" t="s">
        <v>155</v>
      </c>
      <c r="D3" s="33" t="s">
        <v>156</v>
      </c>
      <c r="E3" s="33" t="s">
        <v>157</v>
      </c>
      <c r="F3" s="34" t="s">
        <v>158</v>
      </c>
    </row>
    <row r="4" spans="1:6">
      <c r="A4" s="35" t="s">
        <v>159</v>
      </c>
      <c r="B4" s="36" t="s">
        <v>160</v>
      </c>
      <c r="C4" s="37">
        <v>42393</v>
      </c>
      <c r="D4" s="36">
        <v>670</v>
      </c>
      <c r="E4" s="36">
        <v>100500</v>
      </c>
      <c r="F4" s="38">
        <v>120600</v>
      </c>
    </row>
    <row r="5" spans="1:6">
      <c r="A5" s="39" t="s">
        <v>159</v>
      </c>
      <c r="B5" s="40" t="s">
        <v>160</v>
      </c>
      <c r="C5" s="41">
        <v>42387</v>
      </c>
      <c r="D5" s="40">
        <v>620</v>
      </c>
      <c r="E5" s="40">
        <v>93000</v>
      </c>
      <c r="F5" s="42">
        <v>102300</v>
      </c>
    </row>
    <row r="6" spans="1:6">
      <c r="A6" s="35" t="s">
        <v>159</v>
      </c>
      <c r="B6" s="36" t="s">
        <v>160</v>
      </c>
      <c r="C6" s="37">
        <v>42383</v>
      </c>
      <c r="D6" s="36">
        <v>550</v>
      </c>
      <c r="E6" s="36">
        <v>82500</v>
      </c>
      <c r="F6" s="38">
        <v>90750</v>
      </c>
    </row>
    <row r="7" spans="1:6">
      <c r="A7" s="39" t="s">
        <v>159</v>
      </c>
      <c r="B7" s="40" t="s">
        <v>160</v>
      </c>
      <c r="C7" s="41">
        <v>42400</v>
      </c>
      <c r="D7" s="40">
        <v>520</v>
      </c>
      <c r="E7" s="40">
        <v>78000</v>
      </c>
      <c r="F7" s="42">
        <v>101400</v>
      </c>
    </row>
    <row r="8" spans="1:6">
      <c r="A8" s="35" t="s">
        <v>159</v>
      </c>
      <c r="B8" s="36" t="s">
        <v>161</v>
      </c>
      <c r="C8" s="37">
        <v>42379</v>
      </c>
      <c r="D8" s="36">
        <v>880</v>
      </c>
      <c r="E8" s="36">
        <v>132000</v>
      </c>
      <c r="F8" s="38">
        <v>171600</v>
      </c>
    </row>
    <row r="9" spans="1:6">
      <c r="A9" s="39" t="s">
        <v>159</v>
      </c>
      <c r="B9" s="40" t="s">
        <v>161</v>
      </c>
      <c r="C9" s="41">
        <v>42403</v>
      </c>
      <c r="D9" s="40">
        <v>790</v>
      </c>
      <c r="E9" s="40">
        <v>118500</v>
      </c>
      <c r="F9" s="42">
        <v>130350</v>
      </c>
    </row>
    <row r="10" spans="1:6">
      <c r="A10" s="35" t="s">
        <v>159</v>
      </c>
      <c r="B10" s="36" t="s">
        <v>161</v>
      </c>
      <c r="C10" s="37">
        <v>42385</v>
      </c>
      <c r="D10" s="36">
        <v>710</v>
      </c>
      <c r="E10" s="36">
        <v>106500</v>
      </c>
      <c r="F10" s="38">
        <v>138450</v>
      </c>
    </row>
    <row r="11" spans="1:6">
      <c r="A11" s="39" t="s">
        <v>159</v>
      </c>
      <c r="B11" s="40" t="s">
        <v>161</v>
      </c>
      <c r="C11" s="41">
        <v>42407</v>
      </c>
      <c r="D11" s="40">
        <v>670</v>
      </c>
      <c r="E11" s="40">
        <v>100500</v>
      </c>
      <c r="F11" s="42">
        <v>110550</v>
      </c>
    </row>
    <row r="12" spans="1:6">
      <c r="A12" s="28" t="s">
        <v>159</v>
      </c>
      <c r="B12" s="29" t="s">
        <v>161</v>
      </c>
      <c r="C12" s="30">
        <v>42399</v>
      </c>
      <c r="D12" s="29">
        <v>660</v>
      </c>
      <c r="E12" s="29">
        <v>99000</v>
      </c>
      <c r="F12" s="31">
        <v>108900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25"/>
  <sheetViews>
    <sheetView workbookViewId="0"/>
  </sheetViews>
  <sheetFormatPr defaultRowHeight="16.5"/>
  <cols>
    <col min="1" max="1" width="2.625" style="3" customWidth="1"/>
    <col min="2" max="2" width="13.75" style="3" bestFit="1" customWidth="1"/>
    <col min="3" max="3" width="9.25" style="3" bestFit="1" customWidth="1"/>
    <col min="4" max="4" width="16.625" style="3" bestFit="1" customWidth="1"/>
    <col min="5" max="5" width="9.25" style="3" bestFit="1" customWidth="1"/>
    <col min="6" max="6" width="10.75" style="3" bestFit="1" customWidth="1"/>
    <col min="7" max="7" width="17.5" style="3" bestFit="1" customWidth="1"/>
    <col min="8" max="8" width="9.25" style="3" bestFit="1" customWidth="1"/>
    <col min="9" max="16384" width="9" style="3"/>
  </cols>
  <sheetData>
    <row r="1" spans="1:8">
      <c r="A1" s="2"/>
      <c r="B1" s="50" t="s">
        <v>1</v>
      </c>
      <c r="C1" s="50"/>
      <c r="D1" s="50"/>
      <c r="E1" s="50"/>
      <c r="F1" s="50"/>
      <c r="G1" s="50"/>
      <c r="H1" s="50"/>
    </row>
    <row r="2" spans="1:8">
      <c r="A2" s="2"/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</row>
    <row r="3" spans="1:8">
      <c r="A3" s="2"/>
      <c r="B3" s="2" t="s">
        <v>9</v>
      </c>
      <c r="C3" s="2" t="s">
        <v>10</v>
      </c>
      <c r="D3" s="2" t="s">
        <v>11</v>
      </c>
      <c r="E3" s="2" t="s">
        <v>12</v>
      </c>
      <c r="F3" s="2">
        <v>-6985423</v>
      </c>
      <c r="G3" s="5">
        <v>39884</v>
      </c>
      <c r="H3" s="2" t="s">
        <v>13</v>
      </c>
    </row>
    <row r="4" spans="1:8">
      <c r="A4" s="2"/>
      <c r="B4" s="2" t="s">
        <v>14</v>
      </c>
      <c r="C4" s="2" t="s">
        <v>15</v>
      </c>
      <c r="D4" s="2" t="s">
        <v>16</v>
      </c>
      <c r="E4" s="2" t="s">
        <v>12</v>
      </c>
      <c r="F4" s="2">
        <v>9382</v>
      </c>
      <c r="G4" s="5">
        <v>39521</v>
      </c>
      <c r="H4" s="2" t="s">
        <v>17</v>
      </c>
    </row>
    <row r="5" spans="1:8">
      <c r="A5" s="2"/>
      <c r="B5" s="2" t="s">
        <v>18</v>
      </c>
      <c r="C5" s="2" t="s">
        <v>19</v>
      </c>
      <c r="D5" s="2" t="s">
        <v>20</v>
      </c>
      <c r="E5" s="2" t="s">
        <v>12</v>
      </c>
      <c r="F5" s="2">
        <v>65214</v>
      </c>
      <c r="G5" s="5">
        <v>42299</v>
      </c>
      <c r="H5" s="2" t="s">
        <v>17</v>
      </c>
    </row>
    <row r="6" spans="1:8">
      <c r="A6" s="2"/>
      <c r="B6" s="2" t="s">
        <v>21</v>
      </c>
      <c r="C6" s="2" t="s">
        <v>22</v>
      </c>
      <c r="D6" s="2" t="s">
        <v>23</v>
      </c>
      <c r="E6" s="2" t="s">
        <v>12</v>
      </c>
      <c r="F6" s="2">
        <v>-568215</v>
      </c>
      <c r="G6" s="5">
        <v>40518</v>
      </c>
      <c r="H6" s="2" t="s">
        <v>24</v>
      </c>
    </row>
    <row r="7" spans="1:8">
      <c r="A7" s="2"/>
      <c r="B7" s="2" t="s">
        <v>25</v>
      </c>
      <c r="C7" s="2" t="s">
        <v>26</v>
      </c>
      <c r="D7" s="2" t="s">
        <v>27</v>
      </c>
      <c r="E7" s="2" t="s">
        <v>12</v>
      </c>
      <c r="F7" s="2">
        <v>25436</v>
      </c>
      <c r="G7" s="5">
        <v>41858</v>
      </c>
      <c r="H7" s="2" t="s">
        <v>24</v>
      </c>
    </row>
    <row r="8" spans="1:8">
      <c r="A8" s="2"/>
      <c r="B8" s="2" t="s">
        <v>28</v>
      </c>
      <c r="C8" s="2" t="s">
        <v>29</v>
      </c>
      <c r="D8" s="2" t="s">
        <v>30</v>
      </c>
      <c r="E8" s="2" t="s">
        <v>12</v>
      </c>
      <c r="F8" s="2">
        <v>612493</v>
      </c>
      <c r="G8" s="5">
        <v>37065</v>
      </c>
      <c r="H8" s="2" t="s">
        <v>31</v>
      </c>
    </row>
    <row r="9" spans="1:8">
      <c r="A9" s="2"/>
      <c r="B9" s="2" t="s">
        <v>32</v>
      </c>
      <c r="C9" s="2" t="s">
        <v>33</v>
      </c>
      <c r="D9" s="2" t="s">
        <v>34</v>
      </c>
      <c r="E9" s="2" t="s">
        <v>12</v>
      </c>
      <c r="F9" s="2">
        <v>32584617</v>
      </c>
      <c r="G9" s="5">
        <v>41613</v>
      </c>
      <c r="H9" s="2" t="s">
        <v>31</v>
      </c>
    </row>
    <row r="10" spans="1:8">
      <c r="A10" s="2"/>
      <c r="B10" s="2" t="s">
        <v>35</v>
      </c>
      <c r="C10" s="2" t="s">
        <v>36</v>
      </c>
      <c r="D10" s="2" t="s">
        <v>37</v>
      </c>
      <c r="E10" s="2" t="s">
        <v>12</v>
      </c>
      <c r="F10" s="2">
        <v>12578406</v>
      </c>
      <c r="G10" s="5">
        <v>42282</v>
      </c>
      <c r="H10" s="2" t="s">
        <v>38</v>
      </c>
    </row>
    <row r="11" spans="1:8">
      <c r="A11" s="2"/>
      <c r="B11" s="2" t="s">
        <v>39</v>
      </c>
      <c r="C11" s="2" t="s">
        <v>40</v>
      </c>
      <c r="D11" s="2" t="s">
        <v>41</v>
      </c>
      <c r="E11" s="2" t="s">
        <v>42</v>
      </c>
      <c r="F11" s="2">
        <v>-682456</v>
      </c>
      <c r="G11" s="5">
        <v>37189</v>
      </c>
      <c r="H11" s="2" t="s">
        <v>17</v>
      </c>
    </row>
    <row r="12" spans="1:8">
      <c r="A12" s="2"/>
      <c r="B12" s="2" t="s">
        <v>43</v>
      </c>
      <c r="C12" s="2" t="s">
        <v>44</v>
      </c>
      <c r="D12" s="2" t="s">
        <v>45</v>
      </c>
      <c r="E12" s="2" t="s">
        <v>42</v>
      </c>
      <c r="F12" s="2">
        <v>-584261</v>
      </c>
      <c r="G12" s="5">
        <v>42301</v>
      </c>
      <c r="H12" s="2" t="s">
        <v>46</v>
      </c>
    </row>
    <row r="13" spans="1:8">
      <c r="A13" s="2"/>
      <c r="B13" s="2" t="s">
        <v>47</v>
      </c>
      <c r="C13" s="2" t="s">
        <v>48</v>
      </c>
      <c r="D13" s="2" t="s">
        <v>49</v>
      </c>
      <c r="E13" s="2" t="s">
        <v>42</v>
      </c>
      <c r="F13" s="2">
        <v>-2648100</v>
      </c>
      <c r="G13" s="5">
        <v>42591</v>
      </c>
      <c r="H13" s="2" t="s">
        <v>38</v>
      </c>
    </row>
    <row r="15" spans="1:8">
      <c r="B15" s="3" t="s">
        <v>50</v>
      </c>
      <c r="C15" s="3" t="s">
        <v>51</v>
      </c>
    </row>
    <row r="16" spans="1:8">
      <c r="B16" s="3" t="s">
        <v>52</v>
      </c>
      <c r="C16" s="3" t="s">
        <v>53</v>
      </c>
    </row>
    <row r="17" spans="2:8">
      <c r="B17" s="3" t="s">
        <v>52</v>
      </c>
      <c r="C17" s="3" t="s">
        <v>54</v>
      </c>
    </row>
    <row r="18" spans="2:8">
      <c r="B18" s="3" t="s">
        <v>55</v>
      </c>
      <c r="C18" s="3" t="s">
        <v>53</v>
      </c>
    </row>
    <row r="19" spans="2:8">
      <c r="B19" s="3" t="s">
        <v>55</v>
      </c>
      <c r="C19" s="3" t="s">
        <v>54</v>
      </c>
    </row>
    <row r="22" spans="2:8">
      <c r="B22" s="4" t="s">
        <v>2</v>
      </c>
      <c r="C22" s="4" t="s">
        <v>3</v>
      </c>
      <c r="D22" s="4" t="s">
        <v>4</v>
      </c>
      <c r="E22" s="4" t="s">
        <v>5</v>
      </c>
      <c r="F22" s="4" t="s">
        <v>6</v>
      </c>
      <c r="G22" s="4" t="s">
        <v>7</v>
      </c>
      <c r="H22" s="4" t="s">
        <v>8</v>
      </c>
    </row>
    <row r="23" spans="2:8">
      <c r="B23" s="2" t="s">
        <v>18</v>
      </c>
      <c r="C23" s="2" t="s">
        <v>19</v>
      </c>
      <c r="D23" s="2" t="s">
        <v>20</v>
      </c>
      <c r="E23" s="2" t="s">
        <v>12</v>
      </c>
      <c r="F23" s="2">
        <v>65214</v>
      </c>
      <c r="G23" s="5">
        <v>42299</v>
      </c>
      <c r="H23" s="2" t="s">
        <v>17</v>
      </c>
    </row>
    <row r="24" spans="2:8">
      <c r="B24" s="2" t="s">
        <v>21</v>
      </c>
      <c r="C24" s="2" t="s">
        <v>22</v>
      </c>
      <c r="D24" s="2" t="s">
        <v>23</v>
      </c>
      <c r="E24" s="2" t="s">
        <v>12</v>
      </c>
      <c r="F24" s="2">
        <v>-568215</v>
      </c>
      <c r="G24" s="5">
        <v>40518</v>
      </c>
      <c r="H24" s="2" t="s">
        <v>24</v>
      </c>
    </row>
    <row r="25" spans="2:8">
      <c r="B25" s="2" t="s">
        <v>39</v>
      </c>
      <c r="C25" s="2" t="s">
        <v>40</v>
      </c>
      <c r="D25" s="2" t="s">
        <v>41</v>
      </c>
      <c r="E25" s="2" t="s">
        <v>42</v>
      </c>
      <c r="F25" s="2">
        <v>-682456</v>
      </c>
      <c r="G25" s="5">
        <v>37189</v>
      </c>
      <c r="H25" s="2" t="s">
        <v>17</v>
      </c>
    </row>
  </sheetData>
  <mergeCells count="1">
    <mergeCell ref="B1:H1"/>
  </mergeCells>
  <phoneticPr fontId="4" type="noConversion"/>
  <conditionalFormatting sqref="B3:H13">
    <cfRule type="expression" dxfId="1" priority="1">
      <formula>OR($H3="송파지점", YEAR($G3)&gt;=2015)</formula>
    </cfRule>
  </conditionalFormatting>
  <printOptions horizontalCentered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&amp;C◆ &amp;P ◆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P23"/>
  <sheetViews>
    <sheetView workbookViewId="0"/>
  </sheetViews>
  <sheetFormatPr defaultRowHeight="16.5"/>
  <cols>
    <col min="1" max="4" width="7.625" style="3" customWidth="1"/>
    <col min="5" max="5" width="6" style="3" customWidth="1"/>
    <col min="6" max="6" width="10.5" style="3" customWidth="1"/>
    <col min="7" max="7" width="5.375" style="3" customWidth="1"/>
    <col min="8" max="9" width="7.625" style="3" customWidth="1"/>
    <col min="10" max="10" width="2.375" style="3" customWidth="1"/>
    <col min="11" max="11" width="6.875" style="3" customWidth="1"/>
    <col min="12" max="12" width="7.5" style="3" customWidth="1"/>
    <col min="13" max="13" width="6.625" style="3" customWidth="1"/>
    <col min="14" max="16" width="4.25" style="3" customWidth="1"/>
    <col min="17" max="16384" width="9" style="3"/>
  </cols>
  <sheetData>
    <row r="1" spans="1:16">
      <c r="A1" s="3" t="s">
        <v>56</v>
      </c>
      <c r="K1" s="3" t="s">
        <v>57</v>
      </c>
      <c r="L1" s="3" t="s">
        <v>58</v>
      </c>
    </row>
    <row r="2" spans="1:16">
      <c r="A2" s="6" t="s">
        <v>59</v>
      </c>
      <c r="B2" s="6" t="s">
        <v>60</v>
      </c>
      <c r="C2" s="6" t="s">
        <v>61</v>
      </c>
      <c r="D2" s="6" t="s">
        <v>62</v>
      </c>
      <c r="E2" s="6" t="s">
        <v>63</v>
      </c>
      <c r="F2" s="7" t="s">
        <v>64</v>
      </c>
      <c r="G2" s="8" t="s">
        <v>65</v>
      </c>
      <c r="H2" s="8" t="s">
        <v>66</v>
      </c>
      <c r="I2" s="6" t="s">
        <v>67</v>
      </c>
      <c r="K2" s="51" t="s">
        <v>68</v>
      </c>
      <c r="L2" s="52"/>
      <c r="M2" s="6" t="s">
        <v>65</v>
      </c>
      <c r="N2" s="8">
        <v>1</v>
      </c>
      <c r="O2" s="9">
        <v>2</v>
      </c>
      <c r="P2" s="9">
        <v>3</v>
      </c>
    </row>
    <row r="3" spans="1:16">
      <c r="A3" s="10" t="s">
        <v>69</v>
      </c>
      <c r="B3" s="10">
        <v>63</v>
      </c>
      <c r="C3" s="10">
        <v>53</v>
      </c>
      <c r="D3" s="10">
        <v>75</v>
      </c>
      <c r="E3" s="10"/>
      <c r="F3" s="10">
        <v>63.7</v>
      </c>
      <c r="G3" s="6" t="str">
        <f>VLOOKUP(F3,$K$3:$M$11,3)</f>
        <v>D</v>
      </c>
      <c r="H3" s="10" t="str">
        <f>sh판정(B3,C3,D3,E3,F3)</f>
        <v>불합격</v>
      </c>
      <c r="I3" s="10">
        <v>1</v>
      </c>
      <c r="K3" s="10">
        <v>0</v>
      </c>
      <c r="L3" s="10">
        <v>59</v>
      </c>
      <c r="M3" s="10" t="s">
        <v>70</v>
      </c>
      <c r="N3" s="10">
        <f t="array" ref="N3">SUM(($G$3:$G$23=$M3)*($I$3:$I$23=N$2))</f>
        <v>0</v>
      </c>
      <c r="O3" s="10">
        <f t="array" ref="O3">SUM(($G$3:$G$23=$M3)*($I$3:$I$23=O$2))</f>
        <v>0</v>
      </c>
      <c r="P3" s="10">
        <f t="array" ref="P3">SUM(($G$3:$G$23=$M3)*($I$3:$I$23=P$2))</f>
        <v>1</v>
      </c>
    </row>
    <row r="4" spans="1:16">
      <c r="A4" s="10" t="s">
        <v>71</v>
      </c>
      <c r="B4" s="10">
        <v>80</v>
      </c>
      <c r="C4" s="10">
        <v>58</v>
      </c>
      <c r="D4" s="10">
        <v>94</v>
      </c>
      <c r="E4" s="10"/>
      <c r="F4" s="10">
        <v>77.3</v>
      </c>
      <c r="G4" s="6" t="str">
        <f t="shared" ref="G4:G23" si="0">VLOOKUP(F4,$K$3:$M$11,3)</f>
        <v>C+</v>
      </c>
      <c r="H4" s="10" t="str">
        <f t="shared" ref="H4" si="1">sh판정(B4,C4,D4,E4,F4)</f>
        <v>불합격</v>
      </c>
      <c r="I4" s="10">
        <v>2</v>
      </c>
      <c r="K4" s="10">
        <v>60</v>
      </c>
      <c r="L4" s="10">
        <v>64</v>
      </c>
      <c r="M4" s="10" t="s">
        <v>72</v>
      </c>
      <c r="N4" s="10">
        <f t="array" ref="N4">SUM(($G$3:$G$23=$M4)*($I$3:$I$23=N$2))</f>
        <v>1</v>
      </c>
      <c r="O4" s="10">
        <f t="array" ref="O4">SUM(($G$3:$G$23=$M4)*($I$3:$I$23=O$2))</f>
        <v>0</v>
      </c>
      <c r="P4" s="10">
        <f t="array" ref="P4">SUM(($G$3:$G$23=$M4)*($I$3:$I$23=P$2))</f>
        <v>0</v>
      </c>
    </row>
    <row r="5" spans="1:16">
      <c r="A5" s="10" t="s">
        <v>73</v>
      </c>
      <c r="B5" s="10">
        <v>91</v>
      </c>
      <c r="C5" s="10">
        <v>66</v>
      </c>
      <c r="D5" s="10">
        <v>89</v>
      </c>
      <c r="E5" s="10">
        <v>2</v>
      </c>
      <c r="F5" s="10">
        <v>82</v>
      </c>
      <c r="G5" s="6" t="str">
        <f t="shared" si="0"/>
        <v>B</v>
      </c>
      <c r="H5" s="10" t="str">
        <f t="shared" ref="H5" si="2">sh판정(B5,C5,D5,E5,F5)</f>
        <v>불합격</v>
      </c>
      <c r="I5" s="10">
        <v>3</v>
      </c>
      <c r="K5" s="10">
        <v>65</v>
      </c>
      <c r="L5" s="10">
        <v>69</v>
      </c>
      <c r="M5" s="10" t="s">
        <v>74</v>
      </c>
      <c r="N5" s="10">
        <f t="array" ref="N5">SUM(($G$3:$G$23=$M5)*($I$3:$I$23=N$2))</f>
        <v>0</v>
      </c>
      <c r="O5" s="10">
        <f t="array" ref="O5">SUM(($G$3:$G$23=$M5)*($I$3:$I$23=O$2))</f>
        <v>1</v>
      </c>
      <c r="P5" s="10">
        <f t="array" ref="P5">SUM(($G$3:$G$23=$M5)*($I$3:$I$23=P$2))</f>
        <v>0</v>
      </c>
    </row>
    <row r="6" spans="1:16">
      <c r="A6" s="10" t="s">
        <v>75</v>
      </c>
      <c r="B6" s="10">
        <v>67</v>
      </c>
      <c r="C6" s="10">
        <v>66</v>
      </c>
      <c r="D6" s="10">
        <v>88</v>
      </c>
      <c r="E6" s="10"/>
      <c r="F6" s="10">
        <v>73.7</v>
      </c>
      <c r="G6" s="6" t="str">
        <f t="shared" si="0"/>
        <v>C</v>
      </c>
      <c r="H6" s="10" t="str">
        <f t="shared" ref="H6" si="3">sh판정(B6,C6,D6,E6,F6)</f>
        <v>합격73</v>
      </c>
      <c r="I6" s="10">
        <v>1</v>
      </c>
      <c r="K6" s="10">
        <v>70</v>
      </c>
      <c r="L6" s="10">
        <v>74</v>
      </c>
      <c r="M6" s="10" t="s">
        <v>76</v>
      </c>
      <c r="N6" s="10">
        <f t="array" ref="N6">SUM(($G$3:$G$23=$M6)*($I$3:$I$23=N$2))</f>
        <v>1</v>
      </c>
      <c r="O6" s="10">
        <f t="array" ref="O6">SUM(($G$3:$G$23=$M6)*($I$3:$I$23=O$2))</f>
        <v>1</v>
      </c>
      <c r="P6" s="10">
        <f t="array" ref="P6">SUM(($G$3:$G$23=$M6)*($I$3:$I$23=P$2))</f>
        <v>2</v>
      </c>
    </row>
    <row r="7" spans="1:16">
      <c r="A7" s="10" t="s">
        <v>77</v>
      </c>
      <c r="B7" s="10">
        <v>96</v>
      </c>
      <c r="C7" s="10">
        <v>91</v>
      </c>
      <c r="D7" s="10">
        <v>99</v>
      </c>
      <c r="E7" s="10"/>
      <c r="F7" s="10">
        <v>95.3</v>
      </c>
      <c r="G7" s="6" t="str">
        <f t="shared" si="0"/>
        <v>A+</v>
      </c>
      <c r="H7" s="10" t="str">
        <f t="shared" ref="H7" si="4">sh판정(B7,C7,D7,E7,F7)</f>
        <v>합격95</v>
      </c>
      <c r="I7" s="10">
        <v>2</v>
      </c>
      <c r="K7" s="10">
        <v>75</v>
      </c>
      <c r="L7" s="10">
        <v>79</v>
      </c>
      <c r="M7" s="10" t="s">
        <v>78</v>
      </c>
      <c r="N7" s="10">
        <f t="array" ref="N7">SUM(($G$3:$G$23=$M7)*($I$3:$I$23=N$2))</f>
        <v>3</v>
      </c>
      <c r="O7" s="10">
        <f t="array" ref="O7">SUM(($G$3:$G$23=$M7)*($I$3:$I$23=O$2))</f>
        <v>3</v>
      </c>
      <c r="P7" s="10">
        <f t="array" ref="P7">SUM(($G$3:$G$23=$M7)*($I$3:$I$23=P$2))</f>
        <v>1</v>
      </c>
    </row>
    <row r="8" spans="1:16">
      <c r="A8" s="10" t="s">
        <v>79</v>
      </c>
      <c r="B8" s="10">
        <v>79</v>
      </c>
      <c r="C8" s="10">
        <v>70</v>
      </c>
      <c r="D8" s="10">
        <v>86</v>
      </c>
      <c r="E8" s="10">
        <v>1</v>
      </c>
      <c r="F8" s="10">
        <v>78.3</v>
      </c>
      <c r="G8" s="6" t="str">
        <f t="shared" si="0"/>
        <v>C+</v>
      </c>
      <c r="H8" s="10" t="str">
        <f t="shared" ref="H8" si="5">sh판정(B8,C8,D8,E8,F8)</f>
        <v>불합격</v>
      </c>
      <c r="I8" s="10">
        <v>3</v>
      </c>
      <c r="K8" s="10">
        <v>80</v>
      </c>
      <c r="L8" s="10">
        <v>84</v>
      </c>
      <c r="M8" s="10" t="s">
        <v>80</v>
      </c>
      <c r="N8" s="10">
        <f t="array" ref="N8">SUM(($G$3:$G$23=$M8)*($I$3:$I$23=N$2))</f>
        <v>1</v>
      </c>
      <c r="O8" s="10">
        <f t="array" ref="O8">SUM(($G$3:$G$23=$M8)*($I$3:$I$23=O$2))</f>
        <v>0</v>
      </c>
      <c r="P8" s="10">
        <f t="array" ref="P8">SUM(($G$3:$G$23=$M8)*($I$3:$I$23=P$2))</f>
        <v>3</v>
      </c>
    </row>
    <row r="9" spans="1:16">
      <c r="A9" s="10" t="s">
        <v>81</v>
      </c>
      <c r="B9" s="10">
        <v>96</v>
      </c>
      <c r="C9" s="10">
        <v>90</v>
      </c>
      <c r="D9" s="10">
        <v>84</v>
      </c>
      <c r="E9" s="10"/>
      <c r="F9" s="10">
        <v>90</v>
      </c>
      <c r="G9" s="6" t="str">
        <f t="shared" si="0"/>
        <v>A</v>
      </c>
      <c r="H9" s="10" t="str">
        <f t="shared" ref="H9" si="6">sh판정(B9,C9,D9,E9,F9)</f>
        <v>합격90</v>
      </c>
      <c r="I9" s="10">
        <v>1</v>
      </c>
      <c r="K9" s="10">
        <v>85</v>
      </c>
      <c r="L9" s="10">
        <v>89</v>
      </c>
      <c r="M9" s="10" t="s">
        <v>82</v>
      </c>
      <c r="N9" s="10">
        <f t="array" ref="N9">SUM(($G$3:$G$23=$M9)*($I$3:$I$23=N$2))</f>
        <v>0</v>
      </c>
      <c r="O9" s="10">
        <f t="array" ref="O9">SUM(($G$3:$G$23=$M9)*($I$3:$I$23=O$2))</f>
        <v>1</v>
      </c>
      <c r="P9" s="10">
        <f t="array" ref="P9">SUM(($G$3:$G$23=$M9)*($I$3:$I$23=P$2))</f>
        <v>0</v>
      </c>
    </row>
    <row r="10" spans="1:16">
      <c r="A10" s="10" t="s">
        <v>83</v>
      </c>
      <c r="B10" s="10">
        <v>86</v>
      </c>
      <c r="C10" s="10">
        <v>87</v>
      </c>
      <c r="D10" s="10">
        <v>84</v>
      </c>
      <c r="E10" s="10"/>
      <c r="F10" s="10">
        <v>85.7</v>
      </c>
      <c r="G10" s="6" t="str">
        <f t="shared" si="0"/>
        <v>B+</v>
      </c>
      <c r="H10" s="10" t="str">
        <f t="shared" ref="H10" si="7">sh판정(B10,C10,D10,E10,F10)</f>
        <v>합격85</v>
      </c>
      <c r="I10" s="10">
        <v>2</v>
      </c>
      <c r="K10" s="10">
        <v>90</v>
      </c>
      <c r="L10" s="10">
        <v>94</v>
      </c>
      <c r="M10" s="10" t="s">
        <v>84</v>
      </c>
      <c r="N10" s="10">
        <f t="array" ref="N10">SUM(($G$3:$G$23=$M10)*($I$3:$I$23=N$2))</f>
        <v>1</v>
      </c>
      <c r="O10" s="10">
        <f t="array" ref="O10">SUM(($G$3:$G$23=$M10)*($I$3:$I$23=O$2))</f>
        <v>0</v>
      </c>
      <c r="P10" s="10">
        <f t="array" ref="P10">SUM(($G$3:$G$23=$M10)*($I$3:$I$23=P$2))</f>
        <v>0</v>
      </c>
    </row>
    <row r="11" spans="1:16">
      <c r="A11" s="10" t="s">
        <v>85</v>
      </c>
      <c r="B11" s="10">
        <v>50</v>
      </c>
      <c r="C11" s="10">
        <v>60</v>
      </c>
      <c r="D11" s="10">
        <v>55</v>
      </c>
      <c r="E11" s="10">
        <v>3</v>
      </c>
      <c r="F11" s="10">
        <v>55</v>
      </c>
      <c r="G11" s="6" t="str">
        <f t="shared" si="0"/>
        <v>F</v>
      </c>
      <c r="H11" s="10" t="str">
        <f t="shared" ref="H11" si="8">sh판정(B11,C11,D11,E11,F11)</f>
        <v>불합격</v>
      </c>
      <c r="I11" s="10">
        <v>3</v>
      </c>
      <c r="K11" s="10">
        <v>95</v>
      </c>
      <c r="L11" s="10">
        <v>100</v>
      </c>
      <c r="M11" s="10" t="s">
        <v>86</v>
      </c>
      <c r="N11" s="10">
        <f t="array" ref="N11">SUM(($G$3:$G$23=$M11)*($I$3:$I$23=N$2))</f>
        <v>0</v>
      </c>
      <c r="O11" s="10">
        <f t="array" ref="O11">SUM(($G$3:$G$23=$M11)*($I$3:$I$23=O$2))</f>
        <v>1</v>
      </c>
      <c r="P11" s="10">
        <f t="array" ref="P11">SUM(($G$3:$G$23=$M11)*($I$3:$I$23=P$2))</f>
        <v>0</v>
      </c>
    </row>
    <row r="12" spans="1:16">
      <c r="A12" s="10" t="s">
        <v>87</v>
      </c>
      <c r="B12" s="10">
        <v>77</v>
      </c>
      <c r="C12" s="10">
        <v>80</v>
      </c>
      <c r="D12" s="10">
        <v>78</v>
      </c>
      <c r="E12" s="10"/>
      <c r="F12" s="10">
        <v>78.3</v>
      </c>
      <c r="G12" s="6" t="str">
        <f t="shared" si="0"/>
        <v>C+</v>
      </c>
      <c r="H12" s="10" t="str">
        <f t="shared" ref="H12:H17" si="9">sh판정(B12,C12,D12,E12,F12)</f>
        <v>합격78</v>
      </c>
      <c r="I12" s="10">
        <v>1</v>
      </c>
    </row>
    <row r="13" spans="1:16">
      <c r="A13" s="10" t="s">
        <v>88</v>
      </c>
      <c r="B13" s="10">
        <v>54</v>
      </c>
      <c r="C13" s="10">
        <v>75</v>
      </c>
      <c r="D13" s="10">
        <v>77</v>
      </c>
      <c r="E13" s="10"/>
      <c r="F13" s="10">
        <v>68.7</v>
      </c>
      <c r="G13" s="6" t="str">
        <f t="shared" si="0"/>
        <v>D+</v>
      </c>
      <c r="H13" s="10" t="str">
        <f t="shared" si="9"/>
        <v>불합격</v>
      </c>
      <c r="I13" s="10">
        <v>2</v>
      </c>
    </row>
    <row r="14" spans="1:16">
      <c r="A14" s="10" t="s">
        <v>89</v>
      </c>
      <c r="B14" s="10">
        <v>63</v>
      </c>
      <c r="C14" s="10">
        <v>83</v>
      </c>
      <c r="D14" s="10">
        <v>75</v>
      </c>
      <c r="E14" s="10">
        <v>1</v>
      </c>
      <c r="F14" s="10">
        <v>73.7</v>
      </c>
      <c r="G14" s="6" t="str">
        <f t="shared" si="0"/>
        <v>C</v>
      </c>
      <c r="H14" s="10" t="str">
        <f t="shared" si="9"/>
        <v>불합격</v>
      </c>
      <c r="I14" s="10">
        <v>3</v>
      </c>
    </row>
    <row r="15" spans="1:16">
      <c r="A15" s="10" t="s">
        <v>90</v>
      </c>
      <c r="B15" s="10">
        <v>81</v>
      </c>
      <c r="C15" s="10">
        <v>84</v>
      </c>
      <c r="D15" s="10">
        <v>73</v>
      </c>
      <c r="E15" s="10"/>
      <c r="F15" s="10">
        <v>79.3</v>
      </c>
      <c r="G15" s="6" t="str">
        <f t="shared" si="0"/>
        <v>C+</v>
      </c>
      <c r="H15" s="10" t="str">
        <f t="shared" si="9"/>
        <v>합격79</v>
      </c>
      <c r="I15" s="10">
        <v>1</v>
      </c>
      <c r="K15" s="3" t="s">
        <v>91</v>
      </c>
      <c r="L15" s="11" t="s">
        <v>92</v>
      </c>
      <c r="M15" s="12"/>
    </row>
    <row r="16" spans="1:16">
      <c r="A16" s="10" t="s">
        <v>93</v>
      </c>
      <c r="B16" s="10">
        <v>68</v>
      </c>
      <c r="C16" s="10">
        <v>89</v>
      </c>
      <c r="D16" s="10">
        <v>72</v>
      </c>
      <c r="E16" s="10"/>
      <c r="F16" s="10">
        <v>76.3</v>
      </c>
      <c r="G16" s="6" t="str">
        <f t="shared" si="0"/>
        <v>C+</v>
      </c>
      <c r="H16" s="10" t="str">
        <f t="shared" si="9"/>
        <v>합격76</v>
      </c>
      <c r="I16" s="10">
        <v>2</v>
      </c>
      <c r="K16" s="8">
        <v>1</v>
      </c>
      <c r="L16" s="8">
        <v>2</v>
      </c>
      <c r="M16" s="8">
        <v>3</v>
      </c>
    </row>
    <row r="17" spans="1:13">
      <c r="A17" s="10" t="s">
        <v>94</v>
      </c>
      <c r="B17" s="10">
        <v>88</v>
      </c>
      <c r="C17" s="10">
        <v>89</v>
      </c>
      <c r="D17" s="10">
        <v>66</v>
      </c>
      <c r="E17" s="10"/>
      <c r="F17" s="10">
        <v>81</v>
      </c>
      <c r="G17" s="6" t="str">
        <f t="shared" si="0"/>
        <v>B</v>
      </c>
      <c r="H17" s="10" t="str">
        <f t="shared" si="9"/>
        <v>합격81</v>
      </c>
      <c r="I17" s="10">
        <v>3</v>
      </c>
      <c r="K17" s="10">
        <f t="array" ref="K17">INT(AVERAGE(IF(($I$3:$I$23=K16)*(($I$3:$I$23=K16)*($F$3:$F$23)&lt;&gt;MAX(($I$3:$I$23=K16)*($F$3:$F$23))),$F$3:$F$23)))</f>
        <v>75</v>
      </c>
      <c r="L17" s="10">
        <f t="array" ref="L17">INT(AVERAGE(IF(($I$3:$I$23=L16)*(($I$3:$I$23=L16)*($F$3:$F$23)&lt;&gt;MAX(($I$3:$I$23=L16)*($F$3:$F$23))),$F$3:$F$23)))</f>
        <v>76</v>
      </c>
      <c r="M17" s="10">
        <f t="array" ref="M17">INT(AVERAGE(IF(($I$3:$I$23=M16)*(($I$3:$I$23=M16)*($F$3:$F$23)&lt;&gt;MAX(($I$3:$I$23=M16)*($F$3:$F$23))),$F$3:$F$23)))</f>
        <v>73</v>
      </c>
    </row>
    <row r="18" spans="1:13">
      <c r="A18" s="10" t="s">
        <v>95</v>
      </c>
      <c r="B18" s="10">
        <v>75</v>
      </c>
      <c r="C18" s="10">
        <v>91</v>
      </c>
      <c r="D18" s="10">
        <v>65</v>
      </c>
      <c r="E18" s="10"/>
      <c r="F18" s="10">
        <v>77</v>
      </c>
      <c r="G18" s="6" t="str">
        <f t="shared" si="0"/>
        <v>C+</v>
      </c>
      <c r="H18" s="10" t="str">
        <f t="shared" ref="H18:H22" si="10">sh판정(B18,C18,D18,E18,F18)</f>
        <v>합격77</v>
      </c>
      <c r="I18" s="10">
        <v>1</v>
      </c>
    </row>
    <row r="19" spans="1:13">
      <c r="A19" s="10" t="s">
        <v>96</v>
      </c>
      <c r="B19" s="10">
        <v>66</v>
      </c>
      <c r="C19" s="10">
        <v>93</v>
      </c>
      <c r="D19" s="10">
        <v>64</v>
      </c>
      <c r="E19" s="10"/>
      <c r="F19" s="10">
        <v>74.3</v>
      </c>
      <c r="G19" s="6" t="str">
        <f t="shared" si="0"/>
        <v>C</v>
      </c>
      <c r="H19" s="10" t="str">
        <f t="shared" si="10"/>
        <v>합격74</v>
      </c>
      <c r="I19" s="10">
        <v>2</v>
      </c>
      <c r="K19" s="3" t="s">
        <v>97</v>
      </c>
      <c r="L19" s="3" t="s">
        <v>98</v>
      </c>
    </row>
    <row r="20" spans="1:13">
      <c r="A20" s="10" t="s">
        <v>99</v>
      </c>
      <c r="B20" s="10">
        <v>86</v>
      </c>
      <c r="C20" s="10">
        <v>93</v>
      </c>
      <c r="D20" s="10">
        <v>61</v>
      </c>
      <c r="E20" s="10"/>
      <c r="F20" s="10">
        <v>80</v>
      </c>
      <c r="G20" s="6" t="str">
        <f t="shared" si="0"/>
        <v>B</v>
      </c>
      <c r="H20" s="10" t="str">
        <f t="shared" si="10"/>
        <v>합격80</v>
      </c>
      <c r="I20" s="10">
        <v>3</v>
      </c>
      <c r="K20" s="9" t="s">
        <v>67</v>
      </c>
      <c r="L20" s="9" t="s">
        <v>67</v>
      </c>
      <c r="M20" s="9" t="s">
        <v>67</v>
      </c>
    </row>
    <row r="21" spans="1:13">
      <c r="A21" s="10" t="s">
        <v>100</v>
      </c>
      <c r="B21" s="10">
        <v>90</v>
      </c>
      <c r="C21" s="10">
        <v>94</v>
      </c>
      <c r="D21" s="10">
        <v>61</v>
      </c>
      <c r="E21" s="10"/>
      <c r="F21" s="10">
        <v>81.7</v>
      </c>
      <c r="G21" s="6" t="str">
        <f t="shared" si="0"/>
        <v>B</v>
      </c>
      <c r="H21" s="10" t="str">
        <f t="shared" si="10"/>
        <v>합격81</v>
      </c>
      <c r="I21" s="10">
        <v>1</v>
      </c>
      <c r="K21" s="9">
        <v>1</v>
      </c>
      <c r="L21" s="9">
        <v>2</v>
      </c>
      <c r="M21" s="9">
        <v>3</v>
      </c>
    </row>
    <row r="22" spans="1:13">
      <c r="A22" s="10" t="s">
        <v>101</v>
      </c>
      <c r="B22" s="10">
        <v>90</v>
      </c>
      <c r="C22" s="10">
        <v>87</v>
      </c>
      <c r="D22" s="10">
        <v>53</v>
      </c>
      <c r="E22" s="10"/>
      <c r="F22" s="10">
        <v>76.7</v>
      </c>
      <c r="G22" s="6" t="str">
        <f t="shared" si="0"/>
        <v>C+</v>
      </c>
      <c r="H22" s="10" t="str">
        <f t="shared" si="10"/>
        <v>불합격</v>
      </c>
      <c r="I22" s="10">
        <v>2</v>
      </c>
      <c r="K22" s="10">
        <f t="array" ref="K22">MAX(IF($I$3:$I$23=K21,$F$3:$F$23))-MIN(IF($I$3:$I$23=K21,$F$3:$F$23))</f>
        <v>26.299999999999997</v>
      </c>
      <c r="L22" s="10">
        <f t="array" ref="L22">MAX(IF($I$3:$I$23=L21,$F$3:$F$23))-MIN(IF($I$3:$I$23=L21,$F$3:$F$23))</f>
        <v>26.599999999999994</v>
      </c>
      <c r="M22" s="10">
        <f t="array" ref="M22">MAX(IF($I$3:$I$23=M21,$F$3:$F$23))-MIN(IF($I$3:$I$23=M21,$F$3:$F$23))</f>
        <v>27</v>
      </c>
    </row>
    <row r="23" spans="1:13">
      <c r="A23" s="10" t="s">
        <v>102</v>
      </c>
      <c r="B23" s="10">
        <v>74</v>
      </c>
      <c r="C23" s="10">
        <v>90</v>
      </c>
      <c r="D23" s="10">
        <v>48</v>
      </c>
      <c r="E23" s="10">
        <v>1</v>
      </c>
      <c r="F23" s="10">
        <v>70.7</v>
      </c>
      <c r="G23" s="6" t="str">
        <f t="shared" si="0"/>
        <v>C</v>
      </c>
      <c r="H23" s="10" t="str">
        <f t="shared" ref="H23" si="11">sh판정(B23,C23,D23,E23,F23)</f>
        <v>불합격</v>
      </c>
      <c r="I23" s="10">
        <v>3</v>
      </c>
    </row>
  </sheetData>
  <mergeCells count="1">
    <mergeCell ref="K2:L2"/>
  </mergeCells>
  <phoneticPr fontId="4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L26"/>
  <sheetViews>
    <sheetView topLeftCell="H1" workbookViewId="0">
      <selection activeCell="P28" sqref="P28"/>
    </sheetView>
  </sheetViews>
  <sheetFormatPr defaultRowHeight="16.5"/>
  <cols>
    <col min="1" max="7" width="9" style="3"/>
    <col min="8" max="8" width="11.875" style="3" bestFit="1" customWidth="1"/>
    <col min="9" max="9" width="8.75" style="3" customWidth="1"/>
    <col min="10" max="10" width="10.625" style="3" customWidth="1"/>
    <col min="11" max="11" width="9.75" style="3" customWidth="1"/>
    <col min="12" max="12" width="11.125" style="3" bestFit="1" customWidth="1"/>
    <col min="13" max="16384" width="9" style="3"/>
  </cols>
  <sheetData>
    <row r="1" spans="1:12">
      <c r="A1" s="46" t="s">
        <v>162</v>
      </c>
      <c r="B1" s="46" t="s">
        <v>163</v>
      </c>
      <c r="C1" s="46" t="s">
        <v>164</v>
      </c>
      <c r="D1" s="46" t="s">
        <v>165</v>
      </c>
      <c r="E1" s="46" t="s">
        <v>166</v>
      </c>
      <c r="F1" s="46" t="s">
        <v>167</v>
      </c>
    </row>
    <row r="2" spans="1:12">
      <c r="A2" s="47" t="s">
        <v>168</v>
      </c>
      <c r="B2" s="47" t="s">
        <v>169</v>
      </c>
      <c r="C2" s="47" t="s">
        <v>170</v>
      </c>
      <c r="D2" s="48">
        <v>41000</v>
      </c>
      <c r="E2" s="48">
        <v>24000</v>
      </c>
      <c r="F2" s="48">
        <v>6000</v>
      </c>
      <c r="H2" s="43" t="s">
        <v>162</v>
      </c>
      <c r="I2" s="43" t="s">
        <v>163</v>
      </c>
      <c r="J2" s="43" t="s">
        <v>184</v>
      </c>
      <c r="K2" s="44"/>
      <c r="L2"/>
    </row>
    <row r="3" spans="1:12">
      <c r="A3" s="47" t="s">
        <v>171</v>
      </c>
      <c r="B3" s="47" t="s">
        <v>172</v>
      </c>
      <c r="C3" s="47" t="s">
        <v>170</v>
      </c>
      <c r="D3" s="48">
        <v>10000</v>
      </c>
      <c r="E3" s="48">
        <v>7000</v>
      </c>
      <c r="F3" s="48">
        <v>5000</v>
      </c>
      <c r="H3" s="44" t="s">
        <v>171</v>
      </c>
      <c r="I3" s="44" t="s">
        <v>172</v>
      </c>
      <c r="J3" s="44" t="s">
        <v>186</v>
      </c>
      <c r="K3" s="45">
        <v>10000</v>
      </c>
      <c r="L3"/>
    </row>
    <row r="4" spans="1:12">
      <c r="A4" s="47" t="s">
        <v>173</v>
      </c>
      <c r="B4" s="47" t="s">
        <v>174</v>
      </c>
      <c r="C4" s="47" t="s">
        <v>170</v>
      </c>
      <c r="D4" s="48">
        <v>17000</v>
      </c>
      <c r="E4" s="48">
        <v>11000</v>
      </c>
      <c r="F4" s="48">
        <v>6000</v>
      </c>
      <c r="H4" s="44"/>
      <c r="I4" s="44"/>
      <c r="J4" s="44" t="s">
        <v>187</v>
      </c>
      <c r="K4" s="45">
        <v>7000</v>
      </c>
      <c r="L4"/>
    </row>
    <row r="5" spans="1:12">
      <c r="A5" s="47" t="s">
        <v>175</v>
      </c>
      <c r="B5" s="47" t="s">
        <v>172</v>
      </c>
      <c r="C5" s="47" t="s">
        <v>176</v>
      </c>
      <c r="D5" s="48">
        <v>8000</v>
      </c>
      <c r="E5" s="49"/>
      <c r="F5" s="48">
        <v>5000</v>
      </c>
      <c r="H5" s="44"/>
      <c r="I5" s="44"/>
      <c r="J5" s="44" t="s">
        <v>185</v>
      </c>
      <c r="K5" s="45">
        <v>5000</v>
      </c>
      <c r="L5"/>
    </row>
    <row r="6" spans="1:12">
      <c r="A6" s="47" t="s">
        <v>177</v>
      </c>
      <c r="B6" s="47" t="s">
        <v>174</v>
      </c>
      <c r="C6" s="47" t="s">
        <v>170</v>
      </c>
      <c r="D6" s="48">
        <v>25000</v>
      </c>
      <c r="E6" s="48">
        <v>15000</v>
      </c>
      <c r="F6" s="48">
        <v>5000</v>
      </c>
      <c r="H6" s="44" t="s">
        <v>175</v>
      </c>
      <c r="I6" s="44" t="s">
        <v>172</v>
      </c>
      <c r="J6" s="44" t="s">
        <v>186</v>
      </c>
      <c r="K6" s="45">
        <v>8000</v>
      </c>
      <c r="L6"/>
    </row>
    <row r="7" spans="1:12">
      <c r="A7" s="47" t="s">
        <v>178</v>
      </c>
      <c r="B7" s="47" t="s">
        <v>172</v>
      </c>
      <c r="C7" s="47" t="s">
        <v>170</v>
      </c>
      <c r="D7" s="48">
        <v>16000</v>
      </c>
      <c r="E7" s="49"/>
      <c r="F7" s="48">
        <v>14000</v>
      </c>
      <c r="H7" s="44"/>
      <c r="I7" s="44"/>
      <c r="J7" s="44" t="s">
        <v>187</v>
      </c>
      <c r="K7" s="45" t="s">
        <v>183</v>
      </c>
      <c r="L7"/>
    </row>
    <row r="8" spans="1:12">
      <c r="A8" s="47" t="s">
        <v>179</v>
      </c>
      <c r="B8" s="47" t="s">
        <v>174</v>
      </c>
      <c r="C8" s="47" t="s">
        <v>180</v>
      </c>
      <c r="D8" s="48">
        <v>19000</v>
      </c>
      <c r="E8" s="48">
        <v>15000</v>
      </c>
      <c r="F8" s="48">
        <v>8000</v>
      </c>
      <c r="H8" s="44"/>
      <c r="I8" s="44"/>
      <c r="J8" s="44" t="s">
        <v>185</v>
      </c>
      <c r="K8" s="45">
        <v>5000</v>
      </c>
      <c r="L8"/>
    </row>
    <row r="9" spans="1:12">
      <c r="A9" s="47" t="s">
        <v>181</v>
      </c>
      <c r="B9" s="47" t="s">
        <v>172</v>
      </c>
      <c r="C9" s="47" t="s">
        <v>176</v>
      </c>
      <c r="D9" s="49"/>
      <c r="E9" s="48">
        <v>5000</v>
      </c>
      <c r="F9" s="49"/>
      <c r="H9" s="44" t="s">
        <v>178</v>
      </c>
      <c r="I9" s="44" t="s">
        <v>172</v>
      </c>
      <c r="J9" s="44" t="s">
        <v>186</v>
      </c>
      <c r="K9" s="45">
        <v>16000</v>
      </c>
      <c r="L9"/>
    </row>
    <row r="10" spans="1:12">
      <c r="A10" s="47" t="s">
        <v>182</v>
      </c>
      <c r="B10" s="47" t="s">
        <v>169</v>
      </c>
      <c r="C10" s="47" t="s">
        <v>170</v>
      </c>
      <c r="D10" s="48">
        <v>130000</v>
      </c>
      <c r="E10" s="49"/>
      <c r="F10" s="49"/>
      <c r="H10" s="44"/>
      <c r="I10" s="44"/>
      <c r="J10" s="44" t="s">
        <v>187</v>
      </c>
      <c r="K10" s="45" t="s">
        <v>183</v>
      </c>
      <c r="L10"/>
    </row>
    <row r="11" spans="1:12">
      <c r="H11" s="44"/>
      <c r="I11" s="44"/>
      <c r="J11" s="44" t="s">
        <v>185</v>
      </c>
      <c r="K11" s="45">
        <v>14000</v>
      </c>
      <c r="L11"/>
    </row>
    <row r="12" spans="1:12">
      <c r="H12" s="44" t="s">
        <v>181</v>
      </c>
      <c r="I12" s="44" t="s">
        <v>172</v>
      </c>
      <c r="J12" s="44" t="s">
        <v>186</v>
      </c>
      <c r="K12" s="45" t="s">
        <v>183</v>
      </c>
      <c r="L12"/>
    </row>
    <row r="13" spans="1:12">
      <c r="H13" s="44"/>
      <c r="I13" s="44"/>
      <c r="J13" s="44" t="s">
        <v>187</v>
      </c>
      <c r="K13" s="45">
        <v>5000</v>
      </c>
      <c r="L13"/>
    </row>
    <row r="14" spans="1:12">
      <c r="H14" s="44"/>
      <c r="I14" s="44"/>
      <c r="J14" s="44" t="s">
        <v>185</v>
      </c>
      <c r="K14" s="45" t="s">
        <v>183</v>
      </c>
      <c r="L14"/>
    </row>
    <row r="15" spans="1:12">
      <c r="H15"/>
      <c r="I15"/>
      <c r="J15"/>
      <c r="K15"/>
      <c r="L15"/>
    </row>
    <row r="16" spans="1:12">
      <c r="H16"/>
      <c r="I16"/>
      <c r="J16"/>
      <c r="K16"/>
      <c r="L16"/>
    </row>
    <row r="17" spans="8:12">
      <c r="H17"/>
      <c r="I17"/>
      <c r="J17"/>
      <c r="K17"/>
      <c r="L17"/>
    </row>
    <row r="18" spans="8:12">
      <c r="H18"/>
      <c r="I18"/>
      <c r="J18"/>
      <c r="K18"/>
      <c r="L18"/>
    </row>
    <row r="19" spans="8:12">
      <c r="H19"/>
      <c r="I19"/>
      <c r="J19"/>
      <c r="K19"/>
      <c r="L19"/>
    </row>
    <row r="20" spans="8:12">
      <c r="H20"/>
      <c r="I20"/>
      <c r="J20"/>
      <c r="K20"/>
      <c r="L20"/>
    </row>
    <row r="21" spans="8:12">
      <c r="H21"/>
      <c r="I21"/>
      <c r="J21"/>
      <c r="K21"/>
      <c r="L21"/>
    </row>
    <row r="22" spans="8:12">
      <c r="H22"/>
      <c r="I22"/>
      <c r="J22"/>
      <c r="K22"/>
    </row>
    <row r="23" spans="8:12">
      <c r="H23"/>
      <c r="I23"/>
      <c r="J23"/>
      <c r="K23"/>
    </row>
    <row r="24" spans="8:12">
      <c r="H24"/>
      <c r="I24"/>
      <c r="J24"/>
      <c r="K24"/>
    </row>
    <row r="25" spans="8:12">
      <c r="H25"/>
      <c r="I25"/>
      <c r="J25"/>
      <c r="K25"/>
    </row>
    <row r="26" spans="8:12">
      <c r="H26"/>
      <c r="I26"/>
      <c r="J26"/>
      <c r="K26"/>
    </row>
  </sheetData>
  <phoneticPr fontId="4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sqref="A1:E1"/>
    </sheetView>
  </sheetViews>
  <sheetFormatPr defaultRowHeight="16.5"/>
  <cols>
    <col min="1" max="3" width="9" style="3"/>
    <col min="4" max="4" width="13" style="3" bestFit="1" customWidth="1"/>
    <col min="5" max="5" width="12.875" style="3" customWidth="1"/>
    <col min="6" max="16384" width="9" style="3"/>
  </cols>
  <sheetData>
    <row r="1" spans="1:5" ht="20.25">
      <c r="A1" s="53" t="s">
        <v>103</v>
      </c>
      <c r="B1" s="53"/>
      <c r="C1" s="53"/>
      <c r="D1" s="53"/>
      <c r="E1" s="53"/>
    </row>
    <row r="2" spans="1:5">
      <c r="A2" s="6" t="s">
        <v>3</v>
      </c>
      <c r="B2" s="6" t="s">
        <v>104</v>
      </c>
      <c r="C2" s="6" t="s">
        <v>105</v>
      </c>
      <c r="D2" s="6" t="s">
        <v>106</v>
      </c>
      <c r="E2" s="6" t="s">
        <v>107</v>
      </c>
    </row>
    <row r="3" spans="1:5">
      <c r="A3" s="6" t="s">
        <v>108</v>
      </c>
      <c r="B3" s="6">
        <v>15</v>
      </c>
      <c r="C3" s="6">
        <v>22</v>
      </c>
      <c r="D3" s="13">
        <v>525000</v>
      </c>
      <c r="E3" s="13">
        <f>D3*5%</f>
        <v>26250</v>
      </c>
    </row>
    <row r="4" spans="1:5">
      <c r="A4" s="6" t="s">
        <v>109</v>
      </c>
      <c r="B4" s="6">
        <v>11</v>
      </c>
      <c r="C4" s="6">
        <v>11</v>
      </c>
      <c r="D4" s="13">
        <v>385000</v>
      </c>
      <c r="E4" s="13">
        <f>D4*5%</f>
        <v>19250</v>
      </c>
    </row>
    <row r="5" spans="1:5">
      <c r="A5" s="6" t="s">
        <v>110</v>
      </c>
      <c r="B5" s="6">
        <v>32</v>
      </c>
      <c r="C5" s="6">
        <v>14</v>
      </c>
      <c r="D5" s="13">
        <v>1120000</v>
      </c>
      <c r="E5" s="13">
        <f>D5*10%</f>
        <v>112000</v>
      </c>
    </row>
    <row r="6" spans="1:5">
      <c r="A6" s="6" t="s">
        <v>111</v>
      </c>
      <c r="B6" s="6">
        <v>4</v>
      </c>
      <c r="C6" s="6">
        <v>2</v>
      </c>
      <c r="D6" s="13">
        <v>140000</v>
      </c>
      <c r="E6" s="13">
        <f>D6*5%</f>
        <v>7000</v>
      </c>
    </row>
    <row r="7" spans="1:5">
      <c r="A7" s="6" t="s">
        <v>112</v>
      </c>
      <c r="B7" s="6">
        <v>15</v>
      </c>
      <c r="C7" s="6">
        <v>24</v>
      </c>
      <c r="D7" s="13">
        <v>525000</v>
      </c>
      <c r="E7" s="13">
        <f>D7*5%</f>
        <v>26250</v>
      </c>
    </row>
    <row r="8" spans="1:5">
      <c r="A8" s="6" t="s">
        <v>113</v>
      </c>
      <c r="B8" s="6">
        <v>35</v>
      </c>
      <c r="C8" s="6">
        <v>36</v>
      </c>
      <c r="D8" s="13">
        <v>1225000</v>
      </c>
      <c r="E8" s="13">
        <f>D8*10%</f>
        <v>122500</v>
      </c>
    </row>
    <row r="9" spans="1:5">
      <c r="A9" s="6" t="s">
        <v>114</v>
      </c>
      <c r="B9" s="6">
        <v>14</v>
      </c>
      <c r="C9" s="6">
        <v>15</v>
      </c>
      <c r="D9" s="13">
        <v>600000</v>
      </c>
      <c r="E9" s="13">
        <f>D9*5%</f>
        <v>30000</v>
      </c>
    </row>
    <row r="10" spans="1:5">
      <c r="A10" s="54" t="s">
        <v>115</v>
      </c>
      <c r="B10" s="55"/>
      <c r="C10" s="56"/>
      <c r="D10" s="14">
        <f>SUM(D3:D9)</f>
        <v>4520000</v>
      </c>
      <c r="E10" s="14">
        <f>SUM(E3:E9)</f>
        <v>343250</v>
      </c>
    </row>
  </sheetData>
  <mergeCells count="2">
    <mergeCell ref="A1:E1"/>
    <mergeCell ref="A10:C10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F8"/>
  <sheetViews>
    <sheetView workbookViewId="0">
      <selection activeCell="I16" sqref="I16"/>
    </sheetView>
  </sheetViews>
  <sheetFormatPr defaultRowHeight="16.5"/>
  <cols>
    <col min="1" max="2" width="9" style="3"/>
    <col min="3" max="3" width="8.875" style="3" customWidth="1"/>
    <col min="4" max="5" width="9" style="3"/>
    <col min="6" max="6" width="11.75" style="3" bestFit="1" customWidth="1"/>
    <col min="7" max="7" width="12.125" style="3" customWidth="1"/>
    <col min="8" max="16384" width="9" style="3"/>
  </cols>
  <sheetData>
    <row r="1" spans="1:6" ht="26.25">
      <c r="B1" s="57" t="s">
        <v>116</v>
      </c>
      <c r="C1" s="57"/>
      <c r="D1" s="57"/>
      <c r="E1" s="57"/>
      <c r="F1" s="57"/>
    </row>
    <row r="2" spans="1:6" ht="17.25" customHeight="1">
      <c r="A2" s="15"/>
      <c r="B2" s="15"/>
      <c r="C2" s="15"/>
      <c r="D2" s="15"/>
      <c r="E2" s="15"/>
      <c r="F2" s="16" t="s">
        <v>117</v>
      </c>
    </row>
    <row r="3" spans="1:6">
      <c r="A3" s="17" t="s">
        <v>118</v>
      </c>
      <c r="B3" s="18" t="s">
        <v>119</v>
      </c>
      <c r="C3" s="18" t="s">
        <v>120</v>
      </c>
      <c r="D3" s="18" t="s">
        <v>121</v>
      </c>
      <c r="E3" s="18" t="s">
        <v>122</v>
      </c>
      <c r="F3" s="18" t="s">
        <v>123</v>
      </c>
    </row>
    <row r="4" spans="1:6">
      <c r="A4" s="19" t="s">
        <v>124</v>
      </c>
      <c r="B4" s="20">
        <v>1053</v>
      </c>
      <c r="C4" s="20">
        <v>8232</v>
      </c>
      <c r="D4" s="20">
        <v>9280</v>
      </c>
      <c r="E4" s="21">
        <v>-1518</v>
      </c>
      <c r="F4" s="22">
        <v>12.82</v>
      </c>
    </row>
    <row r="5" spans="1:6">
      <c r="A5" s="23" t="s">
        <v>125</v>
      </c>
      <c r="B5" s="20">
        <v>1193</v>
      </c>
      <c r="C5" s="20">
        <v>8033</v>
      </c>
      <c r="D5" s="20">
        <v>9221</v>
      </c>
      <c r="E5" s="21">
        <v>-1696</v>
      </c>
      <c r="F5" s="22">
        <v>14.879999999999999</v>
      </c>
    </row>
    <row r="6" spans="1:6">
      <c r="A6" s="19" t="s">
        <v>126</v>
      </c>
      <c r="B6" s="20">
        <v>1060</v>
      </c>
      <c r="C6" s="20">
        <v>8269</v>
      </c>
      <c r="D6" s="20">
        <v>9324</v>
      </c>
      <c r="E6" s="21">
        <v>-1715</v>
      </c>
      <c r="F6" s="22">
        <v>12.839999999999998</v>
      </c>
    </row>
    <row r="7" spans="1:6">
      <c r="A7" s="23" t="s">
        <v>127</v>
      </c>
      <c r="B7" s="20">
        <v>1426</v>
      </c>
      <c r="C7" s="20">
        <v>4373</v>
      </c>
      <c r="D7" s="20">
        <v>5794</v>
      </c>
      <c r="E7" s="21">
        <v>-1177</v>
      </c>
      <c r="F7" s="22">
        <v>32.67</v>
      </c>
    </row>
    <row r="8" spans="1:6">
      <c r="A8" s="19" t="s">
        <v>128</v>
      </c>
      <c r="B8" s="20">
        <v>1539</v>
      </c>
      <c r="C8" s="20">
        <v>4486</v>
      </c>
      <c r="D8" s="20">
        <v>5907</v>
      </c>
      <c r="E8" s="24">
        <v>-1064</v>
      </c>
      <c r="F8" s="25">
        <v>34.369999999999997</v>
      </c>
    </row>
  </sheetData>
  <mergeCells count="1">
    <mergeCell ref="B1:F1"/>
  </mergeCells>
  <phoneticPr fontId="4" type="noConversion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L16"/>
  <sheetViews>
    <sheetView workbookViewId="0"/>
  </sheetViews>
  <sheetFormatPr defaultRowHeight="16.5"/>
  <cols>
    <col min="1" max="2" width="9" style="3"/>
    <col min="3" max="3" width="13.625" style="3" customWidth="1"/>
    <col min="4" max="4" width="13.125" style="3" customWidth="1"/>
    <col min="5" max="5" width="11.5" style="3" customWidth="1"/>
    <col min="6" max="7" width="9" style="3"/>
    <col min="8" max="8" width="8" style="3" bestFit="1" customWidth="1"/>
    <col min="9" max="9" width="9" style="3"/>
    <col min="10" max="12" width="14.25" style="3" bestFit="1" customWidth="1"/>
    <col min="13" max="16384" width="9" style="3"/>
  </cols>
  <sheetData>
    <row r="1" spans="1:12">
      <c r="A1" s="3" t="s">
        <v>129</v>
      </c>
    </row>
    <row r="3" spans="1:12">
      <c r="A3" s="26" t="s">
        <v>130</v>
      </c>
      <c r="B3" s="26" t="s">
        <v>131</v>
      </c>
      <c r="C3" s="26" t="s">
        <v>132</v>
      </c>
      <c r="D3" s="26" t="s">
        <v>133</v>
      </c>
      <c r="E3" s="26" t="s">
        <v>134</v>
      </c>
      <c r="F3" s="26" t="s">
        <v>135</v>
      </c>
      <c r="H3" s="26" t="s">
        <v>131</v>
      </c>
      <c r="I3" s="26" t="s">
        <v>132</v>
      </c>
      <c r="J3" s="26" t="s">
        <v>136</v>
      </c>
      <c r="K3" s="26" t="s">
        <v>137</v>
      </c>
      <c r="L3" s="26" t="s">
        <v>138</v>
      </c>
    </row>
    <row r="4" spans="1:12">
      <c r="A4" s="3" t="s">
        <v>139</v>
      </c>
      <c r="B4" s="3" t="s">
        <v>140</v>
      </c>
      <c r="C4" s="3">
        <v>350000</v>
      </c>
      <c r="D4" s="3">
        <v>775000</v>
      </c>
      <c r="E4" s="3">
        <v>0</v>
      </c>
      <c r="H4" s="3" t="s">
        <v>141</v>
      </c>
      <c r="I4" s="3">
        <v>350000</v>
      </c>
      <c r="J4" s="3">
        <v>40</v>
      </c>
      <c r="K4" s="3">
        <v>85000</v>
      </c>
      <c r="L4" s="3">
        <v>90000</v>
      </c>
    </row>
    <row r="5" spans="1:12">
      <c r="A5" s="3" t="s">
        <v>142</v>
      </c>
      <c r="B5" s="3" t="s">
        <v>143</v>
      </c>
      <c r="C5" s="3">
        <v>280000</v>
      </c>
      <c r="D5" s="3">
        <v>1080000</v>
      </c>
      <c r="E5" s="3">
        <v>108000</v>
      </c>
      <c r="H5" s="3" t="s">
        <v>144</v>
      </c>
      <c r="I5" s="3">
        <v>280000</v>
      </c>
      <c r="J5" s="3">
        <v>45</v>
      </c>
      <c r="K5" s="3">
        <v>80000</v>
      </c>
      <c r="L5" s="3">
        <v>85000</v>
      </c>
    </row>
    <row r="6" spans="1:12">
      <c r="A6" s="3" t="s">
        <v>145</v>
      </c>
      <c r="B6" s="3" t="s">
        <v>146</v>
      </c>
      <c r="C6" s="3">
        <v>220000</v>
      </c>
      <c r="D6" s="3">
        <v>670000</v>
      </c>
      <c r="E6" s="3">
        <v>67000</v>
      </c>
      <c r="F6" s="3" t="s">
        <v>147</v>
      </c>
      <c r="H6" s="3" t="s">
        <v>148</v>
      </c>
      <c r="I6" s="3">
        <v>200000</v>
      </c>
      <c r="J6" s="3">
        <v>50</v>
      </c>
      <c r="K6" s="3">
        <v>85000</v>
      </c>
      <c r="L6" s="3">
        <v>90000</v>
      </c>
    </row>
    <row r="7" spans="1:12">
      <c r="A7" s="3" t="s">
        <v>149</v>
      </c>
      <c r="B7" s="3" t="s">
        <v>150</v>
      </c>
      <c r="C7" s="3">
        <v>200000</v>
      </c>
      <c r="D7" s="3">
        <v>1050000</v>
      </c>
      <c r="E7" s="3">
        <v>105000</v>
      </c>
      <c r="H7" s="3" t="s">
        <v>151</v>
      </c>
      <c r="I7" s="3">
        <v>380000</v>
      </c>
      <c r="J7" s="3">
        <v>55</v>
      </c>
      <c r="K7" s="3">
        <v>70000</v>
      </c>
      <c r="L7" s="3">
        <v>75000</v>
      </c>
    </row>
    <row r="8" spans="1:12">
      <c r="A8" s="27"/>
      <c r="B8" s="27"/>
      <c r="C8" s="27"/>
      <c r="D8" s="27"/>
      <c r="E8" s="27"/>
      <c r="F8" s="27"/>
      <c r="G8" s="27"/>
      <c r="H8" s="3" t="s">
        <v>152</v>
      </c>
      <c r="I8" s="3">
        <v>220000</v>
      </c>
      <c r="J8" s="3">
        <v>40</v>
      </c>
      <c r="K8" s="3">
        <v>90000</v>
      </c>
      <c r="L8" s="3">
        <v>95000</v>
      </c>
    </row>
    <row r="9" spans="1:12">
      <c r="A9" s="27"/>
      <c r="B9" s="27"/>
      <c r="C9" s="27"/>
      <c r="D9" s="27"/>
      <c r="E9" s="27"/>
      <c r="F9" s="27"/>
      <c r="G9" s="27"/>
    </row>
    <row r="10" spans="1:12">
      <c r="A10" s="27"/>
      <c r="B10" s="27"/>
      <c r="C10" s="27"/>
      <c r="D10" s="27"/>
      <c r="E10" s="27"/>
      <c r="F10" s="27"/>
      <c r="G10" s="27"/>
    </row>
    <row r="11" spans="1:12">
      <c r="A11" s="27"/>
      <c r="B11" s="27"/>
      <c r="C11" s="27"/>
      <c r="D11" s="27"/>
      <c r="E11" s="27"/>
      <c r="F11" s="27"/>
      <c r="G11" s="27"/>
    </row>
    <row r="12" spans="1:12">
      <c r="A12" s="27"/>
      <c r="B12" s="27"/>
      <c r="C12" s="27"/>
      <c r="D12" s="27"/>
      <c r="E12" s="27"/>
      <c r="F12" s="27"/>
      <c r="G12" s="27"/>
    </row>
    <row r="13" spans="1:12">
      <c r="A13" s="27"/>
      <c r="B13" s="27"/>
      <c r="C13" s="27"/>
      <c r="D13" s="27"/>
      <c r="E13" s="27"/>
      <c r="F13" s="27"/>
      <c r="G13" s="27"/>
    </row>
    <row r="14" spans="1:12">
      <c r="A14" s="27"/>
      <c r="B14" s="27"/>
      <c r="C14" s="27"/>
      <c r="D14" s="27"/>
      <c r="E14" s="27"/>
      <c r="F14" s="27"/>
      <c r="G14" s="27"/>
    </row>
    <row r="15" spans="1:12">
      <c r="A15" s="27"/>
      <c r="B15" s="27"/>
      <c r="C15" s="27"/>
      <c r="D15" s="27"/>
      <c r="E15" s="27"/>
      <c r="F15" s="27"/>
      <c r="G15" s="27"/>
    </row>
    <row r="16" spans="1:12">
      <c r="A16" s="27"/>
      <c r="B16" s="27"/>
      <c r="C16" s="27"/>
      <c r="D16" s="27"/>
      <c r="E16" s="27"/>
      <c r="F16" s="27"/>
      <c r="G16" s="27"/>
    </row>
  </sheetData>
  <phoneticPr fontId="4" type="noConversion"/>
  <pageMargins left="0.75" right="0.75" top="1" bottom="1" header="0.5" footer="0.5"/>
  <headerFooter alignWithMargins="0"/>
  <legacyDrawing r:id="rId1"/>
  <controls>
    <control shapeId="3073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2017-09-05T06:09:26Z</cp:lastPrinted>
  <dcterms:created xsi:type="dcterms:W3CDTF">2017-08-30T12:39:00Z</dcterms:created>
  <dcterms:modified xsi:type="dcterms:W3CDTF">2017-09-07T00:08:24Z</dcterms:modified>
</cp:coreProperties>
</file>