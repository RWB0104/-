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480" yWindow="60" windowWidth="26955" windowHeight="13005"/>
  </bookViews>
  <sheets>
    <sheet name="기본작업-1" sheetId="1" r:id="rId1"/>
    <sheet name="기본작업-2" sheetId="2" r:id="rId2"/>
    <sheet name="계산작업" sheetId="3" r:id="rId3"/>
    <sheet name="분석작업-1" sheetId="4" r:id="rId4"/>
    <sheet name="분석작업-2" sheetId="5" r:id="rId5"/>
    <sheet name="기타작업-1" sheetId="6" r:id="rId6"/>
    <sheet name="기타작업-2" sheetId="7" r:id="rId7"/>
  </sheets>
  <functionGroups builtInGroupCount="17"/>
  <definedNames>
    <definedName name="_xlnm._FilterDatabase" localSheetId="1" hidden="1">'기본작업-2'!$A$3:$F$17</definedName>
    <definedName name="_xlnm.Criteria" localSheetId="1">'기본작업-2'!$A$19:$B$20</definedName>
    <definedName name="_xlnm.Extract" localSheetId="1">'기본작업-2'!$A$22:$F$22</definedName>
    <definedName name="MS_Access_Database_Query" localSheetId="1">'기본작업-2'!$A$3:$F$17</definedName>
    <definedName name="_xlnm.Print_Area" localSheetId="1">'기본작업-2'!$A$1:$G$25</definedName>
  </definedNames>
  <calcPr calcId="145621"/>
  <pivotCaches>
    <pivotCache cacheId="19" r:id="rId8"/>
  </pivotCaches>
</workbook>
</file>

<file path=xl/calcChain.xml><?xml version="1.0" encoding="utf-8"?>
<calcChain xmlns="http://schemas.openxmlformats.org/spreadsheetml/2006/main">
  <c r="G30" i="5" l="1"/>
  <c r="F30" i="5"/>
  <c r="E30" i="5"/>
  <c r="G25" i="5"/>
  <c r="F25" i="5"/>
  <c r="E25" i="5"/>
  <c r="G18" i="5"/>
  <c r="F18" i="5"/>
  <c r="E18" i="5"/>
  <c r="G14" i="5"/>
  <c r="G32" i="5" s="1"/>
  <c r="F14" i="5"/>
  <c r="F33" i="5" s="1"/>
  <c r="E14" i="5"/>
  <c r="E33" i="5" s="1"/>
  <c r="G31" i="5"/>
  <c r="F31" i="5"/>
  <c r="E31" i="5"/>
  <c r="G26" i="5"/>
  <c r="F26" i="5"/>
  <c r="E26" i="5"/>
  <c r="G19" i="5"/>
  <c r="F19" i="5"/>
  <c r="E19" i="5"/>
  <c r="G15" i="5"/>
  <c r="F15" i="5"/>
  <c r="E15" i="5"/>
  <c r="F32" i="5" l="1"/>
  <c r="E32" i="5"/>
  <c r="G33" i="5"/>
  <c r="J10" i="6"/>
  <c r="I10" i="6"/>
  <c r="B22" i="3" a="1"/>
  <c r="B22" i="3" s="1"/>
  <c r="B21" i="3"/>
  <c r="B21" i="3" a="1"/>
  <c r="B20" i="3" a="1"/>
  <c r="B20" i="3" s="1"/>
  <c r="B19" i="3" a="1"/>
  <c r="B19" i="3" s="1"/>
  <c r="B20" i="2"/>
  <c r="A20" i="2"/>
  <c r="F3" i="3"/>
  <c r="F6" i="3"/>
  <c r="F5" i="3"/>
  <c r="F9" i="3"/>
  <c r="F4" i="3"/>
  <c r="F8" i="3"/>
  <c r="F11" i="3"/>
  <c r="F10" i="3"/>
  <c r="F7" i="3"/>
  <c r="C22" i="3" l="1" a="1"/>
  <c r="C22" i="3" s="1"/>
  <c r="C20" i="3" a="1"/>
  <c r="C20" i="3" s="1"/>
  <c r="G3" i="3"/>
  <c r="C19" i="3" a="1"/>
  <c r="C19" i="3" s="1"/>
  <c r="C21" i="3" a="1"/>
  <c r="C21" i="3" s="1"/>
  <c r="G5" i="3"/>
  <c r="G7" i="3"/>
  <c r="G9" i="3"/>
  <c r="G11" i="3"/>
  <c r="G6" i="3"/>
  <c r="E19" i="3"/>
  <c r="G8" i="3"/>
  <c r="G4" i="3"/>
  <c r="G10" i="3"/>
</calcChain>
</file>

<file path=xl/connections.xml><?xml version="1.0" encoding="utf-8"?>
<connections xmlns="http://schemas.openxmlformats.org/spreadsheetml/2006/main">
  <connection id="1" name="연결" type="1" refreshedVersion="0" savePassword="1" deleted="1" background="1" saveData="1">
    <dbPr connection="" command=""/>
  </connection>
</connections>
</file>

<file path=xl/sharedStrings.xml><?xml version="1.0" encoding="utf-8"?>
<sst xmlns="http://schemas.openxmlformats.org/spreadsheetml/2006/main" count="450" uniqueCount="182">
  <si>
    <t>사원중간평가</t>
    <phoneticPr fontId="4" type="noConversion"/>
  </si>
  <si>
    <t>급여정산현황</t>
    <phoneticPr fontId="4" type="noConversion"/>
  </si>
  <si>
    <t>사원코드</t>
  </si>
  <si>
    <t>호봉</t>
  </si>
  <si>
    <t>직무</t>
  </si>
  <si>
    <t>연봉</t>
  </si>
  <si>
    <t>연월차</t>
  </si>
  <si>
    <t>특근비</t>
  </si>
  <si>
    <t>SG0111</t>
  </si>
  <si>
    <t>수석연구원</t>
  </si>
  <si>
    <t>연구직</t>
  </si>
  <si>
    <t>SG0710</t>
  </si>
  <si>
    <t>선임연구원</t>
  </si>
  <si>
    <t>SG0204</t>
  </si>
  <si>
    <t>책임연구원</t>
  </si>
  <si>
    <t>SG0712</t>
  </si>
  <si>
    <t>SG0812</t>
  </si>
  <si>
    <t>연구원</t>
  </si>
  <si>
    <t>SG0810</t>
  </si>
  <si>
    <t>SG0411</t>
  </si>
  <si>
    <t>과장4호</t>
  </si>
  <si>
    <t>일반직</t>
  </si>
  <si>
    <t>SG0813</t>
  </si>
  <si>
    <t>부장1호</t>
  </si>
  <si>
    <t>SG0205</t>
  </si>
  <si>
    <t>사원3호</t>
  </si>
  <si>
    <t>SG0203</t>
  </si>
  <si>
    <t>대리2호</t>
  </si>
  <si>
    <t>SG0413</t>
  </si>
  <si>
    <t>대리3호</t>
  </si>
  <si>
    <t>SG0206</t>
  </si>
  <si>
    <t>부장2호</t>
  </si>
  <si>
    <t>SG0811</t>
  </si>
  <si>
    <t>과장2호</t>
  </si>
  <si>
    <t>SG0809</t>
  </si>
  <si>
    <t>과장1호</t>
  </si>
  <si>
    <t>호봉수</t>
    <phoneticPr fontId="3" type="noConversion"/>
  </si>
  <si>
    <t>높은연봉</t>
    <phoneticPr fontId="3" type="noConversion"/>
  </si>
  <si>
    <r>
      <t>[표</t>
    </r>
    <r>
      <rPr>
        <sz val="11"/>
        <color theme="1"/>
        <rFont val="맑은 고딕"/>
        <family val="3"/>
        <charset val="129"/>
        <scheme val="major"/>
      </rPr>
      <t>1]</t>
    </r>
    <phoneticPr fontId="4" type="noConversion"/>
  </si>
  <si>
    <t>영업사원</t>
    <phoneticPr fontId="4" type="noConversion"/>
  </si>
  <si>
    <t>소속지점</t>
    <phoneticPr fontId="4" type="noConversion"/>
  </si>
  <si>
    <t>직급</t>
    <phoneticPr fontId="4" type="noConversion"/>
  </si>
  <si>
    <t>기본급</t>
    <phoneticPr fontId="4" type="noConversion"/>
  </si>
  <si>
    <t>판매실적</t>
    <phoneticPr fontId="4" type="noConversion"/>
  </si>
  <si>
    <t>성과급</t>
    <phoneticPr fontId="4" type="noConversion"/>
  </si>
  <si>
    <t>지급급여</t>
    <phoneticPr fontId="4" type="noConversion"/>
  </si>
  <si>
    <t>정영일</t>
    <phoneticPr fontId="4" type="noConversion"/>
  </si>
  <si>
    <t>서초</t>
    <phoneticPr fontId="4" type="noConversion"/>
  </si>
  <si>
    <t>2급</t>
    <phoneticPr fontId="4" type="noConversion"/>
  </si>
  <si>
    <t>박찬훈</t>
    <phoneticPr fontId="4" type="noConversion"/>
  </si>
  <si>
    <t>서초</t>
    <phoneticPr fontId="4" type="noConversion"/>
  </si>
  <si>
    <t>3급</t>
    <phoneticPr fontId="4" type="noConversion"/>
  </si>
  <si>
    <t>이소라</t>
    <phoneticPr fontId="4" type="noConversion"/>
  </si>
  <si>
    <t>강남</t>
    <phoneticPr fontId="4" type="noConversion"/>
  </si>
  <si>
    <t>3급</t>
    <phoneticPr fontId="4" type="noConversion"/>
  </si>
  <si>
    <t>김종택</t>
    <phoneticPr fontId="4" type="noConversion"/>
  </si>
  <si>
    <t>서초</t>
    <phoneticPr fontId="4" type="noConversion"/>
  </si>
  <si>
    <t>최수형</t>
    <phoneticPr fontId="4" type="noConversion"/>
  </si>
  <si>
    <t>종로</t>
    <phoneticPr fontId="4" type="noConversion"/>
  </si>
  <si>
    <t>홍길동</t>
    <phoneticPr fontId="4" type="noConversion"/>
  </si>
  <si>
    <t>4급</t>
    <phoneticPr fontId="4" type="noConversion"/>
  </si>
  <si>
    <t>한우규</t>
    <phoneticPr fontId="4" type="noConversion"/>
  </si>
  <si>
    <t>김덕진</t>
    <phoneticPr fontId="4" type="noConversion"/>
  </si>
  <si>
    <t>5급</t>
    <phoneticPr fontId="4" type="noConversion"/>
  </si>
  <si>
    <t>이명섭</t>
    <phoneticPr fontId="4" type="noConversion"/>
  </si>
  <si>
    <r>
      <t>[표</t>
    </r>
    <r>
      <rPr>
        <sz val="11"/>
        <color theme="1"/>
        <rFont val="맑은 고딕"/>
        <family val="3"/>
        <charset val="129"/>
        <scheme val="major"/>
      </rPr>
      <t>2]</t>
    </r>
    <phoneticPr fontId="4" type="noConversion"/>
  </si>
  <si>
    <t>세금공제표</t>
    <phoneticPr fontId="4" type="noConversion"/>
  </si>
  <si>
    <t>총급여</t>
    <phoneticPr fontId="4" type="noConversion"/>
  </si>
  <si>
    <t>세금공제율</t>
    <phoneticPr fontId="4" type="noConversion"/>
  </si>
  <si>
    <r>
      <t>[표</t>
    </r>
    <r>
      <rPr>
        <sz val="11"/>
        <color theme="1"/>
        <rFont val="맑은 고딕"/>
        <family val="3"/>
        <charset val="129"/>
        <scheme val="major"/>
      </rPr>
      <t>3]</t>
    </r>
    <phoneticPr fontId="4" type="noConversion"/>
  </si>
  <si>
    <t>직급</t>
    <phoneticPr fontId="4" type="noConversion"/>
  </si>
  <si>
    <t>중앙값</t>
    <phoneticPr fontId="4" type="noConversion"/>
  </si>
  <si>
    <t>성과급 합계</t>
    <phoneticPr fontId="4" type="noConversion"/>
  </si>
  <si>
    <t>인원수</t>
    <phoneticPr fontId="4" type="noConversion"/>
  </si>
  <si>
    <t>판매실적</t>
    <phoneticPr fontId="3" type="noConversion"/>
  </si>
  <si>
    <t>성과급</t>
    <phoneticPr fontId="3" type="noConversion"/>
  </si>
  <si>
    <t>&lt;=15000</t>
    <phoneticPr fontId="3" type="noConversion"/>
  </si>
  <si>
    <t>&lt;=1000</t>
    <phoneticPr fontId="3" type="noConversion"/>
  </si>
  <si>
    <t>매출일</t>
  </si>
  <si>
    <t>고객코드</t>
  </si>
  <si>
    <t>지점명</t>
  </si>
  <si>
    <t>담당자</t>
  </si>
  <si>
    <t>매출금액</t>
  </si>
  <si>
    <t>받은금액</t>
  </si>
  <si>
    <t>미수금</t>
  </si>
  <si>
    <t>할인금액</t>
  </si>
  <si>
    <t>미수정도</t>
  </si>
  <si>
    <t>78CD11</t>
  </si>
  <si>
    <t>강동</t>
  </si>
  <si>
    <t>채진욱</t>
  </si>
  <si>
    <t>적극해결요망</t>
  </si>
  <si>
    <t>15BC80</t>
  </si>
  <si>
    <t>보통</t>
  </si>
  <si>
    <t>14BB71</t>
  </si>
  <si>
    <t>12AB58</t>
  </si>
  <si>
    <t>12AC77</t>
  </si>
  <si>
    <t>78CP90</t>
  </si>
  <si>
    <t>15CD70</t>
  </si>
  <si>
    <t>강남</t>
  </si>
  <si>
    <t>이은주</t>
  </si>
  <si>
    <t>26AD78</t>
  </si>
  <si>
    <t>78AU17</t>
  </si>
  <si>
    <t>강서</t>
  </si>
  <si>
    <t>안병찬</t>
  </si>
  <si>
    <t>12AH78</t>
  </si>
  <si>
    <t>13AG10</t>
  </si>
  <si>
    <t>31BG25</t>
  </si>
  <si>
    <t>98AG10</t>
  </si>
  <si>
    <t>14AD72</t>
  </si>
  <si>
    <t>강북</t>
  </si>
  <si>
    <t>박형주</t>
  </si>
  <si>
    <t>35C256</t>
  </si>
  <si>
    <t>36AB80</t>
  </si>
  <si>
    <t>사업소</t>
    <phoneticPr fontId="4" type="noConversion"/>
  </si>
  <si>
    <t>평가</t>
    <phoneticPr fontId="4" type="noConversion"/>
  </si>
  <si>
    <t>초기 설립비</t>
    <phoneticPr fontId="4" type="noConversion"/>
  </si>
  <si>
    <t>추가투입비</t>
    <phoneticPr fontId="4" type="noConversion"/>
  </si>
  <si>
    <t>군포지사</t>
    <phoneticPr fontId="4" type="noConversion"/>
  </si>
  <si>
    <t>B</t>
    <phoneticPr fontId="4" type="noConversion"/>
  </si>
  <si>
    <t>마산지사</t>
    <phoneticPr fontId="4" type="noConversion"/>
  </si>
  <si>
    <t>C</t>
    <phoneticPr fontId="4" type="noConversion"/>
  </si>
  <si>
    <t>대전지사</t>
    <phoneticPr fontId="4" type="noConversion"/>
  </si>
  <si>
    <t>A</t>
    <phoneticPr fontId="4" type="noConversion"/>
  </si>
  <si>
    <t>부산지사</t>
    <phoneticPr fontId="4" type="noConversion"/>
  </si>
  <si>
    <t>B</t>
    <phoneticPr fontId="4" type="noConversion"/>
  </si>
  <si>
    <t>강원지사</t>
    <phoneticPr fontId="4" type="noConversion"/>
  </si>
  <si>
    <t>경기지사</t>
    <phoneticPr fontId="4" type="noConversion"/>
  </si>
  <si>
    <t>인천지사</t>
    <phoneticPr fontId="4" type="noConversion"/>
  </si>
  <si>
    <t>평균</t>
    <phoneticPr fontId="4" type="noConversion"/>
  </si>
  <si>
    <t>도서 대여 관리</t>
    <phoneticPr fontId="4" type="noConversion"/>
  </si>
  <si>
    <t>날짜</t>
    <phoneticPr fontId="4" type="noConversion"/>
  </si>
  <si>
    <t>구분</t>
    <phoneticPr fontId="4" type="noConversion"/>
  </si>
  <si>
    <t>권수</t>
    <phoneticPr fontId="4" type="noConversion"/>
  </si>
  <si>
    <t>금액</t>
    <phoneticPr fontId="4" type="noConversion"/>
  </si>
  <si>
    <t>군인</t>
  </si>
  <si>
    <t>일반</t>
  </si>
  <si>
    <t>학생</t>
  </si>
  <si>
    <t>이름</t>
  </si>
  <si>
    <t>입사</t>
  </si>
  <si>
    <t>상반기</t>
  </si>
  <si>
    <t>하반기</t>
  </si>
  <si>
    <t>업무 능력</t>
  </si>
  <si>
    <t>2차평균</t>
  </si>
  <si>
    <t>평가</t>
  </si>
  <si>
    <t>김민정</t>
  </si>
  <si>
    <t>A</t>
  </si>
  <si>
    <t>강청기</t>
  </si>
  <si>
    <t>김수경</t>
  </si>
  <si>
    <t>제품코드</t>
  </si>
  <si>
    <t>제품명</t>
  </si>
  <si>
    <t>등급</t>
  </si>
  <si>
    <t>판매량</t>
  </si>
  <si>
    <t>단가</t>
  </si>
  <si>
    <t>TV-A</t>
  </si>
  <si>
    <t>TV</t>
  </si>
  <si>
    <t>보급형</t>
  </si>
  <si>
    <t>AUD-C</t>
  </si>
  <si>
    <t>AUD</t>
  </si>
  <si>
    <t>고급형</t>
  </si>
  <si>
    <t>TV-C</t>
  </si>
  <si>
    <t>VCR-C</t>
  </si>
  <si>
    <t>VCR</t>
  </si>
  <si>
    <t>VCR-B</t>
  </si>
  <si>
    <t>TV-B</t>
  </si>
  <si>
    <t>중급형</t>
  </si>
  <si>
    <t>AUD-B</t>
  </si>
  <si>
    <t>VCR-A</t>
  </si>
  <si>
    <t>AUD-A</t>
  </si>
  <si>
    <t>총합계</t>
  </si>
  <si>
    <t>합계 : 판매량</t>
  </si>
  <si>
    <t>합계 : 판매액</t>
  </si>
  <si>
    <t>평균 : 단가</t>
  </si>
  <si>
    <t>채진욱 요약</t>
  </si>
  <si>
    <t>이은주 요약</t>
  </si>
  <si>
    <t>안병찬 요약</t>
  </si>
  <si>
    <t>박형주 요약</t>
  </si>
  <si>
    <t>채진욱 평균</t>
  </si>
  <si>
    <t>이은주 평균</t>
  </si>
  <si>
    <t>안병찬 평균</t>
  </si>
  <si>
    <t>박형주 평균</t>
  </si>
  <si>
    <t>전체 평균</t>
  </si>
  <si>
    <t>설립 현황 분석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</si>
</sst>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2" formatCode="_-&quot;₩&quot;* #,##0_-;\-&quot;₩&quot;* #,##0_-;_-&quot;₩&quot;* &quot;-&quot;_-;_-@_-"/>
    <numFmt numFmtId="41" formatCode="_-* #,##0_-;\-* #,##0_-;_-* &quot;-&quot;_-;_-@_-"/>
    <numFmt numFmtId="176" formatCode="yyyy&quot;-&quot;m&quot;-&quot;d"/>
    <numFmt numFmtId="177" formatCode="0_);[Red]\(0\)"/>
    <numFmt numFmtId="178" formatCode="0.0_ "/>
  </numFmts>
  <fonts count="15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aj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b/>
      <u/>
      <sz val="14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sz val="10"/>
      <name val="맑은 고딕"/>
      <family val="3"/>
      <charset val="129"/>
      <scheme val="major"/>
    </font>
    <font>
      <sz val="13"/>
      <name val="맑은 고딕"/>
      <family val="3"/>
      <charset val="129"/>
      <scheme val="major"/>
    </font>
    <font>
      <sz val="11"/>
      <color indexed="8"/>
      <name val="맑은 고딕"/>
      <family val="3"/>
      <charset val="129"/>
    </font>
    <font>
      <sz val="12"/>
      <color indexed="8"/>
      <name val="굴림"/>
      <family val="3"/>
      <charset val="129"/>
    </font>
    <font>
      <sz val="11"/>
      <color rgb="FF000000"/>
      <name val="맑은 고딕"/>
      <family val="3"/>
      <charset val="129"/>
    </font>
    <font>
      <b/>
      <sz val="11"/>
      <color theme="0"/>
      <name val="맑은 고딕"/>
      <family val="2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5">
    <xf numFmtId="0" fontId="0" fillId="0" borderId="0">
      <alignment vertical="center"/>
    </xf>
    <xf numFmtId="0" fontId="1" fillId="0" borderId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0" fontId="12" fillId="0" borderId="0"/>
  </cellStyleXfs>
  <cellXfs count="67">
    <xf numFmtId="0" fontId="0" fillId="0" borderId="0" xfId="0">
      <alignment vertical="center"/>
    </xf>
    <xf numFmtId="0" fontId="2" fillId="0" borderId="0" xfId="1" applyFont="1" applyAlignment="1">
      <alignment vertical="top"/>
    </xf>
    <xf numFmtId="0" fontId="2" fillId="0" borderId="0" xfId="1" applyFont="1"/>
    <xf numFmtId="0" fontId="6" fillId="0" borderId="0" xfId="1" applyFont="1"/>
    <xf numFmtId="0" fontId="2" fillId="0" borderId="0" xfId="1" applyFont="1" applyAlignment="1">
      <alignment horizontal="right"/>
    </xf>
    <xf numFmtId="9" fontId="2" fillId="0" borderId="0" xfId="1" applyNumberFormat="1" applyFont="1"/>
    <xf numFmtId="0" fontId="2" fillId="0" borderId="1" xfId="1" applyFont="1" applyBorder="1" applyAlignment="1">
      <alignment horizontal="center"/>
    </xf>
    <xf numFmtId="0" fontId="2" fillId="2" borderId="1" xfId="1" applyFont="1" applyFill="1" applyBorder="1" applyAlignment="1">
      <alignment horizontal="center"/>
    </xf>
    <xf numFmtId="41" fontId="2" fillId="0" borderId="1" xfId="2" applyFont="1" applyBorder="1"/>
    <xf numFmtId="41" fontId="2" fillId="0" borderId="1" xfId="1" applyNumberFormat="1" applyFont="1" applyBorder="1"/>
    <xf numFmtId="42" fontId="2" fillId="0" borderId="1" xfId="3" applyFont="1" applyBorder="1"/>
    <xf numFmtId="0" fontId="2" fillId="0" borderId="0" xfId="1" applyFont="1" applyBorder="1" applyAlignment="1">
      <alignment horizontal="center"/>
    </xf>
    <xf numFmtId="41" fontId="2" fillId="0" borderId="0" xfId="2" applyFont="1" applyBorder="1"/>
    <xf numFmtId="41" fontId="2" fillId="0" borderId="0" xfId="1" applyNumberFormat="1" applyFont="1" applyBorder="1"/>
    <xf numFmtId="42" fontId="2" fillId="0" borderId="0" xfId="3" applyFont="1" applyBorder="1"/>
    <xf numFmtId="0" fontId="2" fillId="0" borderId="0" xfId="1" applyFont="1" applyFill="1" applyBorder="1" applyAlignment="1">
      <alignment horizontal="left"/>
    </xf>
    <xf numFmtId="0" fontId="2" fillId="0" borderId="1" xfId="1" applyFont="1" applyBorder="1" applyAlignment="1">
      <alignment horizontal="right"/>
    </xf>
    <xf numFmtId="9" fontId="2" fillId="0" borderId="1" xfId="1" applyNumberFormat="1" applyFont="1" applyBorder="1"/>
    <xf numFmtId="0" fontId="2" fillId="2" borderId="1" xfId="1" applyFont="1" applyFill="1" applyBorder="1"/>
    <xf numFmtId="0" fontId="2" fillId="0" borderId="1" xfId="1" applyFont="1" applyBorder="1"/>
    <xf numFmtId="0" fontId="2" fillId="0" borderId="0" xfId="1" applyFont="1" applyBorder="1"/>
    <xf numFmtId="0" fontId="8" fillId="0" borderId="1" xfId="1" applyFont="1" applyBorder="1" applyAlignment="1">
      <alignment horizontal="center" vertical="center"/>
    </xf>
    <xf numFmtId="0" fontId="8" fillId="0" borderId="1" xfId="1" applyFont="1" applyFill="1" applyBorder="1" applyAlignment="1">
      <alignment horizontal="center" vertical="center"/>
    </xf>
    <xf numFmtId="176" fontId="9" fillId="0" borderId="1" xfId="1" applyNumberFormat="1" applyFont="1" applyBorder="1" applyAlignment="1">
      <alignment horizontal="center" vertical="center"/>
    </xf>
    <xf numFmtId="0" fontId="9" fillId="0" borderId="1" xfId="1" applyFont="1" applyBorder="1" applyAlignment="1">
      <alignment horizontal="center" vertical="center"/>
    </xf>
    <xf numFmtId="41" fontId="9" fillId="0" borderId="1" xfId="2" applyFont="1" applyBorder="1" applyAlignment="1">
      <alignment horizontal="center" vertical="center"/>
    </xf>
    <xf numFmtId="177" fontId="9" fillId="0" borderId="1" xfId="1" applyNumberFormat="1" applyFont="1" applyBorder="1" applyAlignment="1">
      <alignment horizontal="center" vertical="center"/>
    </xf>
    <xf numFmtId="0" fontId="2" fillId="0" borderId="2" xfId="1" applyFont="1" applyBorder="1" applyAlignment="1">
      <alignment horizontal="center"/>
    </xf>
    <xf numFmtId="0" fontId="2" fillId="0" borderId="3" xfId="1" applyFont="1" applyBorder="1" applyAlignment="1">
      <alignment horizontal="center"/>
    </xf>
    <xf numFmtId="0" fontId="2" fillId="0" borderId="4" xfId="1" applyFont="1" applyBorder="1" applyAlignment="1">
      <alignment horizontal="center"/>
    </xf>
    <xf numFmtId="0" fontId="2" fillId="0" borderId="5" xfId="1" applyFont="1" applyBorder="1" applyAlignment="1">
      <alignment horizontal="center"/>
    </xf>
    <xf numFmtId="0" fontId="2" fillId="0" borderId="6" xfId="1" applyFont="1" applyBorder="1" applyAlignment="1">
      <alignment horizontal="center"/>
    </xf>
    <xf numFmtId="0" fontId="2" fillId="0" borderId="7" xfId="1" applyFont="1" applyBorder="1" applyAlignment="1">
      <alignment horizontal="center"/>
    </xf>
    <xf numFmtId="0" fontId="2" fillId="0" borderId="8" xfId="1" applyFont="1" applyBorder="1" applyAlignment="1">
      <alignment horizontal="center"/>
    </xf>
    <xf numFmtId="178" fontId="2" fillId="0" borderId="11" xfId="1" applyNumberFormat="1" applyFont="1" applyBorder="1" applyAlignment="1">
      <alignment horizontal="center"/>
    </xf>
    <xf numFmtId="0" fontId="10" fillId="0" borderId="0" xfId="1" applyFont="1"/>
    <xf numFmtId="0" fontId="6" fillId="0" borderId="0" xfId="1" applyFont="1" applyAlignment="1">
      <alignment horizontal="center"/>
    </xf>
    <xf numFmtId="14" fontId="2" fillId="0" borderId="0" xfId="1" applyNumberFormat="1" applyFont="1" applyAlignment="1">
      <alignment vertical="center"/>
    </xf>
    <xf numFmtId="0" fontId="2" fillId="0" borderId="0" xfId="1" applyFont="1" applyAlignment="1">
      <alignment vertical="center"/>
    </xf>
    <xf numFmtId="3" fontId="2" fillId="0" borderId="0" xfId="1" applyNumberFormat="1" applyFont="1" applyAlignment="1">
      <alignment vertical="center"/>
    </xf>
    <xf numFmtId="14" fontId="2" fillId="0" borderId="0" xfId="1" applyNumberFormat="1" applyFont="1"/>
    <xf numFmtId="3" fontId="2" fillId="0" borderId="0" xfId="1" applyNumberFormat="1" applyFont="1"/>
    <xf numFmtId="0" fontId="11" fillId="3" borderId="12" xfId="4" applyFont="1" applyFill="1" applyBorder="1" applyAlignment="1">
      <alignment horizontal="center"/>
    </xf>
    <xf numFmtId="0" fontId="11" fillId="0" borderId="13" xfId="4" applyFont="1" applyFill="1" applyBorder="1" applyAlignment="1">
      <alignment wrapText="1"/>
    </xf>
    <xf numFmtId="0" fontId="11" fillId="0" borderId="13" xfId="4" applyFont="1" applyFill="1" applyBorder="1" applyAlignment="1">
      <alignment horizontal="right" wrapText="1"/>
    </xf>
    <xf numFmtId="0" fontId="0" fillId="0" borderId="0" xfId="0" pivotButton="1">
      <alignment vertical="center"/>
    </xf>
    <xf numFmtId="0" fontId="0" fillId="0" borderId="0" xfId="0" applyNumberFormat="1">
      <alignment vertical="center"/>
    </xf>
    <xf numFmtId="176" fontId="9" fillId="0" borderId="0" xfId="1" applyNumberFormat="1" applyFont="1" applyBorder="1" applyAlignment="1">
      <alignment horizontal="center" vertical="center"/>
    </xf>
    <xf numFmtId="0" fontId="9" fillId="0" borderId="0" xfId="1" applyFont="1" applyBorder="1" applyAlignment="1">
      <alignment horizontal="center" vertical="center"/>
    </xf>
    <xf numFmtId="41" fontId="9" fillId="0" borderId="0" xfId="2" applyFont="1" applyBorder="1" applyAlignment="1">
      <alignment horizontal="center" vertical="center"/>
    </xf>
    <xf numFmtId="177" fontId="9" fillId="0" borderId="0" xfId="1" applyNumberFormat="1" applyFont="1" applyBorder="1" applyAlignment="1">
      <alignment horizontal="center" vertical="center"/>
    </xf>
    <xf numFmtId="0" fontId="8" fillId="0" borderId="0" xfId="1" applyFont="1" applyBorder="1" applyAlignment="1">
      <alignment horizontal="center" vertical="center"/>
    </xf>
    <xf numFmtId="0" fontId="0" fillId="5" borderId="14" xfId="0" applyFont="1" applyFill="1" applyBorder="1">
      <alignment vertical="center"/>
    </xf>
    <xf numFmtId="0" fontId="0" fillId="5" borderId="15" xfId="0" applyFont="1" applyFill="1" applyBorder="1">
      <alignment vertical="center"/>
    </xf>
    <xf numFmtId="0" fontId="0" fillId="5" borderId="16" xfId="0" applyFont="1" applyFill="1" applyBorder="1">
      <alignment vertical="center"/>
    </xf>
    <xf numFmtId="0" fontId="14" fillId="4" borderId="17" xfId="0" applyFont="1" applyFill="1" applyBorder="1">
      <alignment vertical="center"/>
    </xf>
    <xf numFmtId="0" fontId="14" fillId="4" borderId="18" xfId="0" applyFont="1" applyFill="1" applyBorder="1">
      <alignment vertical="center"/>
    </xf>
    <xf numFmtId="0" fontId="14" fillId="4" borderId="19" xfId="0" applyFont="1" applyFill="1" applyBorder="1">
      <alignment vertical="center"/>
    </xf>
    <xf numFmtId="0" fontId="0" fillId="5" borderId="17" xfId="0" applyFont="1" applyFill="1" applyBorder="1">
      <alignment vertical="center"/>
    </xf>
    <xf numFmtId="0" fontId="0" fillId="5" borderId="18" xfId="0" applyFont="1" applyFill="1" applyBorder="1">
      <alignment vertical="center"/>
    </xf>
    <xf numFmtId="0" fontId="0" fillId="5" borderId="19" xfId="0" applyFont="1" applyFill="1" applyBorder="1">
      <alignment vertical="center"/>
    </xf>
    <xf numFmtId="0" fontId="0" fillId="0" borderId="17" xfId="0" applyFont="1" applyBorder="1">
      <alignment vertical="center"/>
    </xf>
    <xf numFmtId="0" fontId="0" fillId="0" borderId="18" xfId="0" applyFont="1" applyBorder="1">
      <alignment vertical="center"/>
    </xf>
    <xf numFmtId="0" fontId="0" fillId="0" borderId="19" xfId="0" applyFont="1" applyBorder="1">
      <alignment vertical="center"/>
    </xf>
    <xf numFmtId="0" fontId="5" fillId="0" borderId="0" xfId="1" applyFont="1" applyAlignment="1">
      <alignment horizontal="center"/>
    </xf>
    <xf numFmtId="0" fontId="2" fillId="0" borderId="9" xfId="1" applyFont="1" applyBorder="1" applyAlignment="1">
      <alignment horizontal="center"/>
    </xf>
    <xf numFmtId="0" fontId="2" fillId="0" borderId="10" xfId="1" applyFont="1" applyBorder="1" applyAlignment="1">
      <alignment horizontal="center"/>
    </xf>
  </cellXfs>
  <cellStyles count="5">
    <cellStyle name="쉼표 [0] 2" xfId="2"/>
    <cellStyle name="통화 [0] 2" xfId="3"/>
    <cellStyle name="표준" xfId="0" builtinId="0"/>
    <cellStyle name="표준 2" xfId="1"/>
    <cellStyle name="표준_분석작업-1" xfId="4"/>
  </cellStyles>
  <dxfs count="1">
    <dxf>
      <font>
        <b val="0"/>
        <i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>
              <a:latin typeface="궁서체" panose="02030609000101010101" pitchFamily="17" charset="-127"/>
              <a:ea typeface="궁서체" panose="02030609000101010101" pitchFamily="17" charset="-127"/>
            </a:defRPr>
          </a:pPr>
          <a:endParaRPr lang="ko-KR"/>
        </a:p>
      </c:txPr>
    </c:title>
    <c:autoTitleDeleted val="0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'기타작업-1'!$I$2</c:f>
              <c:strCache>
                <c:ptCount val="1"/>
                <c:pt idx="0">
                  <c:v>초기 설립비</c:v>
                </c:pt>
              </c:strCache>
            </c:strRef>
          </c:tx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</c:dLbls>
          <c:cat>
            <c:strRef>
              <c:f>'기타작업-1'!$G$3:$G$9</c:f>
              <c:strCache>
                <c:ptCount val="7"/>
                <c:pt idx="0">
                  <c:v>군포지사</c:v>
                </c:pt>
                <c:pt idx="1">
                  <c:v>마산지사</c:v>
                </c:pt>
                <c:pt idx="2">
                  <c:v>대전지사</c:v>
                </c:pt>
                <c:pt idx="3">
                  <c:v>부산지사</c:v>
                </c:pt>
                <c:pt idx="4">
                  <c:v>강원지사</c:v>
                </c:pt>
                <c:pt idx="5">
                  <c:v>경기지사</c:v>
                </c:pt>
                <c:pt idx="6">
                  <c:v>인천지사</c:v>
                </c:pt>
              </c:strCache>
            </c:strRef>
          </c:cat>
          <c:val>
            <c:numRef>
              <c:f>'기타작업-1'!$I$3:$I$9</c:f>
              <c:numCache>
                <c:formatCode>General</c:formatCode>
                <c:ptCount val="7"/>
                <c:pt idx="0">
                  <c:v>100</c:v>
                </c:pt>
                <c:pt idx="1">
                  <c:v>150</c:v>
                </c:pt>
                <c:pt idx="2">
                  <c:v>230</c:v>
                </c:pt>
                <c:pt idx="3">
                  <c:v>270</c:v>
                </c:pt>
                <c:pt idx="4">
                  <c:v>270</c:v>
                </c:pt>
                <c:pt idx="5">
                  <c:v>280</c:v>
                </c:pt>
                <c:pt idx="6">
                  <c:v>200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layout/>
      <c:overlay val="0"/>
      <c:spPr>
        <a:solidFill>
          <a:schemeClr val="bg1"/>
        </a:solidFill>
        <a:ln>
          <a:solidFill>
            <a:schemeClr val="tx1"/>
          </a:solidFill>
        </a:ln>
        <a:effectLst>
          <a:outerShdw blurRad="50800" dist="38100" dir="13500000" algn="br" rotWithShape="0">
            <a:prstClr val="black">
              <a:alpha val="40000"/>
            </a:prstClr>
          </a:outerShdw>
        </a:effectLst>
      </c:spPr>
      <c:txPr>
        <a:bodyPr/>
        <a:lstStyle/>
        <a:p>
          <a:pPr>
            <a:defRPr sz="800"/>
          </a:pPr>
          <a:endParaRPr lang="ko-K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부분합 실행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0</xdr:row>
      <xdr:rowOff>0</xdr:rowOff>
    </xdr:from>
    <xdr:to>
      <xdr:col>2</xdr:col>
      <xdr:colOff>885825</xdr:colOff>
      <xdr:row>0</xdr:row>
      <xdr:rowOff>0</xdr:rowOff>
    </xdr:to>
    <xdr:sp macro="[0]!최대값" textlink="">
      <xdr:nvSpPr>
        <xdr:cNvPr id="2" name="AutoShape 1"/>
        <xdr:cNvSpPr>
          <a:spLocks noChangeArrowheads="1"/>
        </xdr:cNvSpPr>
      </xdr:nvSpPr>
      <xdr:spPr bwMode="auto">
        <a:xfrm>
          <a:off x="1400175" y="0"/>
          <a:ext cx="866775" cy="0"/>
        </a:xfrm>
        <a:prstGeom prst="horizontalScroll">
          <a:avLst>
            <a:gd name="adj" fmla="val 12500"/>
          </a:avLst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36576" tIns="18288" rIns="0" bIns="0" anchor="t" upright="1"/>
        <a:lstStyle/>
        <a:p>
          <a:pPr algn="l" rtl="0">
            <a:defRPr sz="1000"/>
          </a:pPr>
          <a:r>
            <a:rPr lang="ko-KR" altLang="en-US" sz="1100" b="0" i="0" strike="noStrike">
              <a:solidFill>
                <a:srgbClr val="000000"/>
              </a:solidFill>
              <a:latin typeface="돋움"/>
              <a:ea typeface="돋움"/>
            </a:rPr>
            <a:t>최대값</a:t>
          </a:r>
        </a:p>
      </xdr:txBody>
    </xdr:sp>
    <xdr:clientData/>
  </xdr:twoCellAnchor>
  <xdr:twoCellAnchor>
    <xdr:from>
      <xdr:col>3</xdr:col>
      <xdr:colOff>28575</xdr:colOff>
      <xdr:row>0</xdr:row>
      <xdr:rowOff>0</xdr:rowOff>
    </xdr:from>
    <xdr:to>
      <xdr:col>3</xdr:col>
      <xdr:colOff>895350</xdr:colOff>
      <xdr:row>0</xdr:row>
      <xdr:rowOff>0</xdr:rowOff>
    </xdr:to>
    <xdr:sp macro="[0]!순위" textlink="">
      <xdr:nvSpPr>
        <xdr:cNvPr id="3" name="AutoShape 2"/>
        <xdr:cNvSpPr>
          <a:spLocks noChangeArrowheads="1"/>
        </xdr:cNvSpPr>
      </xdr:nvSpPr>
      <xdr:spPr bwMode="auto">
        <a:xfrm>
          <a:off x="2305050" y="0"/>
          <a:ext cx="866775" cy="0"/>
        </a:xfrm>
        <a:prstGeom prst="horizontalScroll">
          <a:avLst>
            <a:gd name="adj" fmla="val 12500"/>
          </a:avLst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36576" tIns="18288" rIns="0" bIns="0" anchor="t" upright="1"/>
        <a:lstStyle/>
        <a:p>
          <a:pPr algn="l" rtl="0">
            <a:defRPr sz="1000"/>
          </a:pPr>
          <a:r>
            <a:rPr lang="ko-KR" altLang="en-US" sz="1100" b="0" i="0" strike="noStrike">
              <a:solidFill>
                <a:srgbClr val="000000"/>
              </a:solidFill>
              <a:latin typeface="돋움"/>
              <a:ea typeface="돋움"/>
            </a:rPr>
            <a:t>순위</a:t>
          </a:r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5</xdr:col>
      <xdr:colOff>0</xdr:colOff>
      <xdr:row>12</xdr:row>
      <xdr:rowOff>0</xdr:rowOff>
    </xdr:to>
    <xdr:graphicFrame macro="">
      <xdr:nvGraphicFramePr>
        <xdr:cNvPr id="4" name="차트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5" name="폭발 1 4"/>
        <xdr:cNvSpPr/>
      </xdr:nvSpPr>
      <xdr:spPr>
        <a:xfrm>
          <a:off x="5467350" y="1495425"/>
          <a:ext cx="847725" cy="209550"/>
        </a:xfrm>
        <a:prstGeom prst="irregularSeal1">
          <a:avLst/>
        </a:prstGeom>
        <a:noFill/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76200</xdr:colOff>
      <xdr:row>5</xdr:row>
      <xdr:rowOff>161925</xdr:rowOff>
    </xdr:from>
    <xdr:to>
      <xdr:col>8</xdr:col>
      <xdr:colOff>0</xdr:colOff>
      <xdr:row>7</xdr:row>
      <xdr:rowOff>83577</xdr:rowOff>
    </xdr:to>
    <xdr:cxnSp macro="">
      <xdr:nvCxnSpPr>
        <xdr:cNvPr id="6" name="직선 화살표 연결선 5"/>
        <xdr:cNvCxnSpPr>
          <a:stCxn id="5" idx="1"/>
        </xdr:cNvCxnSpPr>
      </xdr:nvCxnSpPr>
      <xdr:spPr>
        <a:xfrm flipH="1" flipV="1">
          <a:off x="790575" y="1238250"/>
          <a:ext cx="4676775" cy="340752"/>
        </a:xfrm>
        <a:prstGeom prst="straightConnector1">
          <a:avLst/>
        </a:prstGeom>
        <a:ln w="12700"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0</xdr:rowOff>
        </xdr:from>
        <xdr:to>
          <xdr:col>7</xdr:col>
          <xdr:colOff>76200</xdr:colOff>
          <xdr:row>2</xdr:row>
          <xdr:rowOff>123825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김우경" refreshedDate="42977.876852893518" createdVersion="4" refreshedVersion="4" minRefreshableVersion="3" recordCount="60">
  <cacheSource type="worksheet">
    <worksheetSource ref="A2:E62" sheet="분석작업-1"/>
  </cacheSource>
  <cacheFields count="6">
    <cacheField name="제품코드" numFmtId="0">
      <sharedItems/>
    </cacheField>
    <cacheField name="제품명" numFmtId="0">
      <sharedItems count="3">
        <s v="TV"/>
        <s v="AUD"/>
        <s v="VCR"/>
      </sharedItems>
    </cacheField>
    <cacheField name="등급" numFmtId="0">
      <sharedItems count="3">
        <s v="보급형"/>
        <s v="고급형"/>
        <s v="중급형"/>
      </sharedItems>
    </cacheField>
    <cacheField name="판매량" numFmtId="0">
      <sharedItems containsSemiMixedTypes="0" containsString="0" containsNumber="1" containsInteger="1" minValue="10" maxValue="50"/>
    </cacheField>
    <cacheField name="단가" numFmtId="0">
      <sharedItems containsSemiMixedTypes="0" containsString="0" containsNumber="1" containsInteger="1" minValue="1000" maxValue="3500"/>
    </cacheField>
    <cacheField name="판매액" numFmtId="0" formula="판매량*단가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">
  <r>
    <s v="TV-A"/>
    <x v="0"/>
    <x v="0"/>
    <n v="11"/>
    <n v="2000"/>
  </r>
  <r>
    <s v="AUD-C"/>
    <x v="1"/>
    <x v="1"/>
    <n v="32"/>
    <n v="3500"/>
  </r>
  <r>
    <s v="TV-C"/>
    <x v="0"/>
    <x v="0"/>
    <n v="29"/>
    <n v="3000"/>
  </r>
  <r>
    <s v="VCR-C"/>
    <x v="2"/>
    <x v="0"/>
    <n v="47"/>
    <n v="2000"/>
  </r>
  <r>
    <s v="AUD-C"/>
    <x v="1"/>
    <x v="0"/>
    <n v="33"/>
    <n v="3500"/>
  </r>
  <r>
    <s v="VCR-C"/>
    <x v="2"/>
    <x v="0"/>
    <n v="29"/>
    <n v="2000"/>
  </r>
  <r>
    <s v="VCR-B"/>
    <x v="2"/>
    <x v="0"/>
    <n v="21"/>
    <n v="1500"/>
  </r>
  <r>
    <s v="TV-B"/>
    <x v="0"/>
    <x v="2"/>
    <n v="39"/>
    <n v="2500"/>
  </r>
  <r>
    <s v="TV-C"/>
    <x v="0"/>
    <x v="2"/>
    <n v="34"/>
    <n v="3000"/>
  </r>
  <r>
    <s v="TV-B"/>
    <x v="0"/>
    <x v="0"/>
    <n v="26"/>
    <n v="2500"/>
  </r>
  <r>
    <s v="AUD-B"/>
    <x v="1"/>
    <x v="2"/>
    <n v="44"/>
    <n v="3000"/>
  </r>
  <r>
    <s v="AUD-C"/>
    <x v="1"/>
    <x v="2"/>
    <n v="22"/>
    <n v="3500"/>
  </r>
  <r>
    <s v="TV-B"/>
    <x v="0"/>
    <x v="0"/>
    <n v="23"/>
    <n v="2500"/>
  </r>
  <r>
    <s v="TV-A"/>
    <x v="0"/>
    <x v="2"/>
    <n v="46"/>
    <n v="2000"/>
  </r>
  <r>
    <s v="TV-A"/>
    <x v="0"/>
    <x v="1"/>
    <n v="28"/>
    <n v="2000"/>
  </r>
  <r>
    <s v="TV-C"/>
    <x v="0"/>
    <x v="1"/>
    <n v="31"/>
    <n v="3000"/>
  </r>
  <r>
    <s v="TV-B"/>
    <x v="0"/>
    <x v="0"/>
    <n v="45"/>
    <n v="2500"/>
  </r>
  <r>
    <s v="VCR-A"/>
    <x v="2"/>
    <x v="2"/>
    <n v="14"/>
    <n v="1000"/>
  </r>
  <r>
    <s v="AUD-A"/>
    <x v="1"/>
    <x v="1"/>
    <n v="38"/>
    <n v="2500"/>
  </r>
  <r>
    <s v="VCR-B"/>
    <x v="2"/>
    <x v="1"/>
    <n v="27"/>
    <n v="1500"/>
  </r>
  <r>
    <s v="VCR-B"/>
    <x v="2"/>
    <x v="2"/>
    <n v="29"/>
    <n v="1500"/>
  </r>
  <r>
    <s v="VCR-B"/>
    <x v="2"/>
    <x v="2"/>
    <n v="27"/>
    <n v="1500"/>
  </r>
  <r>
    <s v="TV-A"/>
    <x v="0"/>
    <x v="2"/>
    <n v="28"/>
    <n v="2000"/>
  </r>
  <r>
    <s v="TV-C"/>
    <x v="0"/>
    <x v="1"/>
    <n v="16"/>
    <n v="3000"/>
  </r>
  <r>
    <s v="AUD-C"/>
    <x v="1"/>
    <x v="0"/>
    <n v="28"/>
    <n v="3500"/>
  </r>
  <r>
    <s v="AUD-A"/>
    <x v="1"/>
    <x v="0"/>
    <n v="24"/>
    <n v="2500"/>
  </r>
  <r>
    <s v="AUD-A"/>
    <x v="1"/>
    <x v="1"/>
    <n v="23"/>
    <n v="2500"/>
  </r>
  <r>
    <s v="TV-C"/>
    <x v="0"/>
    <x v="1"/>
    <n v="42"/>
    <n v="3000"/>
  </r>
  <r>
    <s v="VCR-B"/>
    <x v="2"/>
    <x v="0"/>
    <n v="50"/>
    <n v="1500"/>
  </r>
  <r>
    <s v="AUD-B"/>
    <x v="1"/>
    <x v="2"/>
    <n v="36"/>
    <n v="3000"/>
  </r>
  <r>
    <s v="AUD-B"/>
    <x v="1"/>
    <x v="2"/>
    <n v="14"/>
    <n v="3000"/>
  </r>
  <r>
    <s v="TV-A"/>
    <x v="0"/>
    <x v="2"/>
    <n v="42"/>
    <n v="2000"/>
  </r>
  <r>
    <s v="TV-A"/>
    <x v="0"/>
    <x v="1"/>
    <n v="24"/>
    <n v="2000"/>
  </r>
  <r>
    <s v="TV-B"/>
    <x v="0"/>
    <x v="1"/>
    <n v="39"/>
    <n v="2500"/>
  </r>
  <r>
    <s v="TV-C"/>
    <x v="0"/>
    <x v="2"/>
    <n v="35"/>
    <n v="3000"/>
  </r>
  <r>
    <s v="VCR-C"/>
    <x v="2"/>
    <x v="0"/>
    <n v="24"/>
    <n v="2000"/>
  </r>
  <r>
    <s v="TV-B"/>
    <x v="0"/>
    <x v="0"/>
    <n v="28"/>
    <n v="2500"/>
  </r>
  <r>
    <s v="TV-C"/>
    <x v="0"/>
    <x v="2"/>
    <n v="19"/>
    <n v="3000"/>
  </r>
  <r>
    <s v="VCR-A"/>
    <x v="2"/>
    <x v="0"/>
    <n v="47"/>
    <n v="1000"/>
  </r>
  <r>
    <s v="AUD-C"/>
    <x v="1"/>
    <x v="1"/>
    <n v="22"/>
    <n v="3500"/>
  </r>
  <r>
    <s v="AUD-A"/>
    <x v="1"/>
    <x v="0"/>
    <n v="27"/>
    <n v="2500"/>
  </r>
  <r>
    <s v="TV-A"/>
    <x v="0"/>
    <x v="1"/>
    <n v="12"/>
    <n v="2000"/>
  </r>
  <r>
    <s v="AUD-A"/>
    <x v="1"/>
    <x v="1"/>
    <n v="27"/>
    <n v="2500"/>
  </r>
  <r>
    <s v="AUD-C"/>
    <x v="1"/>
    <x v="1"/>
    <n v="11"/>
    <n v="3500"/>
  </r>
  <r>
    <s v="AUD-A"/>
    <x v="1"/>
    <x v="0"/>
    <n v="37"/>
    <n v="2500"/>
  </r>
  <r>
    <s v="VCR-C"/>
    <x v="2"/>
    <x v="1"/>
    <n v="25"/>
    <n v="2000"/>
  </r>
  <r>
    <s v="TV-A"/>
    <x v="0"/>
    <x v="0"/>
    <n v="38"/>
    <n v="2000"/>
  </r>
  <r>
    <s v="VCR-A"/>
    <x v="2"/>
    <x v="1"/>
    <n v="42"/>
    <n v="1000"/>
  </r>
  <r>
    <s v="AUD-B"/>
    <x v="1"/>
    <x v="1"/>
    <n v="49"/>
    <n v="3000"/>
  </r>
  <r>
    <s v="AUD-B"/>
    <x v="1"/>
    <x v="2"/>
    <n v="13"/>
    <n v="3000"/>
  </r>
  <r>
    <s v="AUD-B"/>
    <x v="1"/>
    <x v="2"/>
    <n v="14"/>
    <n v="3000"/>
  </r>
  <r>
    <s v="TV-B"/>
    <x v="0"/>
    <x v="2"/>
    <n v="18"/>
    <n v="2500"/>
  </r>
  <r>
    <s v="TV-C"/>
    <x v="0"/>
    <x v="2"/>
    <n v="50"/>
    <n v="3000"/>
  </r>
  <r>
    <s v="AUD-A"/>
    <x v="1"/>
    <x v="0"/>
    <n v="26"/>
    <n v="2500"/>
  </r>
  <r>
    <s v="AUD-B"/>
    <x v="1"/>
    <x v="1"/>
    <n v="11"/>
    <n v="3000"/>
  </r>
  <r>
    <s v="AUD-A"/>
    <x v="1"/>
    <x v="2"/>
    <n v="10"/>
    <n v="2500"/>
  </r>
  <r>
    <s v="TV-A"/>
    <x v="0"/>
    <x v="1"/>
    <n v="12"/>
    <n v="2000"/>
  </r>
  <r>
    <s v="AUD-A"/>
    <x v="1"/>
    <x v="1"/>
    <n v="43"/>
    <n v="2500"/>
  </r>
  <r>
    <s v="VCR-C"/>
    <x v="2"/>
    <x v="1"/>
    <n v="13"/>
    <n v="2000"/>
  </r>
  <r>
    <s v="TV-B"/>
    <x v="0"/>
    <x v="0"/>
    <n v="17"/>
    <n v="25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1" cacheId="19" applyNumberFormats="0" applyBorderFormats="0" applyFontFormats="0" applyPatternFormats="0" applyAlignmentFormats="0" applyWidthHeightFormats="1" dataCaption="값" updatedVersion="4" minRefreshableVersion="3" useAutoFormatting="1" itemPrintTitles="1" createdVersion="4" indent="0" compact="0" outline="1" outlineData="1" compactData="0" multipleFieldFilters="0">
  <location ref="G3:K16" firstHeaderRow="0" firstDataRow="1" firstDataCol="2"/>
  <pivotFields count="6">
    <pivotField compact="0" showAll="0"/>
    <pivotField axis="axisRow" compact="0" showAll="0">
      <items count="4">
        <item x="1"/>
        <item x="0"/>
        <item x="2"/>
        <item t="default"/>
      </items>
    </pivotField>
    <pivotField axis="axisRow" compact="0" showAll="0">
      <items count="4">
        <item x="1"/>
        <item x="0"/>
        <item x="2"/>
        <item t="default"/>
      </items>
    </pivotField>
    <pivotField dataField="1" compact="0" showAll="0"/>
    <pivotField dataField="1" compact="0" showAll="0"/>
    <pivotField dataField="1" compact="0" dragToRow="0" dragToCol="0" dragToPage="0" showAll="0" defaultSubtotal="0"/>
  </pivotFields>
  <rowFields count="2">
    <field x="2"/>
    <field x="1"/>
  </rowFields>
  <rowItems count="13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합계 : 판매량" fld="3" baseField="0" baseItem="0"/>
    <dataField name="평균 : 단가" fld="4" subtotal="average" baseField="0" baseItem="0"/>
    <dataField name="합계 : 판매액" fld="5" baseField="0" baseItem="0"/>
  </dataFields>
  <pivotTableStyleInfo name="PivotStyleMedium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MS Access Database_Query" connectionId="1" autoFormatId="16" applyNumberFormats="0" applyBorderFormats="0" applyFontFormats="1" applyPatternFormats="1" applyAlignmentFormats="0" applyWidthHeightFormats="0">
  <queryTableRefresh nextId="7">
    <queryTableFields count="6">
      <queryTableField id="1" name="사원코드"/>
      <queryTableField id="2" name="호봉"/>
      <queryTableField id="3" name="직무"/>
      <queryTableField id="4" name="연봉"/>
      <queryTableField id="5" name="연월차"/>
      <queryTableField id="6" name="특근비"/>
    </queryTableFields>
  </queryTableRefresh>
</query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6"/>
  <sheetViews>
    <sheetView tabSelected="1" workbookViewId="0">
      <selection activeCell="H11" sqref="H11"/>
    </sheetView>
  </sheetViews>
  <sheetFormatPr defaultRowHeight="16.5"/>
  <cols>
    <col min="1" max="2" width="7.5" customWidth="1"/>
    <col min="3" max="4" width="9.375" bestFit="1" customWidth="1"/>
    <col min="5" max="5" width="11.875" customWidth="1"/>
    <col min="6" max="6" width="12.75" customWidth="1"/>
    <col min="7" max="7" width="7.5" customWidth="1"/>
  </cols>
  <sheetData>
    <row r="1" spans="1:7">
      <c r="A1" s="1" t="s">
        <v>0</v>
      </c>
    </row>
    <row r="3" spans="1:7">
      <c r="A3" s="55" t="s">
        <v>137</v>
      </c>
      <c r="B3" s="56" t="s">
        <v>138</v>
      </c>
      <c r="C3" s="56" t="s">
        <v>139</v>
      </c>
      <c r="D3" s="56" t="s">
        <v>140</v>
      </c>
      <c r="E3" s="56" t="s">
        <v>141</v>
      </c>
      <c r="F3" s="56" t="s">
        <v>142</v>
      </c>
      <c r="G3" s="57" t="s">
        <v>143</v>
      </c>
    </row>
    <row r="4" spans="1:7">
      <c r="A4" s="58" t="s">
        <v>144</v>
      </c>
      <c r="B4" s="59">
        <v>67</v>
      </c>
      <c r="C4" s="59">
        <v>60</v>
      </c>
      <c r="D4" s="59">
        <v>35</v>
      </c>
      <c r="E4" s="59" t="s">
        <v>145</v>
      </c>
      <c r="F4" s="59">
        <v>6.9066666666666663</v>
      </c>
      <c r="G4" s="60">
        <v>33</v>
      </c>
    </row>
    <row r="5" spans="1:7">
      <c r="A5" s="61" t="s">
        <v>146</v>
      </c>
      <c r="B5" s="62">
        <v>54</v>
      </c>
      <c r="C5" s="62">
        <v>65</v>
      </c>
      <c r="D5" s="62">
        <v>60</v>
      </c>
      <c r="E5" s="62" t="s">
        <v>145</v>
      </c>
      <c r="F5" s="62">
        <v>8.3960000000000008</v>
      </c>
      <c r="G5" s="63">
        <v>10</v>
      </c>
    </row>
    <row r="6" spans="1:7">
      <c r="A6" s="52" t="s">
        <v>147</v>
      </c>
      <c r="B6" s="53">
        <v>34</v>
      </c>
      <c r="C6" s="53">
        <v>80</v>
      </c>
      <c r="D6" s="53">
        <v>87</v>
      </c>
      <c r="E6" s="53" t="s">
        <v>145</v>
      </c>
      <c r="F6" s="53">
        <v>8.2893333333333334</v>
      </c>
      <c r="G6" s="54">
        <v>14</v>
      </c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5"/>
  <sheetViews>
    <sheetView workbookViewId="0">
      <selection sqref="A1:G1"/>
    </sheetView>
  </sheetViews>
  <sheetFormatPr defaultRowHeight="16.5"/>
  <cols>
    <col min="1" max="1" width="9.75" style="2" bestFit="1" customWidth="1"/>
    <col min="2" max="2" width="11.125" style="2" bestFit="1" customWidth="1"/>
    <col min="3" max="3" width="7.375" style="2" customWidth="1"/>
    <col min="4" max="4" width="11.75" style="2" bestFit="1" customWidth="1"/>
    <col min="5" max="5" width="7.75" style="2" customWidth="1"/>
    <col min="6" max="6" width="8.5" style="2" customWidth="1"/>
    <col min="7" max="7" width="6" style="2" bestFit="1" customWidth="1"/>
    <col min="8" max="16384" width="9" style="2"/>
  </cols>
  <sheetData>
    <row r="1" spans="1:7" ht="20.25">
      <c r="A1" s="64" t="s">
        <v>1</v>
      </c>
      <c r="B1" s="64"/>
      <c r="C1" s="64"/>
      <c r="D1" s="64"/>
      <c r="E1" s="64"/>
      <c r="F1" s="64"/>
      <c r="G1" s="64"/>
    </row>
    <row r="3" spans="1:7">
      <c r="A3" s="3" t="s">
        <v>2</v>
      </c>
      <c r="B3" s="3" t="s">
        <v>3</v>
      </c>
      <c r="C3" s="3" t="s">
        <v>4</v>
      </c>
      <c r="D3" s="3" t="s">
        <v>5</v>
      </c>
      <c r="E3" s="3" t="s">
        <v>6</v>
      </c>
      <c r="F3" s="3" t="s">
        <v>7</v>
      </c>
    </row>
    <row r="4" spans="1:7">
      <c r="A4" s="2" t="s">
        <v>8</v>
      </c>
      <c r="B4" s="2" t="s">
        <v>9</v>
      </c>
      <c r="C4" s="2" t="s">
        <v>10</v>
      </c>
      <c r="D4" s="2">
        <v>38500000</v>
      </c>
      <c r="E4" s="2">
        <v>23</v>
      </c>
      <c r="F4" s="2">
        <v>120000</v>
      </c>
    </row>
    <row r="5" spans="1:7">
      <c r="A5" s="2" t="s">
        <v>11</v>
      </c>
      <c r="B5" s="2" t="s">
        <v>12</v>
      </c>
      <c r="C5" s="2" t="s">
        <v>10</v>
      </c>
      <c r="D5" s="2">
        <v>37500000</v>
      </c>
      <c r="E5" s="2">
        <v>17</v>
      </c>
      <c r="F5" s="2">
        <v>45200</v>
      </c>
    </row>
    <row r="6" spans="1:7">
      <c r="A6" s="2" t="s">
        <v>13</v>
      </c>
      <c r="B6" s="2" t="s">
        <v>14</v>
      </c>
      <c r="C6" s="2" t="s">
        <v>10</v>
      </c>
      <c r="D6" s="2">
        <v>37500000</v>
      </c>
      <c r="E6" s="2">
        <v>22</v>
      </c>
      <c r="F6" s="2">
        <v>41000</v>
      </c>
    </row>
    <row r="7" spans="1:7">
      <c r="A7" s="2" t="s">
        <v>15</v>
      </c>
      <c r="B7" s="2" t="s">
        <v>14</v>
      </c>
      <c r="C7" s="2" t="s">
        <v>10</v>
      </c>
      <c r="D7" s="2">
        <v>35000000</v>
      </c>
      <c r="E7" s="2">
        <v>23</v>
      </c>
      <c r="F7" s="2">
        <v>64600</v>
      </c>
    </row>
    <row r="8" spans="1:7">
      <c r="A8" s="2" t="s">
        <v>16</v>
      </c>
      <c r="B8" s="2" t="s">
        <v>17</v>
      </c>
      <c r="C8" s="2" t="s">
        <v>10</v>
      </c>
      <c r="D8" s="2">
        <v>28500000</v>
      </c>
      <c r="E8" s="2">
        <v>17</v>
      </c>
      <c r="F8" s="2">
        <v>32100</v>
      </c>
    </row>
    <row r="9" spans="1:7">
      <c r="A9" s="2" t="s">
        <v>18</v>
      </c>
      <c r="B9" s="2" t="s">
        <v>17</v>
      </c>
      <c r="C9" s="2" t="s">
        <v>10</v>
      </c>
      <c r="D9" s="2">
        <v>27000000</v>
      </c>
      <c r="E9" s="2">
        <v>16</v>
      </c>
      <c r="F9" s="2">
        <v>37100</v>
      </c>
    </row>
    <row r="10" spans="1:7">
      <c r="A10" s="2" t="s">
        <v>19</v>
      </c>
      <c r="B10" s="2" t="s">
        <v>20</v>
      </c>
      <c r="C10" s="2" t="s">
        <v>21</v>
      </c>
      <c r="D10" s="2">
        <v>35500000</v>
      </c>
      <c r="E10" s="2">
        <v>23</v>
      </c>
      <c r="F10" s="2">
        <v>51500</v>
      </c>
    </row>
    <row r="11" spans="1:7">
      <c r="A11" s="2" t="s">
        <v>22</v>
      </c>
      <c r="B11" s="2" t="s">
        <v>23</v>
      </c>
      <c r="C11" s="2" t="s">
        <v>21</v>
      </c>
      <c r="D11" s="2">
        <v>34500000</v>
      </c>
      <c r="E11" s="2">
        <v>22</v>
      </c>
      <c r="F11" s="2">
        <v>92600</v>
      </c>
    </row>
    <row r="12" spans="1:7">
      <c r="A12" s="2" t="s">
        <v>24</v>
      </c>
      <c r="B12" s="2" t="s">
        <v>25</v>
      </c>
      <c r="C12" s="2" t="s">
        <v>21</v>
      </c>
      <c r="D12" s="2">
        <v>30000000</v>
      </c>
      <c r="E12" s="2">
        <v>17</v>
      </c>
      <c r="F12" s="2">
        <v>46400</v>
      </c>
    </row>
    <row r="13" spans="1:7">
      <c r="A13" s="2" t="s">
        <v>26</v>
      </c>
      <c r="B13" s="2" t="s">
        <v>27</v>
      </c>
      <c r="C13" s="2" t="s">
        <v>21</v>
      </c>
      <c r="D13" s="2">
        <v>29250000</v>
      </c>
      <c r="E13" s="2">
        <v>18</v>
      </c>
      <c r="F13" s="2">
        <v>18800</v>
      </c>
    </row>
    <row r="14" spans="1:7">
      <c r="A14" s="2" t="s">
        <v>28</v>
      </c>
      <c r="B14" s="2" t="s">
        <v>29</v>
      </c>
      <c r="C14" s="2" t="s">
        <v>21</v>
      </c>
      <c r="D14" s="2">
        <v>28500000</v>
      </c>
      <c r="E14" s="2">
        <v>19</v>
      </c>
      <c r="F14" s="2">
        <v>33800</v>
      </c>
    </row>
    <row r="15" spans="1:7">
      <c r="A15" s="2" t="s">
        <v>30</v>
      </c>
      <c r="B15" s="2" t="s">
        <v>31</v>
      </c>
      <c r="C15" s="2" t="s">
        <v>21</v>
      </c>
      <c r="D15" s="2">
        <v>27000000</v>
      </c>
      <c r="E15" s="2">
        <v>18</v>
      </c>
      <c r="F15" s="2">
        <v>38700</v>
      </c>
    </row>
    <row r="16" spans="1:7">
      <c r="A16" s="2" t="s">
        <v>32</v>
      </c>
      <c r="B16" s="2" t="s">
        <v>33</v>
      </c>
      <c r="C16" s="2" t="s">
        <v>21</v>
      </c>
      <c r="D16" s="2">
        <v>26000000</v>
      </c>
      <c r="E16" s="2">
        <v>21</v>
      </c>
      <c r="F16" s="2">
        <v>2600</v>
      </c>
    </row>
    <row r="17" spans="1:6">
      <c r="A17" s="2" t="s">
        <v>34</v>
      </c>
      <c r="B17" s="2" t="s">
        <v>35</v>
      </c>
      <c r="C17" s="2" t="s">
        <v>21</v>
      </c>
      <c r="D17" s="2">
        <v>25000000</v>
      </c>
      <c r="E17" s="2">
        <v>20</v>
      </c>
      <c r="F17" s="2">
        <v>67700</v>
      </c>
    </row>
    <row r="19" spans="1:6">
      <c r="A19" s="2" t="s">
        <v>36</v>
      </c>
      <c r="B19" s="2" t="s">
        <v>37</v>
      </c>
    </row>
    <row r="20" spans="1:6">
      <c r="A20" s="2" t="b">
        <f>RIGHT(B4,3)="연구원"</f>
        <v>1</v>
      </c>
      <c r="B20" s="2" t="b">
        <f>D4&gt;=LARGE($D$4:$D$17,3)</f>
        <v>1</v>
      </c>
    </row>
    <row r="22" spans="1:6">
      <c r="A22" s="3" t="s">
        <v>2</v>
      </c>
      <c r="B22" s="3" t="s">
        <v>3</v>
      </c>
      <c r="C22" s="3" t="s">
        <v>4</v>
      </c>
      <c r="D22" s="3" t="s">
        <v>5</v>
      </c>
      <c r="E22" s="3" t="s">
        <v>6</v>
      </c>
      <c r="F22" s="3" t="s">
        <v>7</v>
      </c>
    </row>
    <row r="23" spans="1:6">
      <c r="A23" s="2" t="s">
        <v>8</v>
      </c>
      <c r="B23" s="2" t="s">
        <v>9</v>
      </c>
      <c r="C23" s="2" t="s">
        <v>10</v>
      </c>
      <c r="D23" s="2">
        <v>38500000</v>
      </c>
      <c r="E23" s="2">
        <v>23</v>
      </c>
      <c r="F23" s="2">
        <v>120000</v>
      </c>
    </row>
    <row r="24" spans="1:6">
      <c r="A24" s="2" t="s">
        <v>11</v>
      </c>
      <c r="B24" s="2" t="s">
        <v>12</v>
      </c>
      <c r="C24" s="2" t="s">
        <v>10</v>
      </c>
      <c r="D24" s="2">
        <v>37500000</v>
      </c>
      <c r="E24" s="2">
        <v>17</v>
      </c>
      <c r="F24" s="2">
        <v>45200</v>
      </c>
    </row>
    <row r="25" spans="1:6">
      <c r="A25" s="2" t="s">
        <v>13</v>
      </c>
      <c r="B25" s="2" t="s">
        <v>14</v>
      </c>
      <c r="C25" s="2" t="s">
        <v>10</v>
      </c>
      <c r="D25" s="2">
        <v>37500000</v>
      </c>
      <c r="E25" s="2">
        <v>22</v>
      </c>
      <c r="F25" s="2">
        <v>41000</v>
      </c>
    </row>
  </sheetData>
  <mergeCells count="1">
    <mergeCell ref="A1:G1"/>
  </mergeCells>
  <phoneticPr fontId="3" type="noConversion"/>
  <conditionalFormatting sqref="A4:F17">
    <cfRule type="expression" dxfId="0" priority="1">
      <formula>AND($C4="일반직",LEFT($B4,2)="과장")</formula>
    </cfRule>
  </conditionalFormatting>
  <printOptions horizontalCentered="1" verticalCentered="1" headings="1" gridLines="1"/>
  <pageMargins left="0.74803149606299213" right="0.74803149606299213" top="0.98425196850393704" bottom="0.98425196850393704" header="0.51181102362204722" footer="0.51181102362204722"/>
  <pageSetup paperSize="9" orientation="portrait" verticalDpi="0" r:id="rId1"/>
  <headerFooter alignWithMargins="0">
    <oddHeader>&amp;L시트 이름 : &amp;A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3"/>
  <sheetViews>
    <sheetView workbookViewId="0"/>
  </sheetViews>
  <sheetFormatPr defaultRowHeight="16.5"/>
  <cols>
    <col min="1" max="1" width="11.125" style="2" bestFit="1" customWidth="1"/>
    <col min="2" max="2" width="11.5" style="2" customWidth="1"/>
    <col min="3" max="3" width="11.75" style="2" bestFit="1" customWidth="1"/>
    <col min="4" max="4" width="11.125" style="2" bestFit="1" customWidth="1"/>
    <col min="5" max="5" width="9" style="2"/>
    <col min="6" max="6" width="14.375" style="2" customWidth="1"/>
    <col min="7" max="7" width="11.125" style="2" bestFit="1" customWidth="1"/>
    <col min="8" max="8" width="10.625" style="2" bestFit="1" customWidth="1"/>
    <col min="9" max="16384" width="9" style="2"/>
  </cols>
  <sheetData>
    <row r="1" spans="1:7">
      <c r="A1" s="2" t="s">
        <v>38</v>
      </c>
      <c r="F1" s="4"/>
      <c r="G1" s="5"/>
    </row>
    <row r="2" spans="1:7">
      <c r="A2" s="6" t="s">
        <v>39</v>
      </c>
      <c r="B2" s="6" t="s">
        <v>40</v>
      </c>
      <c r="C2" s="6" t="s">
        <v>41</v>
      </c>
      <c r="D2" s="6" t="s">
        <v>42</v>
      </c>
      <c r="E2" s="6" t="s">
        <v>43</v>
      </c>
      <c r="F2" s="7" t="s">
        <v>44</v>
      </c>
      <c r="G2" s="7" t="s">
        <v>45</v>
      </c>
    </row>
    <row r="3" spans="1:7">
      <c r="A3" s="6" t="s">
        <v>46</v>
      </c>
      <c r="B3" s="6" t="s">
        <v>47</v>
      </c>
      <c r="C3" s="6" t="s">
        <v>48</v>
      </c>
      <c r="D3" s="8">
        <v>5000</v>
      </c>
      <c r="E3" s="8">
        <v>28000</v>
      </c>
      <c r="F3" s="9">
        <f>성과급(E3)</f>
        <v>7000</v>
      </c>
      <c r="G3" s="10">
        <f>(D3+F3)*(1-HLOOKUP(D3+F3,$B$14:$E$15,2))</f>
        <v>10200</v>
      </c>
    </row>
    <row r="4" spans="1:7">
      <c r="A4" s="6" t="s">
        <v>49</v>
      </c>
      <c r="B4" s="6" t="s">
        <v>50</v>
      </c>
      <c r="C4" s="6" t="s">
        <v>51</v>
      </c>
      <c r="D4" s="8">
        <v>4000</v>
      </c>
      <c r="E4" s="8">
        <v>16000</v>
      </c>
      <c r="F4" s="9">
        <f t="shared" ref="F4:F11" si="0">성과급(E4)</f>
        <v>3200</v>
      </c>
      <c r="G4" s="10">
        <f t="shared" ref="G4:G11" si="1">(D4+F4)*(1-HLOOKUP(D4+F4,$B$14:$E$15,2))</f>
        <v>6480</v>
      </c>
    </row>
    <row r="5" spans="1:7">
      <c r="A5" s="6" t="s">
        <v>52</v>
      </c>
      <c r="B5" s="6" t="s">
        <v>53</v>
      </c>
      <c r="C5" s="6" t="s">
        <v>54</v>
      </c>
      <c r="D5" s="8">
        <v>1000</v>
      </c>
      <c r="E5" s="8">
        <v>22000</v>
      </c>
      <c r="F5" s="9">
        <f t="shared" si="0"/>
        <v>5500</v>
      </c>
      <c r="G5" s="10">
        <f t="shared" si="1"/>
        <v>5850</v>
      </c>
    </row>
    <row r="6" spans="1:7">
      <c r="A6" s="6" t="s">
        <v>55</v>
      </c>
      <c r="B6" s="6" t="s">
        <v>56</v>
      </c>
      <c r="C6" s="6" t="s">
        <v>54</v>
      </c>
      <c r="D6" s="8">
        <v>4000</v>
      </c>
      <c r="E6" s="8">
        <v>5000</v>
      </c>
      <c r="F6" s="9">
        <f t="shared" si="0"/>
        <v>750</v>
      </c>
      <c r="G6" s="10">
        <f t="shared" si="1"/>
        <v>4512.5</v>
      </c>
    </row>
    <row r="7" spans="1:7">
      <c r="A7" s="6" t="s">
        <v>57</v>
      </c>
      <c r="B7" s="6" t="s">
        <v>58</v>
      </c>
      <c r="C7" s="6" t="s">
        <v>54</v>
      </c>
      <c r="D7" s="8">
        <v>4000</v>
      </c>
      <c r="E7" s="8">
        <v>3000</v>
      </c>
      <c r="F7" s="9">
        <f t="shared" si="0"/>
        <v>450</v>
      </c>
      <c r="G7" s="10">
        <f t="shared" si="1"/>
        <v>4227.5</v>
      </c>
    </row>
    <row r="8" spans="1:7">
      <c r="A8" s="6" t="s">
        <v>59</v>
      </c>
      <c r="B8" s="6" t="s">
        <v>58</v>
      </c>
      <c r="C8" s="6" t="s">
        <v>60</v>
      </c>
      <c r="D8" s="8">
        <v>3000</v>
      </c>
      <c r="E8" s="8">
        <v>7000</v>
      </c>
      <c r="F8" s="9">
        <f t="shared" si="0"/>
        <v>1050</v>
      </c>
      <c r="G8" s="10">
        <f t="shared" si="1"/>
        <v>3847.5</v>
      </c>
    </row>
    <row r="9" spans="1:7">
      <c r="A9" s="6" t="s">
        <v>61</v>
      </c>
      <c r="B9" s="6" t="s">
        <v>58</v>
      </c>
      <c r="C9" s="6" t="s">
        <v>60</v>
      </c>
      <c r="D9" s="8">
        <v>3000</v>
      </c>
      <c r="E9" s="8">
        <v>32000</v>
      </c>
      <c r="F9" s="9">
        <f t="shared" si="0"/>
        <v>8000</v>
      </c>
      <c r="G9" s="10">
        <f t="shared" si="1"/>
        <v>9350</v>
      </c>
    </row>
    <row r="10" spans="1:7">
      <c r="A10" s="6" t="s">
        <v>62</v>
      </c>
      <c r="B10" s="6" t="s">
        <v>53</v>
      </c>
      <c r="C10" s="6" t="s">
        <v>63</v>
      </c>
      <c r="D10" s="8">
        <v>1000</v>
      </c>
      <c r="E10" s="8">
        <v>6000</v>
      </c>
      <c r="F10" s="9">
        <f t="shared" si="0"/>
        <v>900</v>
      </c>
      <c r="G10" s="10">
        <f t="shared" si="1"/>
        <v>1900</v>
      </c>
    </row>
    <row r="11" spans="1:7">
      <c r="A11" s="6" t="s">
        <v>64</v>
      </c>
      <c r="B11" s="6" t="s">
        <v>56</v>
      </c>
      <c r="C11" s="6" t="s">
        <v>63</v>
      </c>
      <c r="D11" s="8">
        <v>1000</v>
      </c>
      <c r="E11" s="8">
        <v>15000</v>
      </c>
      <c r="F11" s="9">
        <f t="shared" si="0"/>
        <v>3000</v>
      </c>
      <c r="G11" s="10">
        <f t="shared" si="1"/>
        <v>3800</v>
      </c>
    </row>
    <row r="12" spans="1:7">
      <c r="A12" s="11"/>
      <c r="B12" s="11"/>
      <c r="C12" s="11"/>
      <c r="D12" s="12"/>
      <c r="E12" s="12"/>
      <c r="F12" s="13"/>
      <c r="G12" s="14"/>
    </row>
    <row r="13" spans="1:7">
      <c r="A13" s="15" t="s">
        <v>65</v>
      </c>
      <c r="B13" s="4" t="s">
        <v>66</v>
      </c>
    </row>
    <row r="14" spans="1:7">
      <c r="A14" s="16" t="s">
        <v>67</v>
      </c>
      <c r="B14" s="8">
        <v>1</v>
      </c>
      <c r="C14" s="8">
        <v>3000</v>
      </c>
      <c r="D14" s="8">
        <v>6000</v>
      </c>
      <c r="E14" s="8">
        <v>9000</v>
      </c>
    </row>
    <row r="15" spans="1:7">
      <c r="A15" s="16" t="s">
        <v>68</v>
      </c>
      <c r="B15" s="17">
        <v>0</v>
      </c>
      <c r="C15" s="17">
        <v>0.05</v>
      </c>
      <c r="D15" s="17">
        <v>0.1</v>
      </c>
      <c r="E15" s="17">
        <v>0.15</v>
      </c>
    </row>
    <row r="17" spans="1:6">
      <c r="A17" s="2" t="s">
        <v>69</v>
      </c>
    </row>
    <row r="18" spans="1:6">
      <c r="A18" s="6" t="s">
        <v>70</v>
      </c>
      <c r="B18" s="7" t="s">
        <v>71</v>
      </c>
      <c r="C18" s="7" t="s">
        <v>72</v>
      </c>
      <c r="E18" s="18" t="s">
        <v>73</v>
      </c>
    </row>
    <row r="19" spans="1:6">
      <c r="A19" s="6">
        <v>2</v>
      </c>
      <c r="B19" s="8">
        <f t="array" ref="B19">MEDIAN(IF($C$3:$C$11=(A19 &amp; "급"),$E$3:$E$11))</f>
        <v>28000</v>
      </c>
      <c r="C19" s="8">
        <f t="array" ref="C19">SUM(($C$3:$C$11=(A19 &amp; "급"))*($E$3:$E$11&gt;=10000)*($F$3:$F$11))</f>
        <v>7000</v>
      </c>
      <c r="E19" s="19">
        <f>DCOUNTA(A2:G11,1,E21:F22)</f>
        <v>3</v>
      </c>
    </row>
    <row r="20" spans="1:6">
      <c r="A20" s="6">
        <v>3</v>
      </c>
      <c r="B20" s="8">
        <f t="array" ref="B20">MEDIAN(IF($C$3:$C$11=(A20 &amp; "급"),$E$3:$E$11))</f>
        <v>10500</v>
      </c>
      <c r="C20" s="8">
        <f t="array" ref="C20">SUM(($C$3:$C$11=(A20 &amp; "급"))*($E$3:$E$11&gt;=10000)*($F$3:$F$11))</f>
        <v>8700</v>
      </c>
    </row>
    <row r="21" spans="1:6">
      <c r="A21" s="6">
        <v>4</v>
      </c>
      <c r="B21" s="8">
        <f t="array" ref="B21">MEDIAN(IF($C$3:$C$11=(A21 &amp; "급"),$E$3:$E$11))</f>
        <v>19500</v>
      </c>
      <c r="C21" s="8">
        <f t="array" ref="C21">SUM(($C$3:$C$11=(A21 &amp; "급"))*($E$3:$E$11&gt;=10000)*($F$3:$F$11))</f>
        <v>8000</v>
      </c>
      <c r="E21" s="18" t="s">
        <v>74</v>
      </c>
      <c r="F21" s="18" t="s">
        <v>75</v>
      </c>
    </row>
    <row r="22" spans="1:6">
      <c r="A22" s="6">
        <v>5</v>
      </c>
      <c r="B22" s="8">
        <f t="array" ref="B22">MEDIAN(IF($C$3:$C$11=(A22 &amp; "급"),$E$3:$E$11))</f>
        <v>10500</v>
      </c>
      <c r="C22" s="8">
        <f t="array" ref="C22">SUM(($C$3:$C$11=(A22 &amp; "급"))*($E$3:$E$11&gt;=10000)*($F$3:$F$11))</f>
        <v>3000</v>
      </c>
      <c r="E22" s="18" t="s">
        <v>76</v>
      </c>
      <c r="F22" s="18" t="s">
        <v>77</v>
      </c>
    </row>
    <row r="23" spans="1:6">
      <c r="A23" s="20"/>
      <c r="B23" s="12"/>
      <c r="C23" s="20"/>
      <c r="E23" s="18"/>
      <c r="F23" s="18"/>
    </row>
  </sheetData>
  <phoneticPr fontId="3" type="noConversion"/>
  <pageMargins left="0.75" right="0.75" top="1" bottom="1" header="0.5" footer="0.5"/>
  <pageSetup paperSize="9" orientation="portrait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K62"/>
  <sheetViews>
    <sheetView workbookViewId="0"/>
  </sheetViews>
  <sheetFormatPr defaultRowHeight="16.5"/>
  <cols>
    <col min="1" max="6" width="9" style="2"/>
    <col min="7" max="7" width="11.875" style="2" bestFit="1" customWidth="1"/>
    <col min="8" max="8" width="9.375" style="2" customWidth="1"/>
    <col min="9" max="9" width="13.125" style="2" bestFit="1" customWidth="1"/>
    <col min="10" max="10" width="14.5" style="2" bestFit="1" customWidth="1"/>
    <col min="11" max="11" width="13.125" style="2" bestFit="1" customWidth="1"/>
    <col min="12" max="16384" width="9" style="2"/>
  </cols>
  <sheetData>
    <row r="2" spans="1:11">
      <c r="A2" s="42" t="s">
        <v>148</v>
      </c>
      <c r="B2" s="42" t="s">
        <v>149</v>
      </c>
      <c r="C2" s="42" t="s">
        <v>150</v>
      </c>
      <c r="D2" s="42" t="s">
        <v>151</v>
      </c>
      <c r="E2" s="42" t="s">
        <v>152</v>
      </c>
    </row>
    <row r="3" spans="1:11">
      <c r="A3" s="43" t="s">
        <v>153</v>
      </c>
      <c r="B3" s="43" t="s">
        <v>154</v>
      </c>
      <c r="C3" s="43" t="s">
        <v>155</v>
      </c>
      <c r="D3" s="44">
        <v>11</v>
      </c>
      <c r="E3" s="44">
        <v>2000</v>
      </c>
      <c r="G3" s="45" t="s">
        <v>150</v>
      </c>
      <c r="H3" s="45" t="s">
        <v>149</v>
      </c>
      <c r="I3" t="s">
        <v>169</v>
      </c>
      <c r="J3" t="s">
        <v>171</v>
      </c>
      <c r="K3" t="s">
        <v>170</v>
      </c>
    </row>
    <row r="4" spans="1:11">
      <c r="A4" s="43" t="s">
        <v>156</v>
      </c>
      <c r="B4" s="43" t="s">
        <v>157</v>
      </c>
      <c r="C4" s="43" t="s">
        <v>158</v>
      </c>
      <c r="D4" s="44">
        <v>32</v>
      </c>
      <c r="E4" s="44">
        <v>3500</v>
      </c>
      <c r="G4" t="s">
        <v>158</v>
      </c>
      <c r="H4"/>
      <c r="I4" s="46">
        <v>567</v>
      </c>
      <c r="J4" s="46">
        <v>2500</v>
      </c>
      <c r="K4" s="46">
        <v>29767500</v>
      </c>
    </row>
    <row r="5" spans="1:11">
      <c r="A5" s="43" t="s">
        <v>159</v>
      </c>
      <c r="B5" s="43" t="s">
        <v>154</v>
      </c>
      <c r="C5" s="43" t="s">
        <v>155</v>
      </c>
      <c r="D5" s="44">
        <v>29</v>
      </c>
      <c r="E5" s="44">
        <v>3000</v>
      </c>
      <c r="G5"/>
      <c r="H5" t="s">
        <v>157</v>
      </c>
      <c r="I5" s="46">
        <v>256</v>
      </c>
      <c r="J5" s="46">
        <v>2944.4444444444443</v>
      </c>
      <c r="K5" s="46">
        <v>6784000</v>
      </c>
    </row>
    <row r="6" spans="1:11">
      <c r="A6" s="43" t="s">
        <v>160</v>
      </c>
      <c r="B6" s="43" t="s">
        <v>161</v>
      </c>
      <c r="C6" s="43" t="s">
        <v>155</v>
      </c>
      <c r="D6" s="44">
        <v>47</v>
      </c>
      <c r="E6" s="44">
        <v>2000</v>
      </c>
      <c r="G6"/>
      <c r="H6" t="s">
        <v>154</v>
      </c>
      <c r="I6" s="46">
        <v>204</v>
      </c>
      <c r="J6" s="46">
        <v>2437.5</v>
      </c>
      <c r="K6" s="46">
        <v>3978000</v>
      </c>
    </row>
    <row r="7" spans="1:11">
      <c r="A7" s="43" t="s">
        <v>156</v>
      </c>
      <c r="B7" s="43" t="s">
        <v>157</v>
      </c>
      <c r="C7" s="43" t="s">
        <v>155</v>
      </c>
      <c r="D7" s="44">
        <v>33</v>
      </c>
      <c r="E7" s="44">
        <v>3500</v>
      </c>
      <c r="G7"/>
      <c r="H7" t="s">
        <v>161</v>
      </c>
      <c r="I7" s="46">
        <v>107</v>
      </c>
      <c r="J7" s="46">
        <v>1625</v>
      </c>
      <c r="K7" s="46">
        <v>695500</v>
      </c>
    </row>
    <row r="8" spans="1:11">
      <c r="A8" s="43" t="s">
        <v>160</v>
      </c>
      <c r="B8" s="43" t="s">
        <v>161</v>
      </c>
      <c r="C8" s="43" t="s">
        <v>155</v>
      </c>
      <c r="D8" s="44">
        <v>29</v>
      </c>
      <c r="E8" s="44">
        <v>2000</v>
      </c>
      <c r="G8" t="s">
        <v>155</v>
      </c>
      <c r="H8"/>
      <c r="I8" s="46">
        <v>610</v>
      </c>
      <c r="J8" s="46">
        <v>2325</v>
      </c>
      <c r="K8" s="46">
        <v>28365000</v>
      </c>
    </row>
    <row r="9" spans="1:11">
      <c r="A9" s="43" t="s">
        <v>162</v>
      </c>
      <c r="B9" s="43" t="s">
        <v>161</v>
      </c>
      <c r="C9" s="43" t="s">
        <v>155</v>
      </c>
      <c r="D9" s="44">
        <v>21</v>
      </c>
      <c r="E9" s="44">
        <v>1500</v>
      </c>
      <c r="G9"/>
      <c r="H9" t="s">
        <v>157</v>
      </c>
      <c r="I9" s="46">
        <v>175</v>
      </c>
      <c r="J9" s="46">
        <v>2833.3333333333335</v>
      </c>
      <c r="K9" s="46">
        <v>2975000</v>
      </c>
    </row>
    <row r="10" spans="1:11">
      <c r="A10" s="43" t="s">
        <v>163</v>
      </c>
      <c r="B10" s="43" t="s">
        <v>154</v>
      </c>
      <c r="C10" s="43" t="s">
        <v>164</v>
      </c>
      <c r="D10" s="44">
        <v>39</v>
      </c>
      <c r="E10" s="44">
        <v>2500</v>
      </c>
      <c r="G10"/>
      <c r="H10" t="s">
        <v>154</v>
      </c>
      <c r="I10" s="46">
        <v>217</v>
      </c>
      <c r="J10" s="46">
        <v>2437.5</v>
      </c>
      <c r="K10" s="46">
        <v>4231500</v>
      </c>
    </row>
    <row r="11" spans="1:11">
      <c r="A11" s="43" t="s">
        <v>159</v>
      </c>
      <c r="B11" s="43" t="s">
        <v>154</v>
      </c>
      <c r="C11" s="43" t="s">
        <v>164</v>
      </c>
      <c r="D11" s="44">
        <v>34</v>
      </c>
      <c r="E11" s="44">
        <v>3000</v>
      </c>
      <c r="G11"/>
      <c r="H11" t="s">
        <v>161</v>
      </c>
      <c r="I11" s="46">
        <v>218</v>
      </c>
      <c r="J11" s="46">
        <v>1666.6666666666667</v>
      </c>
      <c r="K11" s="46">
        <v>2180000</v>
      </c>
    </row>
    <row r="12" spans="1:11">
      <c r="A12" s="43" t="s">
        <v>163</v>
      </c>
      <c r="B12" s="43" t="s">
        <v>154</v>
      </c>
      <c r="C12" s="43" t="s">
        <v>155</v>
      </c>
      <c r="D12" s="44">
        <v>26</v>
      </c>
      <c r="E12" s="44">
        <v>2500</v>
      </c>
      <c r="G12" t="s">
        <v>164</v>
      </c>
      <c r="H12"/>
      <c r="I12" s="46">
        <v>534</v>
      </c>
      <c r="J12" s="46">
        <v>2526.3157894736842</v>
      </c>
      <c r="K12" s="46">
        <v>25632000</v>
      </c>
    </row>
    <row r="13" spans="1:11">
      <c r="A13" s="43" t="s">
        <v>165</v>
      </c>
      <c r="B13" s="43" t="s">
        <v>157</v>
      </c>
      <c r="C13" s="43" t="s">
        <v>164</v>
      </c>
      <c r="D13" s="44">
        <v>44</v>
      </c>
      <c r="E13" s="44">
        <v>3000</v>
      </c>
      <c r="G13"/>
      <c r="H13" t="s">
        <v>157</v>
      </c>
      <c r="I13" s="46">
        <v>153</v>
      </c>
      <c r="J13" s="46">
        <v>3000</v>
      </c>
      <c r="K13" s="46">
        <v>3213000</v>
      </c>
    </row>
    <row r="14" spans="1:11">
      <c r="A14" s="43" t="s">
        <v>156</v>
      </c>
      <c r="B14" s="43" t="s">
        <v>157</v>
      </c>
      <c r="C14" s="43" t="s">
        <v>164</v>
      </c>
      <c r="D14" s="44">
        <v>22</v>
      </c>
      <c r="E14" s="44">
        <v>3500</v>
      </c>
      <c r="G14"/>
      <c r="H14" t="s">
        <v>154</v>
      </c>
      <c r="I14" s="46">
        <v>311</v>
      </c>
      <c r="J14" s="46">
        <v>2555.5555555555557</v>
      </c>
      <c r="K14" s="46">
        <v>7153000</v>
      </c>
    </row>
    <row r="15" spans="1:11">
      <c r="A15" s="43" t="s">
        <v>163</v>
      </c>
      <c r="B15" s="43" t="s">
        <v>154</v>
      </c>
      <c r="C15" s="43" t="s">
        <v>155</v>
      </c>
      <c r="D15" s="44">
        <v>23</v>
      </c>
      <c r="E15" s="44">
        <v>2500</v>
      </c>
      <c r="G15"/>
      <c r="H15" t="s">
        <v>161</v>
      </c>
      <c r="I15" s="46">
        <v>70</v>
      </c>
      <c r="J15" s="46">
        <v>1333.3333333333333</v>
      </c>
      <c r="K15" s="46">
        <v>280000</v>
      </c>
    </row>
    <row r="16" spans="1:11">
      <c r="A16" s="43" t="s">
        <v>153</v>
      </c>
      <c r="B16" s="43" t="s">
        <v>154</v>
      </c>
      <c r="C16" s="43" t="s">
        <v>164</v>
      </c>
      <c r="D16" s="44">
        <v>46</v>
      </c>
      <c r="E16" s="44">
        <v>2000</v>
      </c>
      <c r="G16" t="s">
        <v>168</v>
      </c>
      <c r="H16"/>
      <c r="I16" s="46">
        <v>1711</v>
      </c>
      <c r="J16" s="46">
        <v>2450</v>
      </c>
      <c r="K16" s="46">
        <v>251517000</v>
      </c>
    </row>
    <row r="17" spans="1:9">
      <c r="A17" s="43" t="s">
        <v>153</v>
      </c>
      <c r="B17" s="43" t="s">
        <v>154</v>
      </c>
      <c r="C17" s="43" t="s">
        <v>158</v>
      </c>
      <c r="D17" s="44">
        <v>28</v>
      </c>
      <c r="E17" s="44">
        <v>2000</v>
      </c>
      <c r="G17"/>
      <c r="H17"/>
      <c r="I17"/>
    </row>
    <row r="18" spans="1:9">
      <c r="A18" s="43" t="s">
        <v>159</v>
      </c>
      <c r="B18" s="43" t="s">
        <v>154</v>
      </c>
      <c r="C18" s="43" t="s">
        <v>158</v>
      </c>
      <c r="D18" s="44">
        <v>31</v>
      </c>
      <c r="E18" s="44">
        <v>3000</v>
      </c>
      <c r="G18"/>
      <c r="H18"/>
      <c r="I18"/>
    </row>
    <row r="19" spans="1:9">
      <c r="A19" s="43" t="s">
        <v>163</v>
      </c>
      <c r="B19" s="43" t="s">
        <v>154</v>
      </c>
      <c r="C19" s="43" t="s">
        <v>155</v>
      </c>
      <c r="D19" s="44">
        <v>45</v>
      </c>
      <c r="E19" s="44">
        <v>2500</v>
      </c>
      <c r="G19"/>
      <c r="H19"/>
      <c r="I19"/>
    </row>
    <row r="20" spans="1:9">
      <c r="A20" s="43" t="s">
        <v>166</v>
      </c>
      <c r="B20" s="43" t="s">
        <v>161</v>
      </c>
      <c r="C20" s="43" t="s">
        <v>164</v>
      </c>
      <c r="D20" s="44">
        <v>14</v>
      </c>
      <c r="E20" s="44">
        <v>1000</v>
      </c>
      <c r="G20"/>
      <c r="H20"/>
      <c r="I20"/>
    </row>
    <row r="21" spans="1:9">
      <c r="A21" s="43" t="s">
        <v>167</v>
      </c>
      <c r="B21" s="43" t="s">
        <v>157</v>
      </c>
      <c r="C21" s="43" t="s">
        <v>158</v>
      </c>
      <c r="D21" s="44">
        <v>38</v>
      </c>
      <c r="E21" s="44">
        <v>2500</v>
      </c>
    </row>
    <row r="22" spans="1:9">
      <c r="A22" s="43" t="s">
        <v>162</v>
      </c>
      <c r="B22" s="43" t="s">
        <v>161</v>
      </c>
      <c r="C22" s="43" t="s">
        <v>158</v>
      </c>
      <c r="D22" s="44">
        <v>27</v>
      </c>
      <c r="E22" s="44">
        <v>1500</v>
      </c>
    </row>
    <row r="23" spans="1:9">
      <c r="A23" s="43" t="s">
        <v>162</v>
      </c>
      <c r="B23" s="43" t="s">
        <v>161</v>
      </c>
      <c r="C23" s="43" t="s">
        <v>164</v>
      </c>
      <c r="D23" s="44">
        <v>29</v>
      </c>
      <c r="E23" s="44">
        <v>1500</v>
      </c>
    </row>
    <row r="24" spans="1:9">
      <c r="A24" s="43" t="s">
        <v>162</v>
      </c>
      <c r="B24" s="43" t="s">
        <v>161</v>
      </c>
      <c r="C24" s="43" t="s">
        <v>164</v>
      </c>
      <c r="D24" s="44">
        <v>27</v>
      </c>
      <c r="E24" s="44">
        <v>1500</v>
      </c>
    </row>
    <row r="25" spans="1:9">
      <c r="A25" s="43" t="s">
        <v>153</v>
      </c>
      <c r="B25" s="43" t="s">
        <v>154</v>
      </c>
      <c r="C25" s="43" t="s">
        <v>164</v>
      </c>
      <c r="D25" s="44">
        <v>28</v>
      </c>
      <c r="E25" s="44">
        <v>2000</v>
      </c>
    </row>
    <row r="26" spans="1:9">
      <c r="A26" s="43" t="s">
        <v>159</v>
      </c>
      <c r="B26" s="43" t="s">
        <v>154</v>
      </c>
      <c r="C26" s="43" t="s">
        <v>158</v>
      </c>
      <c r="D26" s="44">
        <v>16</v>
      </c>
      <c r="E26" s="44">
        <v>3000</v>
      </c>
    </row>
    <row r="27" spans="1:9">
      <c r="A27" s="43" t="s">
        <v>156</v>
      </c>
      <c r="B27" s="43" t="s">
        <v>157</v>
      </c>
      <c r="C27" s="43" t="s">
        <v>155</v>
      </c>
      <c r="D27" s="44">
        <v>28</v>
      </c>
      <c r="E27" s="44">
        <v>3500</v>
      </c>
    </row>
    <row r="28" spans="1:9">
      <c r="A28" s="43" t="s">
        <v>167</v>
      </c>
      <c r="B28" s="43" t="s">
        <v>157</v>
      </c>
      <c r="C28" s="43" t="s">
        <v>155</v>
      </c>
      <c r="D28" s="44">
        <v>24</v>
      </c>
      <c r="E28" s="44">
        <v>2500</v>
      </c>
    </row>
    <row r="29" spans="1:9">
      <c r="A29" s="43" t="s">
        <v>167</v>
      </c>
      <c r="B29" s="43" t="s">
        <v>157</v>
      </c>
      <c r="C29" s="43" t="s">
        <v>158</v>
      </c>
      <c r="D29" s="44">
        <v>23</v>
      </c>
      <c r="E29" s="44">
        <v>2500</v>
      </c>
    </row>
    <row r="30" spans="1:9">
      <c r="A30" s="43" t="s">
        <v>159</v>
      </c>
      <c r="B30" s="43" t="s">
        <v>154</v>
      </c>
      <c r="C30" s="43" t="s">
        <v>158</v>
      </c>
      <c r="D30" s="44">
        <v>42</v>
      </c>
      <c r="E30" s="44">
        <v>3000</v>
      </c>
    </row>
    <row r="31" spans="1:9">
      <c r="A31" s="43" t="s">
        <v>162</v>
      </c>
      <c r="B31" s="43" t="s">
        <v>161</v>
      </c>
      <c r="C31" s="43" t="s">
        <v>155</v>
      </c>
      <c r="D31" s="44">
        <v>50</v>
      </c>
      <c r="E31" s="44">
        <v>1500</v>
      </c>
    </row>
    <row r="32" spans="1:9">
      <c r="A32" s="43" t="s">
        <v>165</v>
      </c>
      <c r="B32" s="43" t="s">
        <v>157</v>
      </c>
      <c r="C32" s="43" t="s">
        <v>164</v>
      </c>
      <c r="D32" s="44">
        <v>36</v>
      </c>
      <c r="E32" s="44">
        <v>3000</v>
      </c>
    </row>
    <row r="33" spans="1:5">
      <c r="A33" s="43" t="s">
        <v>165</v>
      </c>
      <c r="B33" s="43" t="s">
        <v>157</v>
      </c>
      <c r="C33" s="43" t="s">
        <v>164</v>
      </c>
      <c r="D33" s="44">
        <v>14</v>
      </c>
      <c r="E33" s="44">
        <v>3000</v>
      </c>
    </row>
    <row r="34" spans="1:5">
      <c r="A34" s="43" t="s">
        <v>153</v>
      </c>
      <c r="B34" s="43" t="s">
        <v>154</v>
      </c>
      <c r="C34" s="43" t="s">
        <v>164</v>
      </c>
      <c r="D34" s="44">
        <v>42</v>
      </c>
      <c r="E34" s="44">
        <v>2000</v>
      </c>
    </row>
    <row r="35" spans="1:5">
      <c r="A35" s="43" t="s">
        <v>153</v>
      </c>
      <c r="B35" s="43" t="s">
        <v>154</v>
      </c>
      <c r="C35" s="43" t="s">
        <v>158</v>
      </c>
      <c r="D35" s="44">
        <v>24</v>
      </c>
      <c r="E35" s="44">
        <v>2000</v>
      </c>
    </row>
    <row r="36" spans="1:5">
      <c r="A36" s="43" t="s">
        <v>163</v>
      </c>
      <c r="B36" s="43" t="s">
        <v>154</v>
      </c>
      <c r="C36" s="43" t="s">
        <v>158</v>
      </c>
      <c r="D36" s="44">
        <v>39</v>
      </c>
      <c r="E36" s="44">
        <v>2500</v>
      </c>
    </row>
    <row r="37" spans="1:5">
      <c r="A37" s="43" t="s">
        <v>159</v>
      </c>
      <c r="B37" s="43" t="s">
        <v>154</v>
      </c>
      <c r="C37" s="43" t="s">
        <v>164</v>
      </c>
      <c r="D37" s="44">
        <v>35</v>
      </c>
      <c r="E37" s="44">
        <v>3000</v>
      </c>
    </row>
    <row r="38" spans="1:5">
      <c r="A38" s="43" t="s">
        <v>160</v>
      </c>
      <c r="B38" s="43" t="s">
        <v>161</v>
      </c>
      <c r="C38" s="43" t="s">
        <v>155</v>
      </c>
      <c r="D38" s="44">
        <v>24</v>
      </c>
      <c r="E38" s="44">
        <v>2000</v>
      </c>
    </row>
    <row r="39" spans="1:5">
      <c r="A39" s="43" t="s">
        <v>163</v>
      </c>
      <c r="B39" s="43" t="s">
        <v>154</v>
      </c>
      <c r="C39" s="43" t="s">
        <v>155</v>
      </c>
      <c r="D39" s="44">
        <v>28</v>
      </c>
      <c r="E39" s="44">
        <v>2500</v>
      </c>
    </row>
    <row r="40" spans="1:5">
      <c r="A40" s="43" t="s">
        <v>159</v>
      </c>
      <c r="B40" s="43" t="s">
        <v>154</v>
      </c>
      <c r="C40" s="43" t="s">
        <v>164</v>
      </c>
      <c r="D40" s="44">
        <v>19</v>
      </c>
      <c r="E40" s="44">
        <v>3000</v>
      </c>
    </row>
    <row r="41" spans="1:5">
      <c r="A41" s="43" t="s">
        <v>166</v>
      </c>
      <c r="B41" s="43" t="s">
        <v>161</v>
      </c>
      <c r="C41" s="43" t="s">
        <v>155</v>
      </c>
      <c r="D41" s="44">
        <v>47</v>
      </c>
      <c r="E41" s="44">
        <v>1000</v>
      </c>
    </row>
    <row r="42" spans="1:5">
      <c r="A42" s="43" t="s">
        <v>156</v>
      </c>
      <c r="B42" s="43" t="s">
        <v>157</v>
      </c>
      <c r="C42" s="43" t="s">
        <v>158</v>
      </c>
      <c r="D42" s="44">
        <v>22</v>
      </c>
      <c r="E42" s="44">
        <v>3500</v>
      </c>
    </row>
    <row r="43" spans="1:5">
      <c r="A43" s="43" t="s">
        <v>167</v>
      </c>
      <c r="B43" s="43" t="s">
        <v>157</v>
      </c>
      <c r="C43" s="43" t="s">
        <v>155</v>
      </c>
      <c r="D43" s="44">
        <v>27</v>
      </c>
      <c r="E43" s="44">
        <v>2500</v>
      </c>
    </row>
    <row r="44" spans="1:5">
      <c r="A44" s="43" t="s">
        <v>153</v>
      </c>
      <c r="B44" s="43" t="s">
        <v>154</v>
      </c>
      <c r="C44" s="43" t="s">
        <v>158</v>
      </c>
      <c r="D44" s="44">
        <v>12</v>
      </c>
      <c r="E44" s="44">
        <v>2000</v>
      </c>
    </row>
    <row r="45" spans="1:5">
      <c r="A45" s="43" t="s">
        <v>167</v>
      </c>
      <c r="B45" s="43" t="s">
        <v>157</v>
      </c>
      <c r="C45" s="43" t="s">
        <v>158</v>
      </c>
      <c r="D45" s="44">
        <v>27</v>
      </c>
      <c r="E45" s="44">
        <v>2500</v>
      </c>
    </row>
    <row r="46" spans="1:5">
      <c r="A46" s="43" t="s">
        <v>156</v>
      </c>
      <c r="B46" s="43" t="s">
        <v>157</v>
      </c>
      <c r="C46" s="43" t="s">
        <v>158</v>
      </c>
      <c r="D46" s="44">
        <v>11</v>
      </c>
      <c r="E46" s="44">
        <v>3500</v>
      </c>
    </row>
    <row r="47" spans="1:5">
      <c r="A47" s="43" t="s">
        <v>167</v>
      </c>
      <c r="B47" s="43" t="s">
        <v>157</v>
      </c>
      <c r="C47" s="43" t="s">
        <v>155</v>
      </c>
      <c r="D47" s="44">
        <v>37</v>
      </c>
      <c r="E47" s="44">
        <v>2500</v>
      </c>
    </row>
    <row r="48" spans="1:5">
      <c r="A48" s="43" t="s">
        <v>160</v>
      </c>
      <c r="B48" s="43" t="s">
        <v>161</v>
      </c>
      <c r="C48" s="43" t="s">
        <v>158</v>
      </c>
      <c r="D48" s="44">
        <v>25</v>
      </c>
      <c r="E48" s="44">
        <v>2000</v>
      </c>
    </row>
    <row r="49" spans="1:5">
      <c r="A49" s="43" t="s">
        <v>153</v>
      </c>
      <c r="B49" s="43" t="s">
        <v>154</v>
      </c>
      <c r="C49" s="43" t="s">
        <v>155</v>
      </c>
      <c r="D49" s="44">
        <v>38</v>
      </c>
      <c r="E49" s="44">
        <v>2000</v>
      </c>
    </row>
    <row r="50" spans="1:5">
      <c r="A50" s="43" t="s">
        <v>166</v>
      </c>
      <c r="B50" s="43" t="s">
        <v>161</v>
      </c>
      <c r="C50" s="43" t="s">
        <v>158</v>
      </c>
      <c r="D50" s="44">
        <v>42</v>
      </c>
      <c r="E50" s="44">
        <v>1000</v>
      </c>
    </row>
    <row r="51" spans="1:5">
      <c r="A51" s="43" t="s">
        <v>165</v>
      </c>
      <c r="B51" s="43" t="s">
        <v>157</v>
      </c>
      <c r="C51" s="43" t="s">
        <v>158</v>
      </c>
      <c r="D51" s="44">
        <v>49</v>
      </c>
      <c r="E51" s="44">
        <v>3000</v>
      </c>
    </row>
    <row r="52" spans="1:5">
      <c r="A52" s="43" t="s">
        <v>165</v>
      </c>
      <c r="B52" s="43" t="s">
        <v>157</v>
      </c>
      <c r="C52" s="43" t="s">
        <v>164</v>
      </c>
      <c r="D52" s="44">
        <v>13</v>
      </c>
      <c r="E52" s="44">
        <v>3000</v>
      </c>
    </row>
    <row r="53" spans="1:5">
      <c r="A53" s="43" t="s">
        <v>165</v>
      </c>
      <c r="B53" s="43" t="s">
        <v>157</v>
      </c>
      <c r="C53" s="43" t="s">
        <v>164</v>
      </c>
      <c r="D53" s="44">
        <v>14</v>
      </c>
      <c r="E53" s="44">
        <v>3000</v>
      </c>
    </row>
    <row r="54" spans="1:5">
      <c r="A54" s="43" t="s">
        <v>163</v>
      </c>
      <c r="B54" s="43" t="s">
        <v>154</v>
      </c>
      <c r="C54" s="43" t="s">
        <v>164</v>
      </c>
      <c r="D54" s="44">
        <v>18</v>
      </c>
      <c r="E54" s="44">
        <v>2500</v>
      </c>
    </row>
    <row r="55" spans="1:5">
      <c r="A55" s="43" t="s">
        <v>159</v>
      </c>
      <c r="B55" s="43" t="s">
        <v>154</v>
      </c>
      <c r="C55" s="43" t="s">
        <v>164</v>
      </c>
      <c r="D55" s="44">
        <v>50</v>
      </c>
      <c r="E55" s="44">
        <v>3000</v>
      </c>
    </row>
    <row r="56" spans="1:5">
      <c r="A56" s="43" t="s">
        <v>167</v>
      </c>
      <c r="B56" s="43" t="s">
        <v>157</v>
      </c>
      <c r="C56" s="43" t="s">
        <v>155</v>
      </c>
      <c r="D56" s="44">
        <v>26</v>
      </c>
      <c r="E56" s="44">
        <v>2500</v>
      </c>
    </row>
    <row r="57" spans="1:5">
      <c r="A57" s="43" t="s">
        <v>165</v>
      </c>
      <c r="B57" s="43" t="s">
        <v>157</v>
      </c>
      <c r="C57" s="43" t="s">
        <v>158</v>
      </c>
      <c r="D57" s="44">
        <v>11</v>
      </c>
      <c r="E57" s="44">
        <v>3000</v>
      </c>
    </row>
    <row r="58" spans="1:5">
      <c r="A58" s="43" t="s">
        <v>167</v>
      </c>
      <c r="B58" s="43" t="s">
        <v>157</v>
      </c>
      <c r="C58" s="43" t="s">
        <v>164</v>
      </c>
      <c r="D58" s="44">
        <v>10</v>
      </c>
      <c r="E58" s="44">
        <v>2500</v>
      </c>
    </row>
    <row r="59" spans="1:5">
      <c r="A59" s="43" t="s">
        <v>153</v>
      </c>
      <c r="B59" s="43" t="s">
        <v>154</v>
      </c>
      <c r="C59" s="43" t="s">
        <v>158</v>
      </c>
      <c r="D59" s="44">
        <v>12</v>
      </c>
      <c r="E59" s="44">
        <v>2000</v>
      </c>
    </row>
    <row r="60" spans="1:5">
      <c r="A60" s="43" t="s">
        <v>167</v>
      </c>
      <c r="B60" s="43" t="s">
        <v>157</v>
      </c>
      <c r="C60" s="43" t="s">
        <v>158</v>
      </c>
      <c r="D60" s="44">
        <v>43</v>
      </c>
      <c r="E60" s="44">
        <v>2500</v>
      </c>
    </row>
    <row r="61" spans="1:5">
      <c r="A61" s="43" t="s">
        <v>160</v>
      </c>
      <c r="B61" s="43" t="s">
        <v>161</v>
      </c>
      <c r="C61" s="43" t="s">
        <v>158</v>
      </c>
      <c r="D61" s="44">
        <v>13</v>
      </c>
      <c r="E61" s="44">
        <v>2000</v>
      </c>
    </row>
    <row r="62" spans="1:5">
      <c r="A62" s="43" t="s">
        <v>163</v>
      </c>
      <c r="B62" s="43" t="s">
        <v>154</v>
      </c>
      <c r="C62" s="43" t="s">
        <v>155</v>
      </c>
      <c r="D62" s="44">
        <v>17</v>
      </c>
      <c r="E62" s="44">
        <v>2500</v>
      </c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5:I33"/>
  <sheetViews>
    <sheetView workbookViewId="0"/>
  </sheetViews>
  <sheetFormatPr defaultRowHeight="16.5" outlineLevelRow="3"/>
  <cols>
    <col min="1" max="1" width="9.75" style="2" bestFit="1" customWidth="1"/>
    <col min="2" max="2" width="8" style="2" bestFit="1" customWidth="1"/>
    <col min="3" max="3" width="6.375" style="2" bestFit="1" customWidth="1"/>
    <col min="4" max="4" width="11.625" style="2" bestFit="1" customWidth="1"/>
    <col min="5" max="8" width="9" style="2"/>
    <col min="9" max="9" width="11.25" style="2" bestFit="1" customWidth="1"/>
    <col min="10" max="16384" width="9" style="2"/>
  </cols>
  <sheetData>
    <row r="5" spans="1:9">
      <c r="A5" s="21" t="s">
        <v>78</v>
      </c>
      <c r="B5" s="21" t="s">
        <v>79</v>
      </c>
      <c r="C5" s="21" t="s">
        <v>80</v>
      </c>
      <c r="D5" s="21" t="s">
        <v>81</v>
      </c>
      <c r="E5" s="21" t="s">
        <v>82</v>
      </c>
      <c r="F5" s="21" t="s">
        <v>83</v>
      </c>
      <c r="G5" s="21" t="s">
        <v>84</v>
      </c>
      <c r="H5" s="22" t="s">
        <v>85</v>
      </c>
      <c r="I5" s="22" t="s">
        <v>86</v>
      </c>
    </row>
    <row r="6" spans="1:9" outlineLevel="3">
      <c r="A6" s="23">
        <v>42300</v>
      </c>
      <c r="B6" s="24" t="s">
        <v>87</v>
      </c>
      <c r="C6" s="24" t="s">
        <v>88</v>
      </c>
      <c r="D6" s="24" t="s">
        <v>89</v>
      </c>
      <c r="E6" s="25">
        <v>19800</v>
      </c>
      <c r="F6" s="25">
        <v>9504</v>
      </c>
      <c r="G6" s="25">
        <v>10296</v>
      </c>
      <c r="H6" s="25">
        <v>-633.6</v>
      </c>
      <c r="I6" s="26" t="s">
        <v>90</v>
      </c>
    </row>
    <row r="7" spans="1:9" outlineLevel="3">
      <c r="A7" s="23">
        <v>42302</v>
      </c>
      <c r="B7" s="24" t="s">
        <v>91</v>
      </c>
      <c r="C7" s="24" t="s">
        <v>88</v>
      </c>
      <c r="D7" s="24" t="s">
        <v>89</v>
      </c>
      <c r="E7" s="25">
        <v>28000</v>
      </c>
      <c r="F7" s="25">
        <v>25760</v>
      </c>
      <c r="G7" s="25">
        <v>2240</v>
      </c>
      <c r="H7" s="25">
        <v>616</v>
      </c>
      <c r="I7" s="26" t="s">
        <v>92</v>
      </c>
    </row>
    <row r="8" spans="1:9" outlineLevel="3">
      <c r="A8" s="23">
        <v>42302</v>
      </c>
      <c r="B8" s="24" t="s">
        <v>93</v>
      </c>
      <c r="C8" s="24" t="s">
        <v>88</v>
      </c>
      <c r="D8" s="24" t="s">
        <v>89</v>
      </c>
      <c r="E8" s="25">
        <v>18000</v>
      </c>
      <c r="F8" s="25">
        <v>9900</v>
      </c>
      <c r="G8" s="25">
        <v>8100</v>
      </c>
      <c r="H8" s="25">
        <v>-450</v>
      </c>
      <c r="I8" s="26" t="s">
        <v>90</v>
      </c>
    </row>
    <row r="9" spans="1:9" outlineLevel="3">
      <c r="A9" s="23">
        <v>42314</v>
      </c>
      <c r="B9" s="24" t="s">
        <v>94</v>
      </c>
      <c r="C9" s="24" t="s">
        <v>88</v>
      </c>
      <c r="D9" s="24" t="s">
        <v>89</v>
      </c>
      <c r="E9" s="25">
        <v>33000</v>
      </c>
      <c r="F9" s="25">
        <v>32010</v>
      </c>
      <c r="G9" s="25">
        <v>990</v>
      </c>
      <c r="H9" s="25">
        <v>990</v>
      </c>
      <c r="I9" s="26" t="s">
        <v>92</v>
      </c>
    </row>
    <row r="10" spans="1:9" outlineLevel="3">
      <c r="A10" s="23">
        <v>42317</v>
      </c>
      <c r="B10" s="24" t="s">
        <v>87</v>
      </c>
      <c r="C10" s="24" t="s">
        <v>88</v>
      </c>
      <c r="D10" s="24" t="s">
        <v>89</v>
      </c>
      <c r="E10" s="25">
        <v>21000</v>
      </c>
      <c r="F10" s="25">
        <v>18480</v>
      </c>
      <c r="G10" s="25">
        <v>2520</v>
      </c>
      <c r="H10" s="25">
        <v>168</v>
      </c>
      <c r="I10" s="26" t="s">
        <v>92</v>
      </c>
    </row>
    <row r="11" spans="1:9" outlineLevel="3">
      <c r="A11" s="23">
        <v>42339</v>
      </c>
      <c r="B11" s="24" t="s">
        <v>91</v>
      </c>
      <c r="C11" s="24" t="s">
        <v>88</v>
      </c>
      <c r="D11" s="24" t="s">
        <v>89</v>
      </c>
      <c r="E11" s="25">
        <v>26800</v>
      </c>
      <c r="F11" s="25">
        <v>19028</v>
      </c>
      <c r="G11" s="25">
        <v>7772</v>
      </c>
      <c r="H11" s="25">
        <v>26.8</v>
      </c>
      <c r="I11" s="26" t="s">
        <v>92</v>
      </c>
    </row>
    <row r="12" spans="1:9" outlineLevel="3">
      <c r="A12" s="23">
        <v>42346</v>
      </c>
      <c r="B12" s="24" t="s">
        <v>95</v>
      </c>
      <c r="C12" s="24" t="s">
        <v>88</v>
      </c>
      <c r="D12" s="24" t="s">
        <v>89</v>
      </c>
      <c r="E12" s="25">
        <v>39780</v>
      </c>
      <c r="F12" s="25">
        <v>31824</v>
      </c>
      <c r="G12" s="25">
        <v>7956</v>
      </c>
      <c r="H12" s="25">
        <v>397.8</v>
      </c>
      <c r="I12" s="26" t="s">
        <v>92</v>
      </c>
    </row>
    <row r="13" spans="1:9" outlineLevel="3">
      <c r="A13" s="23">
        <v>42358</v>
      </c>
      <c r="B13" s="24" t="s">
        <v>96</v>
      </c>
      <c r="C13" s="24" t="s">
        <v>88</v>
      </c>
      <c r="D13" s="24" t="s">
        <v>89</v>
      </c>
      <c r="E13" s="25">
        <v>19000</v>
      </c>
      <c r="F13" s="25">
        <v>13490</v>
      </c>
      <c r="G13" s="25">
        <v>5510</v>
      </c>
      <c r="H13" s="25">
        <v>-171</v>
      </c>
      <c r="I13" s="26" t="s">
        <v>92</v>
      </c>
    </row>
    <row r="14" spans="1:9" outlineLevel="2">
      <c r="A14" s="23"/>
      <c r="B14" s="24"/>
      <c r="C14" s="24"/>
      <c r="D14" s="21" t="s">
        <v>176</v>
      </c>
      <c r="E14" s="25">
        <f>SUBTOTAL(1,E6:E13)</f>
        <v>25672.5</v>
      </c>
      <c r="F14" s="25">
        <f>SUBTOTAL(1,F6:F13)</f>
        <v>19999.5</v>
      </c>
      <c r="G14" s="25">
        <f>SUBTOTAL(1,G6:G13)</f>
        <v>5673</v>
      </c>
      <c r="H14" s="25"/>
      <c r="I14" s="26"/>
    </row>
    <row r="15" spans="1:9" outlineLevel="1">
      <c r="A15" s="23"/>
      <c r="B15" s="24"/>
      <c r="C15" s="24"/>
      <c r="D15" s="21" t="s">
        <v>172</v>
      </c>
      <c r="E15" s="25">
        <f>SUBTOTAL(9,E6:E13)</f>
        <v>205380</v>
      </c>
      <c r="F15" s="25">
        <f>SUBTOTAL(9,F6:F13)</f>
        <v>159996</v>
      </c>
      <c r="G15" s="25">
        <f>SUBTOTAL(9,G6:G13)</f>
        <v>45384</v>
      </c>
      <c r="H15" s="25"/>
      <c r="I15" s="26"/>
    </row>
    <row r="16" spans="1:9" outlineLevel="3">
      <c r="A16" s="23">
        <v>42303</v>
      </c>
      <c r="B16" s="24" t="s">
        <v>97</v>
      </c>
      <c r="C16" s="24" t="s">
        <v>98</v>
      </c>
      <c r="D16" s="24" t="s">
        <v>99</v>
      </c>
      <c r="E16" s="25">
        <v>79800</v>
      </c>
      <c r="F16" s="25">
        <v>57456</v>
      </c>
      <c r="G16" s="25">
        <v>22344</v>
      </c>
      <c r="H16" s="25">
        <v>957.6</v>
      </c>
      <c r="I16" s="26" t="s">
        <v>92</v>
      </c>
    </row>
    <row r="17" spans="1:9" outlineLevel="3">
      <c r="A17" s="23">
        <v>42310</v>
      </c>
      <c r="B17" s="24" t="s">
        <v>100</v>
      </c>
      <c r="C17" s="24" t="s">
        <v>98</v>
      </c>
      <c r="D17" s="24" t="s">
        <v>99</v>
      </c>
      <c r="E17" s="25">
        <v>84000</v>
      </c>
      <c r="F17" s="25">
        <v>79800</v>
      </c>
      <c r="G17" s="25">
        <v>4200</v>
      </c>
      <c r="H17" s="25">
        <v>2940</v>
      </c>
      <c r="I17" s="26" t="s">
        <v>92</v>
      </c>
    </row>
    <row r="18" spans="1:9" outlineLevel="2">
      <c r="A18" s="23"/>
      <c r="B18" s="24"/>
      <c r="C18" s="24"/>
      <c r="D18" s="21" t="s">
        <v>177</v>
      </c>
      <c r="E18" s="25">
        <f>SUBTOTAL(1,E16:E17)</f>
        <v>81900</v>
      </c>
      <c r="F18" s="25">
        <f>SUBTOTAL(1,F16:F17)</f>
        <v>68628</v>
      </c>
      <c r="G18" s="25">
        <f>SUBTOTAL(1,G16:G17)</f>
        <v>13272</v>
      </c>
      <c r="H18" s="25"/>
      <c r="I18" s="26"/>
    </row>
    <row r="19" spans="1:9" outlineLevel="1">
      <c r="A19" s="23"/>
      <c r="B19" s="24"/>
      <c r="C19" s="24"/>
      <c r="D19" s="21" t="s">
        <v>173</v>
      </c>
      <c r="E19" s="25">
        <f>SUBTOTAL(9,E16:E17)</f>
        <v>163800</v>
      </c>
      <c r="F19" s="25">
        <f>SUBTOTAL(9,F16:F17)</f>
        <v>137256</v>
      </c>
      <c r="G19" s="25">
        <f>SUBTOTAL(9,G16:G17)</f>
        <v>26544</v>
      </c>
      <c r="H19" s="25"/>
      <c r="I19" s="26"/>
    </row>
    <row r="20" spans="1:9" outlineLevel="3">
      <c r="A20" s="23">
        <v>42285</v>
      </c>
      <c r="B20" s="24" t="s">
        <v>101</v>
      </c>
      <c r="C20" s="24" t="s">
        <v>102</v>
      </c>
      <c r="D20" s="24" t="s">
        <v>103</v>
      </c>
      <c r="E20" s="25">
        <v>94000</v>
      </c>
      <c r="F20" s="25">
        <v>58280</v>
      </c>
      <c r="G20" s="25">
        <v>35720</v>
      </c>
      <c r="H20" s="25">
        <v>1128</v>
      </c>
      <c r="I20" s="26" t="s">
        <v>92</v>
      </c>
    </row>
    <row r="21" spans="1:9" outlineLevel="3">
      <c r="A21" s="23">
        <v>42294</v>
      </c>
      <c r="B21" s="24" t="s">
        <v>104</v>
      </c>
      <c r="C21" s="24" t="s">
        <v>102</v>
      </c>
      <c r="D21" s="24" t="s">
        <v>103</v>
      </c>
      <c r="E21" s="25">
        <v>50000</v>
      </c>
      <c r="F21" s="25">
        <v>37500</v>
      </c>
      <c r="G21" s="25">
        <v>12500</v>
      </c>
      <c r="H21" s="25">
        <v>250</v>
      </c>
      <c r="I21" s="26" t="s">
        <v>92</v>
      </c>
    </row>
    <row r="22" spans="1:9" outlineLevel="3">
      <c r="A22" s="23">
        <v>42307</v>
      </c>
      <c r="B22" s="24" t="s">
        <v>105</v>
      </c>
      <c r="C22" s="24" t="s">
        <v>102</v>
      </c>
      <c r="D22" s="24" t="s">
        <v>103</v>
      </c>
      <c r="E22" s="25">
        <v>64000</v>
      </c>
      <c r="F22" s="25">
        <v>42240</v>
      </c>
      <c r="G22" s="25">
        <v>21760</v>
      </c>
      <c r="H22" s="25">
        <v>384</v>
      </c>
      <c r="I22" s="26" t="s">
        <v>92</v>
      </c>
    </row>
    <row r="23" spans="1:9" outlineLevel="3">
      <c r="A23" s="23">
        <v>42323</v>
      </c>
      <c r="B23" s="24" t="s">
        <v>106</v>
      </c>
      <c r="C23" s="24" t="s">
        <v>102</v>
      </c>
      <c r="D23" s="24" t="s">
        <v>103</v>
      </c>
      <c r="E23" s="25">
        <v>60000</v>
      </c>
      <c r="F23" s="25">
        <v>58200</v>
      </c>
      <c r="G23" s="25">
        <v>1800</v>
      </c>
      <c r="H23" s="25">
        <v>2220</v>
      </c>
      <c r="I23" s="26" t="s">
        <v>92</v>
      </c>
    </row>
    <row r="24" spans="1:9" outlineLevel="3">
      <c r="A24" s="23">
        <v>42341</v>
      </c>
      <c r="B24" s="24" t="s">
        <v>107</v>
      </c>
      <c r="C24" s="24" t="s">
        <v>102</v>
      </c>
      <c r="D24" s="24" t="s">
        <v>103</v>
      </c>
      <c r="E24" s="25">
        <v>75600</v>
      </c>
      <c r="F24" s="25">
        <v>45360</v>
      </c>
      <c r="G24" s="25">
        <v>30240</v>
      </c>
      <c r="H24" s="25">
        <v>0</v>
      </c>
      <c r="I24" s="26" t="s">
        <v>90</v>
      </c>
    </row>
    <row r="25" spans="1:9" outlineLevel="2">
      <c r="A25" s="23"/>
      <c r="B25" s="24"/>
      <c r="C25" s="24"/>
      <c r="D25" s="21" t="s">
        <v>178</v>
      </c>
      <c r="E25" s="25">
        <f>SUBTOTAL(1,E20:E24)</f>
        <v>68720</v>
      </c>
      <c r="F25" s="25">
        <f>SUBTOTAL(1,F20:F24)</f>
        <v>48316</v>
      </c>
      <c r="G25" s="25">
        <f>SUBTOTAL(1,G20:G24)</f>
        <v>20404</v>
      </c>
      <c r="H25" s="25"/>
      <c r="I25" s="26"/>
    </row>
    <row r="26" spans="1:9" outlineLevel="1">
      <c r="A26" s="23"/>
      <c r="B26" s="24"/>
      <c r="C26" s="24"/>
      <c r="D26" s="21" t="s">
        <v>174</v>
      </c>
      <c r="E26" s="25">
        <f>SUBTOTAL(9,E20:E24)</f>
        <v>343600</v>
      </c>
      <c r="F26" s="25">
        <f>SUBTOTAL(9,F20:F24)</f>
        <v>241580</v>
      </c>
      <c r="G26" s="25">
        <f>SUBTOTAL(9,G20:G24)</f>
        <v>102020</v>
      </c>
      <c r="H26" s="25"/>
      <c r="I26" s="26"/>
    </row>
    <row r="27" spans="1:9" outlineLevel="3">
      <c r="A27" s="23">
        <v>42288</v>
      </c>
      <c r="B27" s="24" t="s">
        <v>108</v>
      </c>
      <c r="C27" s="24" t="s">
        <v>109</v>
      </c>
      <c r="D27" s="24" t="s">
        <v>110</v>
      </c>
      <c r="E27" s="25">
        <v>110000</v>
      </c>
      <c r="F27" s="25">
        <v>74800</v>
      </c>
      <c r="G27" s="25">
        <v>35200</v>
      </c>
      <c r="H27" s="25">
        <v>1980</v>
      </c>
      <c r="I27" s="26" t="s">
        <v>92</v>
      </c>
    </row>
    <row r="28" spans="1:9" outlineLevel="3">
      <c r="A28" s="23">
        <v>42320</v>
      </c>
      <c r="B28" s="24" t="s">
        <v>111</v>
      </c>
      <c r="C28" s="24" t="s">
        <v>109</v>
      </c>
      <c r="D28" s="24" t="s">
        <v>110</v>
      </c>
      <c r="E28" s="25">
        <v>120000</v>
      </c>
      <c r="F28" s="25">
        <v>102000</v>
      </c>
      <c r="G28" s="25">
        <v>18000</v>
      </c>
      <c r="H28" s="25">
        <v>4200</v>
      </c>
      <c r="I28" s="26" t="s">
        <v>92</v>
      </c>
    </row>
    <row r="29" spans="1:9" outlineLevel="3">
      <c r="A29" s="23">
        <v>42321</v>
      </c>
      <c r="B29" s="24" t="s">
        <v>112</v>
      </c>
      <c r="C29" s="24" t="s">
        <v>109</v>
      </c>
      <c r="D29" s="24" t="s">
        <v>110</v>
      </c>
      <c r="E29" s="25">
        <v>89000</v>
      </c>
      <c r="F29" s="25">
        <v>66750</v>
      </c>
      <c r="G29" s="25">
        <v>22250</v>
      </c>
      <c r="H29" s="25">
        <v>1335</v>
      </c>
      <c r="I29" s="26" t="s">
        <v>92</v>
      </c>
    </row>
    <row r="30" spans="1:9" outlineLevel="2">
      <c r="A30" s="47"/>
      <c r="B30" s="48"/>
      <c r="C30" s="48"/>
      <c r="D30" s="51" t="s">
        <v>179</v>
      </c>
      <c r="E30" s="49">
        <f>SUBTOTAL(1,E27:E29)</f>
        <v>106333.33333333333</v>
      </c>
      <c r="F30" s="49">
        <f>SUBTOTAL(1,F27:F29)</f>
        <v>81183.333333333328</v>
      </c>
      <c r="G30" s="49">
        <f>SUBTOTAL(1,G27:G29)</f>
        <v>25150</v>
      </c>
      <c r="H30" s="49"/>
      <c r="I30" s="50"/>
    </row>
    <row r="31" spans="1:9" outlineLevel="1">
      <c r="A31" s="47"/>
      <c r="B31" s="48"/>
      <c r="C31" s="48"/>
      <c r="D31" s="51" t="s">
        <v>175</v>
      </c>
      <c r="E31" s="49">
        <f>SUBTOTAL(9,E27:E29)</f>
        <v>319000</v>
      </c>
      <c r="F31" s="49">
        <f>SUBTOTAL(9,F27:F29)</f>
        <v>243550</v>
      </c>
      <c r="G31" s="49">
        <f>SUBTOTAL(9,G27:G29)</f>
        <v>75450</v>
      </c>
      <c r="H31" s="49"/>
      <c r="I31" s="50"/>
    </row>
    <row r="32" spans="1:9">
      <c r="A32" s="47"/>
      <c r="B32" s="48"/>
      <c r="C32" s="48"/>
      <c r="D32" s="51" t="s">
        <v>180</v>
      </c>
      <c r="E32" s="49">
        <f>SUBTOTAL(1,E6:E29)</f>
        <v>57321.111111111109</v>
      </c>
      <c r="F32" s="49">
        <f>SUBTOTAL(1,F6:F29)</f>
        <v>43465.666666666664</v>
      </c>
      <c r="G32" s="49">
        <f>SUBTOTAL(1,G6:G29)</f>
        <v>13855.444444444445</v>
      </c>
      <c r="H32" s="49"/>
      <c r="I32" s="50"/>
    </row>
    <row r="33" spans="1:9">
      <c r="A33" s="47"/>
      <c r="B33" s="48"/>
      <c r="C33" s="48"/>
      <c r="D33" s="51" t="s">
        <v>168</v>
      </c>
      <c r="E33" s="49">
        <f>SUBTOTAL(9,E6:E29)</f>
        <v>1031780</v>
      </c>
      <c r="F33" s="49">
        <f>SUBTOTAL(9,F6:F29)</f>
        <v>782382</v>
      </c>
      <c r="G33" s="49">
        <f>SUBTOTAL(9,G6:G29)</f>
        <v>249398</v>
      </c>
      <c r="H33" s="49"/>
      <c r="I33" s="50"/>
    </row>
  </sheetData>
  <sortState ref="A6:I23">
    <sortCondition descending="1" ref="D6:D23"/>
  </sortState>
  <phoneticPr fontId="3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부분합작성">
                <anchor moveWithCells="1" sizeWithCells="1">
                  <from>
                    <xdr:col>7</xdr:col>
                    <xdr:colOff>0</xdr:colOff>
                    <xdr:row>1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G1:J12"/>
  <sheetViews>
    <sheetView workbookViewId="0"/>
  </sheetViews>
  <sheetFormatPr defaultRowHeight="16.5"/>
  <cols>
    <col min="1" max="1" width="9.375" style="2" customWidth="1"/>
    <col min="2" max="2" width="8.75" style="2" customWidth="1"/>
    <col min="3" max="3" width="11.75" style="2" customWidth="1"/>
    <col min="4" max="4" width="12.25" style="2" customWidth="1"/>
    <col min="5" max="5" width="12.125" style="2" customWidth="1"/>
    <col min="6" max="6" width="2.75" style="2" customWidth="1"/>
    <col min="7" max="7" width="9.25" style="2" bestFit="1" customWidth="1"/>
    <col min="8" max="8" width="5.5" style="2" bestFit="1" customWidth="1"/>
    <col min="9" max="10" width="11.125" style="2" bestFit="1" customWidth="1"/>
    <col min="11" max="16384" width="9" style="2"/>
  </cols>
  <sheetData>
    <row r="1" spans="7:10" ht="17.25" thickBot="1"/>
    <row r="2" spans="7:10" ht="17.25" thickBot="1">
      <c r="G2" s="27" t="s">
        <v>113</v>
      </c>
      <c r="H2" s="28" t="s">
        <v>114</v>
      </c>
      <c r="I2" s="28" t="s">
        <v>115</v>
      </c>
      <c r="J2" s="28" t="s">
        <v>116</v>
      </c>
    </row>
    <row r="3" spans="7:10" ht="17.25" thickTop="1">
      <c r="G3" s="29" t="s">
        <v>117</v>
      </c>
      <c r="H3" s="30" t="s">
        <v>118</v>
      </c>
      <c r="I3" s="30">
        <v>100</v>
      </c>
      <c r="J3" s="30">
        <v>20</v>
      </c>
    </row>
    <row r="4" spans="7:10">
      <c r="G4" s="31" t="s">
        <v>119</v>
      </c>
      <c r="H4" s="6" t="s">
        <v>120</v>
      </c>
      <c r="I4" s="6">
        <v>150</v>
      </c>
      <c r="J4" s="6">
        <v>30</v>
      </c>
    </row>
    <row r="5" spans="7:10">
      <c r="G5" s="31" t="s">
        <v>121</v>
      </c>
      <c r="H5" s="6" t="s">
        <v>122</v>
      </c>
      <c r="I5" s="6">
        <v>230</v>
      </c>
      <c r="J5" s="6">
        <v>100</v>
      </c>
    </row>
    <row r="6" spans="7:10">
      <c r="G6" s="31" t="s">
        <v>123</v>
      </c>
      <c r="H6" s="6" t="s">
        <v>124</v>
      </c>
      <c r="I6" s="6">
        <v>270</v>
      </c>
      <c r="J6" s="6">
        <v>110</v>
      </c>
    </row>
    <row r="7" spans="7:10">
      <c r="G7" s="31" t="s">
        <v>125</v>
      </c>
      <c r="H7" s="6" t="s">
        <v>124</v>
      </c>
      <c r="I7" s="6">
        <v>270</v>
      </c>
      <c r="J7" s="6">
        <v>90</v>
      </c>
    </row>
    <row r="8" spans="7:10">
      <c r="G8" s="31" t="s">
        <v>126</v>
      </c>
      <c r="H8" s="6" t="s">
        <v>122</v>
      </c>
      <c r="I8" s="6">
        <v>280</v>
      </c>
      <c r="J8" s="6">
        <v>70</v>
      </c>
    </row>
    <row r="9" spans="7:10" ht="17.25" thickBot="1">
      <c r="G9" s="32" t="s">
        <v>127</v>
      </c>
      <c r="H9" s="33" t="s">
        <v>120</v>
      </c>
      <c r="I9" s="33">
        <v>200</v>
      </c>
      <c r="J9" s="33">
        <v>30</v>
      </c>
    </row>
    <row r="10" spans="7:10" ht="17.25" thickBot="1">
      <c r="G10" s="65" t="s">
        <v>128</v>
      </c>
      <c r="H10" s="66"/>
      <c r="I10" s="34">
        <f>AVERAGE(I3:I9)</f>
        <v>214.28571428571428</v>
      </c>
      <c r="J10" s="34">
        <f>AVERAGE(J3:J9)</f>
        <v>64.285714285714292</v>
      </c>
    </row>
    <row r="12" spans="7:10">
      <c r="G12" s="2" t="s">
        <v>181</v>
      </c>
    </row>
  </sheetData>
  <mergeCells count="1">
    <mergeCell ref="G10:H10"/>
  </mergeCells>
  <phoneticPr fontId="3" type="noConversion"/>
  <pageMargins left="0.75" right="0.75" top="1" bottom="1" header="0.5" footer="0.5"/>
  <headerFooter alignWithMargins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7"/>
  <sheetViews>
    <sheetView workbookViewId="0">
      <selection activeCell="B12" sqref="B12"/>
    </sheetView>
  </sheetViews>
  <sheetFormatPr defaultRowHeight="16.5"/>
  <cols>
    <col min="1" max="1" width="13.125" style="2" customWidth="1"/>
    <col min="2" max="16384" width="9" style="2"/>
  </cols>
  <sheetData>
    <row r="1" spans="1:4" ht="19.5">
      <c r="A1" s="35" t="s">
        <v>129</v>
      </c>
    </row>
    <row r="3" spans="1:4">
      <c r="A3" s="36" t="s">
        <v>130</v>
      </c>
      <c r="B3" s="36" t="s">
        <v>131</v>
      </c>
      <c r="C3" s="36" t="s">
        <v>132</v>
      </c>
      <c r="D3" s="36" t="s">
        <v>133</v>
      </c>
    </row>
    <row r="4" spans="1:4">
      <c r="A4" s="37">
        <v>43477</v>
      </c>
      <c r="B4" s="38" t="s">
        <v>134</v>
      </c>
      <c r="C4" s="38">
        <v>10</v>
      </c>
      <c r="D4" s="39">
        <v>15000</v>
      </c>
    </row>
    <row r="5" spans="1:4">
      <c r="A5" s="37">
        <v>43477</v>
      </c>
      <c r="B5" s="38" t="s">
        <v>135</v>
      </c>
      <c r="C5" s="38">
        <v>5</v>
      </c>
      <c r="D5" s="39">
        <v>10000</v>
      </c>
    </row>
    <row r="6" spans="1:4">
      <c r="A6" s="37">
        <v>43477</v>
      </c>
      <c r="B6" s="38" t="s">
        <v>136</v>
      </c>
      <c r="C6" s="38">
        <v>3</v>
      </c>
      <c r="D6" s="39">
        <v>3000</v>
      </c>
    </row>
    <row r="7" spans="1:4">
      <c r="A7" s="40"/>
      <c r="D7" s="41"/>
    </row>
  </sheetData>
  <phoneticPr fontId="3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5</xdr:col>
                <xdr:colOff>0</xdr:colOff>
                <xdr:row>1</xdr:row>
                <xdr:rowOff>0</xdr:rowOff>
              </from>
              <to>
                <xdr:col>7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4</vt:i4>
      </vt:variant>
    </vt:vector>
  </HeadingPairs>
  <TitlesOfParts>
    <vt:vector size="11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'기본작업-2'!Criteria</vt:lpstr>
      <vt:lpstr>'기본작업-2'!Extract</vt:lpstr>
      <vt:lpstr>'기본작업-2'!MS_Access_Database_Query</vt:lpstr>
      <vt:lpstr>'기본작업-2'!Print_Area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김우경</dc:creator>
  <cp:lastModifiedBy>김우경</cp:lastModifiedBy>
  <cp:lastPrinted>2017-08-30T12:00:28Z</cp:lastPrinted>
  <dcterms:created xsi:type="dcterms:W3CDTF">2017-08-30T11:46:51Z</dcterms:created>
  <dcterms:modified xsi:type="dcterms:W3CDTF">2019-09-09T05:03:12Z</dcterms:modified>
</cp:coreProperties>
</file>