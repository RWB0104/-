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05" yWindow="30" windowWidth="27570" windowHeight="13185"/>
  </bookViews>
  <sheets>
    <sheet name="기본작업-1" sheetId="1" r:id="rId1"/>
    <sheet name="기본작업-2" sheetId="2" r:id="rId2"/>
    <sheet name="기본작업-3" sheetId="12" r:id="rId3"/>
    <sheet name="계산작업" sheetId="3" r:id="rId4"/>
    <sheet name="영문과" sheetId="11" r:id="rId5"/>
    <sheet name="분석작업-1" sheetId="4" r:id="rId6"/>
    <sheet name="분석작업-2" sheetId="5" r:id="rId7"/>
    <sheet name="기타작업-1" sheetId="6" r:id="rId8"/>
    <sheet name="기타작업-2" sheetId="7" r:id="rId9"/>
  </sheets>
  <functionGroups builtInGroupCount="17"/>
  <definedNames>
    <definedName name="_xlnm._FilterDatabase" localSheetId="1" hidden="1">'기본작업-2'!$B$3:$J$21</definedName>
    <definedName name="_xlnm.Criteria" localSheetId="1">'기본작업-2'!$B$23:$B$24</definedName>
    <definedName name="_xlnm.Extract" localSheetId="1">'기본작업-2'!$B$27:$J$27</definedName>
    <definedName name="_xlnm.Print_Titles" localSheetId="2">'기본작업-3'!$1:$1</definedName>
  </definedNames>
  <calcPr calcId="145621"/>
  <pivotCaches>
    <pivotCache cacheId="18" r:id="rId10"/>
  </pivotCaches>
</workbook>
</file>

<file path=xl/calcChain.xml><?xml version="1.0" encoding="utf-8"?>
<calcChain xmlns="http://schemas.openxmlformats.org/spreadsheetml/2006/main">
  <c r="F19" i="5" l="1"/>
  <c r="E19" i="5"/>
  <c r="D19" i="5"/>
  <c r="F15" i="5"/>
  <c r="E15" i="5"/>
  <c r="D15" i="5"/>
  <c r="F8" i="5"/>
  <c r="F21" i="5" s="1"/>
  <c r="E8" i="5"/>
  <c r="D8" i="5"/>
  <c r="D21" i="5" s="1"/>
  <c r="F20" i="5"/>
  <c r="E20" i="5"/>
  <c r="D20" i="5"/>
  <c r="F16" i="5"/>
  <c r="E16" i="5"/>
  <c r="D16" i="5"/>
  <c r="F9" i="5"/>
  <c r="F22" i="5" s="1"/>
  <c r="E9" i="5"/>
  <c r="D9" i="5"/>
  <c r="D22" i="5" l="1"/>
  <c r="E22" i="5"/>
  <c r="E21" i="5"/>
  <c r="G18" i="5"/>
  <c r="G17" i="5"/>
  <c r="G14" i="5"/>
  <c r="G13" i="5"/>
  <c r="G12" i="5"/>
  <c r="G11" i="5"/>
  <c r="G10" i="5"/>
  <c r="G7" i="5"/>
  <c r="G6" i="5"/>
  <c r="G27" i="3"/>
  <c r="D27" i="3"/>
  <c r="G26" i="3"/>
  <c r="D26" i="3"/>
  <c r="G25" i="3"/>
  <c r="D25" i="3"/>
  <c r="G24" i="3"/>
  <c r="D24" i="3"/>
  <c r="G23" i="3"/>
  <c r="D23" i="3"/>
  <c r="G22" i="3"/>
  <c r="D22" i="3"/>
  <c r="G21" i="3"/>
  <c r="D21" i="3"/>
  <c r="G20" i="3"/>
  <c r="D20" i="3"/>
  <c r="G19" i="3"/>
  <c r="D19" i="3"/>
  <c r="G18" i="3"/>
  <c r="D18" i="3"/>
  <c r="G17" i="3"/>
  <c r="D17" i="3"/>
  <c r="G16" i="3"/>
  <c r="D16" i="3"/>
  <c r="G15" i="3"/>
  <c r="D15" i="3"/>
  <c r="G14" i="3"/>
  <c r="D14" i="3"/>
  <c r="G13" i="3"/>
  <c r="D13" i="3"/>
  <c r="G12" i="3"/>
  <c r="D12" i="3"/>
  <c r="C5" i="3" a="1"/>
  <c r="C5" i="3" s="1"/>
  <c r="B5" i="3" a="1"/>
  <c r="B5" i="3" s="1"/>
  <c r="C4" i="3" a="1"/>
  <c r="C4" i="3" s="1"/>
  <c r="B4" i="3" a="1"/>
  <c r="B4" i="3" s="1"/>
  <c r="C3" i="3"/>
  <c r="C3" i="3" a="1"/>
  <c r="B3" i="3" a="1"/>
  <c r="B3" i="3" s="1"/>
  <c r="J32" i="2"/>
  <c r="J31" i="2"/>
  <c r="J30" i="2"/>
  <c r="J29" i="2"/>
  <c r="J28" i="2"/>
  <c r="B24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23" i="3"/>
  <c r="J27" i="3"/>
  <c r="J18" i="3"/>
  <c r="J13" i="3"/>
  <c r="J24" i="3"/>
  <c r="J22" i="3"/>
  <c r="J19" i="3"/>
  <c r="J14" i="3"/>
  <c r="J12" i="3"/>
  <c r="J25" i="3"/>
  <c r="J17" i="3"/>
  <c r="J21" i="3"/>
  <c r="J16" i="3"/>
  <c r="J15" i="3"/>
  <c r="J20" i="3"/>
  <c r="J26" i="3"/>
  <c r="G8" i="5" l="1"/>
  <c r="G21" i="5" s="1"/>
  <c r="G9" i="5"/>
  <c r="G22" i="5" s="1"/>
  <c r="G15" i="5"/>
  <c r="G16" i="5"/>
  <c r="G19" i="5"/>
  <c r="G20" i="5"/>
  <c r="K14" i="3"/>
  <c r="K18" i="3"/>
  <c r="K22" i="3"/>
  <c r="K26" i="3"/>
  <c r="K13" i="3"/>
  <c r="K17" i="3"/>
  <c r="K23" i="3"/>
  <c r="K27" i="3"/>
  <c r="K12" i="3"/>
  <c r="K16" i="3"/>
  <c r="K20" i="3"/>
  <c r="K24" i="3"/>
  <c r="K15" i="3"/>
  <c r="K19" i="3"/>
  <c r="K21" i="3"/>
  <c r="K25" i="3"/>
</calcChain>
</file>

<file path=xl/sharedStrings.xml><?xml version="1.0" encoding="utf-8"?>
<sst xmlns="http://schemas.openxmlformats.org/spreadsheetml/2006/main" count="567" uniqueCount="267">
  <si>
    <t>사원관리</t>
    <phoneticPr fontId="5" type="noConversion"/>
  </si>
  <si>
    <t>고객번호</t>
  </si>
  <si>
    <t>이름</t>
  </si>
  <si>
    <t>성별</t>
  </si>
  <si>
    <t>지역</t>
  </si>
  <si>
    <t>최종주문일</t>
  </si>
  <si>
    <t>1월 구매실적</t>
  </si>
  <si>
    <t>2월 구매실적</t>
  </si>
  <si>
    <t>3월 구매실적</t>
  </si>
  <si>
    <t>구매실적합계</t>
  </si>
  <si>
    <t>PR-002</t>
  </si>
  <si>
    <t>김한응</t>
  </si>
  <si>
    <t>남</t>
  </si>
  <si>
    <t>강북</t>
  </si>
  <si>
    <t>NO-002</t>
  </si>
  <si>
    <t>김태정</t>
  </si>
  <si>
    <t>여</t>
  </si>
  <si>
    <t>중랑</t>
  </si>
  <si>
    <t>NO-007</t>
  </si>
  <si>
    <t>황선철</t>
  </si>
  <si>
    <t>노원</t>
  </si>
  <si>
    <t>NO-016</t>
  </si>
  <si>
    <t>이만수</t>
  </si>
  <si>
    <t>NO-015</t>
  </si>
  <si>
    <t>이봉삼</t>
  </si>
  <si>
    <t>NO-005</t>
  </si>
  <si>
    <t>이원섭</t>
  </si>
  <si>
    <t>NO-009</t>
  </si>
  <si>
    <t>김주희</t>
  </si>
  <si>
    <t>NO-003</t>
  </si>
  <si>
    <t>김환식</t>
  </si>
  <si>
    <t>PR-016</t>
  </si>
  <si>
    <t>강흥석</t>
  </si>
  <si>
    <t>도봉</t>
  </si>
  <si>
    <t>NO-008</t>
  </si>
  <si>
    <t>방극준</t>
  </si>
  <si>
    <t>NO-004</t>
  </si>
  <si>
    <t>안은민</t>
  </si>
  <si>
    <t>NO-010</t>
  </si>
  <si>
    <t>이영희</t>
  </si>
  <si>
    <t>NO-012</t>
  </si>
  <si>
    <t>이형태</t>
  </si>
  <si>
    <t>NO-011</t>
  </si>
  <si>
    <t>홍길동</t>
  </si>
  <si>
    <t>NO-001</t>
  </si>
  <si>
    <t>이정은</t>
  </si>
  <si>
    <t>SP-005</t>
  </si>
  <si>
    <t>이지영</t>
  </si>
  <si>
    <t>SP-002</t>
  </si>
  <si>
    <t>정하영</t>
  </si>
  <si>
    <t>SP-014</t>
  </si>
  <si>
    <t>하인화</t>
  </si>
  <si>
    <t>조건</t>
    <phoneticPr fontId="4" type="noConversion"/>
  </si>
  <si>
    <t>[표1]</t>
    <phoneticPr fontId="5" type="noConversion"/>
  </si>
  <si>
    <t>[표2]</t>
    <phoneticPr fontId="5" type="noConversion"/>
  </si>
  <si>
    <t>기본급</t>
    <phoneticPr fontId="5" type="noConversion"/>
  </si>
  <si>
    <t>기본급</t>
    <phoneticPr fontId="5" type="noConversion"/>
  </si>
  <si>
    <t>근무팀</t>
  </si>
  <si>
    <t>2/3호봉 직원수</t>
    <phoneticPr fontId="5" type="noConversion"/>
  </si>
  <si>
    <t>큰 값-평균 값</t>
    <phoneticPr fontId="5" type="noConversion"/>
  </si>
  <si>
    <t>사원</t>
    <phoneticPr fontId="5" type="noConversion"/>
  </si>
  <si>
    <t>대리</t>
    <phoneticPr fontId="5" type="noConversion"/>
  </si>
  <si>
    <t>과장</t>
    <phoneticPr fontId="5" type="noConversion"/>
  </si>
  <si>
    <t>차장</t>
    <phoneticPr fontId="5" type="noConversion"/>
  </si>
  <si>
    <t>부장</t>
    <phoneticPr fontId="5" type="noConversion"/>
  </si>
  <si>
    <t>총무팀</t>
    <phoneticPr fontId="5" type="noConversion"/>
  </si>
  <si>
    <t>1 호봉</t>
    <phoneticPr fontId="9" type="noConversion"/>
  </si>
  <si>
    <t>기술팀</t>
    <phoneticPr fontId="5" type="noConversion"/>
  </si>
  <si>
    <t>2 호봉</t>
  </si>
  <si>
    <t>영업팀</t>
    <phoneticPr fontId="5" type="noConversion"/>
  </si>
  <si>
    <t>3 호봉</t>
  </si>
  <si>
    <t>4 호봉</t>
  </si>
  <si>
    <t>5 호봉</t>
  </si>
  <si>
    <t>6 호봉</t>
  </si>
  <si>
    <t>[표3]</t>
    <phoneticPr fontId="5" type="noConversion"/>
  </si>
  <si>
    <t>성명</t>
  </si>
  <si>
    <t>직위</t>
  </si>
  <si>
    <t>직급</t>
  </si>
  <si>
    <t>호봉</t>
  </si>
  <si>
    <t>기본급</t>
    <phoneticPr fontId="9" type="noConversion"/>
  </si>
  <si>
    <t>식대</t>
    <phoneticPr fontId="9" type="noConversion"/>
  </si>
  <si>
    <t>교통비</t>
    <phoneticPr fontId="9" type="noConversion"/>
  </si>
  <si>
    <t>차량보조금</t>
    <phoneticPr fontId="9" type="noConversion"/>
  </si>
  <si>
    <t>급여 총액</t>
    <phoneticPr fontId="9" type="noConversion"/>
  </si>
  <si>
    <t>만기금액</t>
    <phoneticPr fontId="5" type="noConversion"/>
  </si>
  <si>
    <t>강상일</t>
  </si>
  <si>
    <t>총무팀</t>
  </si>
  <si>
    <t>차장</t>
  </si>
  <si>
    <t>4호봉</t>
    <phoneticPr fontId="5" type="noConversion"/>
  </si>
  <si>
    <t>강애연</t>
  </si>
  <si>
    <t>기술팀</t>
  </si>
  <si>
    <t>과장</t>
  </si>
  <si>
    <t>3호봉</t>
    <phoneticPr fontId="5" type="noConversion"/>
  </si>
  <si>
    <t>강충기</t>
  </si>
  <si>
    <t>2호봉</t>
    <phoneticPr fontId="5" type="noConversion"/>
  </si>
  <si>
    <t>김규한</t>
  </si>
  <si>
    <t>영업팀</t>
  </si>
  <si>
    <t>대리</t>
  </si>
  <si>
    <t>6호봉</t>
    <phoneticPr fontId="5" type="noConversion"/>
  </si>
  <si>
    <t>김동구</t>
  </si>
  <si>
    <t>김병철</t>
  </si>
  <si>
    <t>김사현</t>
  </si>
  <si>
    <t>사원</t>
  </si>
  <si>
    <t>1호봉</t>
    <phoneticPr fontId="5" type="noConversion"/>
  </si>
  <si>
    <t>김수정</t>
  </si>
  <si>
    <t>부장</t>
  </si>
  <si>
    <t>김영석</t>
  </si>
  <si>
    <t>기술팀</t>
    <phoneticPr fontId="9" type="noConversion"/>
  </si>
  <si>
    <t>5호봉</t>
    <phoneticPr fontId="5" type="noConversion"/>
  </si>
  <si>
    <t>김용곤</t>
  </si>
  <si>
    <t>김용철</t>
  </si>
  <si>
    <t>김인철</t>
  </si>
  <si>
    <t>김재웅</t>
  </si>
  <si>
    <t>김정우</t>
  </si>
  <si>
    <t>김종진</t>
  </si>
  <si>
    <t>김지훈</t>
  </si>
  <si>
    <t>이름</t>
    <phoneticPr fontId="5" type="noConversion"/>
  </si>
  <si>
    <t>부서명</t>
    <phoneticPr fontId="5" type="noConversion"/>
  </si>
  <si>
    <t>직급</t>
    <phoneticPr fontId="5" type="noConversion"/>
  </si>
  <si>
    <t>성과급</t>
    <phoneticPr fontId="5" type="noConversion"/>
  </si>
  <si>
    <t>정근수당</t>
    <phoneticPr fontId="5" type="noConversion"/>
  </si>
  <si>
    <t>총계</t>
    <phoneticPr fontId="5" type="noConversion"/>
  </si>
  <si>
    <t>김철중</t>
    <phoneticPr fontId="5" type="noConversion"/>
  </si>
  <si>
    <t>관리부</t>
    <phoneticPr fontId="5" type="noConversion"/>
  </si>
  <si>
    <t>최종수</t>
    <phoneticPr fontId="5" type="noConversion"/>
  </si>
  <si>
    <t>인사부</t>
    <phoneticPr fontId="5" type="noConversion"/>
  </si>
  <si>
    <t>사원</t>
    <phoneticPr fontId="5" type="noConversion"/>
  </si>
  <si>
    <t>김시환</t>
    <phoneticPr fontId="5" type="noConversion"/>
  </si>
  <si>
    <t>관리부</t>
    <phoneticPr fontId="5" type="noConversion"/>
  </si>
  <si>
    <t>대리</t>
    <phoneticPr fontId="5" type="noConversion"/>
  </si>
  <si>
    <t>김종석</t>
    <phoneticPr fontId="5" type="noConversion"/>
  </si>
  <si>
    <t>영업부</t>
    <phoneticPr fontId="5" type="noConversion"/>
  </si>
  <si>
    <t>문소리</t>
    <phoneticPr fontId="5" type="noConversion"/>
  </si>
  <si>
    <t>유성진</t>
    <phoneticPr fontId="5" type="noConversion"/>
  </si>
  <si>
    <t>기획부</t>
    <phoneticPr fontId="5" type="noConversion"/>
  </si>
  <si>
    <t>이성준</t>
    <phoneticPr fontId="5" type="noConversion"/>
  </si>
  <si>
    <t>조영석</t>
    <phoneticPr fontId="5" type="noConversion"/>
  </si>
  <si>
    <t>과장</t>
    <phoneticPr fontId="5" type="noConversion"/>
  </si>
  <si>
    <t>한수경</t>
    <phoneticPr fontId="5" type="noConversion"/>
  </si>
  <si>
    <t>미수금 현황</t>
    <phoneticPr fontId="5" type="noConversion"/>
  </si>
  <si>
    <t>거래처명</t>
    <phoneticPr fontId="9" type="noConversion"/>
  </si>
  <si>
    <t>품목명</t>
  </si>
  <si>
    <t>수량</t>
  </si>
  <si>
    <t>판매금액</t>
  </si>
  <si>
    <t>미수금</t>
    <phoneticPr fontId="9" type="noConversion"/>
  </si>
  <si>
    <t>고려화학</t>
    <phoneticPr fontId="5" type="noConversion"/>
  </si>
  <si>
    <t>Blue</t>
  </si>
  <si>
    <t>명지페인트</t>
  </si>
  <si>
    <t>Red300</t>
  </si>
  <si>
    <t>삼화페인트</t>
    <phoneticPr fontId="9" type="noConversion"/>
  </si>
  <si>
    <r>
      <t>Violet</t>
    </r>
    <r>
      <rPr>
        <sz val="11"/>
        <color theme="1"/>
        <rFont val="맑은 고딕"/>
        <family val="3"/>
        <charset val="129"/>
        <scheme val="major"/>
      </rPr>
      <t>100</t>
    </r>
    <phoneticPr fontId="5" type="noConversion"/>
  </si>
  <si>
    <t>고려화학</t>
    <phoneticPr fontId="9" type="noConversion"/>
  </si>
  <si>
    <t xml:space="preserve">Red334 </t>
  </si>
  <si>
    <t>삼화페인트</t>
  </si>
  <si>
    <t xml:space="preserve">Yellow </t>
  </si>
  <si>
    <t>Violet550</t>
  </si>
  <si>
    <t>Violet600</t>
  </si>
  <si>
    <t>가계부</t>
    <phoneticPr fontId="5" type="noConversion"/>
  </si>
  <si>
    <t>날짜</t>
    <phoneticPr fontId="5" type="noConversion"/>
  </si>
  <si>
    <t>구분</t>
    <phoneticPr fontId="5" type="noConversion"/>
  </si>
  <si>
    <t>내역</t>
    <phoneticPr fontId="5" type="noConversion"/>
  </si>
  <si>
    <t>금액</t>
    <phoneticPr fontId="5" type="noConversion"/>
  </si>
  <si>
    <t>급여</t>
  </si>
  <si>
    <t>지출</t>
  </si>
  <si>
    <t>교통비</t>
  </si>
  <si>
    <t>사원 최소값</t>
  </si>
  <si>
    <t>대리 최소값</t>
  </si>
  <si>
    <t>과장 최소값</t>
  </si>
  <si>
    <t>전체 최소값</t>
  </si>
  <si>
    <t>사원 최대값</t>
  </si>
  <si>
    <t>대리 최대값</t>
  </si>
  <si>
    <t>과장 최대값</t>
  </si>
  <si>
    <t>전체 최대값</t>
  </si>
  <si>
    <t>기본급</t>
  </si>
  <si>
    <t>남동수</t>
  </si>
  <si>
    <t>R/D팀</t>
  </si>
  <si>
    <t>신종갑</t>
  </si>
  <si>
    <t>노준조</t>
  </si>
  <si>
    <t>조용길</t>
  </si>
  <si>
    <t>박한식</t>
  </si>
  <si>
    <t>유상재</t>
  </si>
  <si>
    <t>학과코드</t>
  </si>
  <si>
    <t>TOEIC</t>
  </si>
  <si>
    <t>컴퓨터</t>
  </si>
  <si>
    <t>교양</t>
  </si>
  <si>
    <t>전공1</t>
  </si>
  <si>
    <t>전공2</t>
  </si>
  <si>
    <t>심영보</t>
  </si>
  <si>
    <t>B2</t>
  </si>
  <si>
    <t>김준석</t>
  </si>
  <si>
    <t>A2</t>
  </si>
  <si>
    <t>박성미</t>
  </si>
  <si>
    <t>E2</t>
  </si>
  <si>
    <t>서원석</t>
  </si>
  <si>
    <t>D1</t>
  </si>
  <si>
    <t>권은영</t>
  </si>
  <si>
    <t>박종욱</t>
  </si>
  <si>
    <t>김상철</t>
  </si>
  <si>
    <t>B1</t>
  </si>
  <si>
    <t>최옥자</t>
  </si>
  <si>
    <t>한영희</t>
  </si>
  <si>
    <t>C1</t>
  </si>
  <si>
    <t>민들레</t>
  </si>
  <si>
    <t>E1</t>
  </si>
  <si>
    <t>송현우</t>
  </si>
  <si>
    <t>이욱현</t>
  </si>
  <si>
    <t>황유선</t>
  </si>
  <si>
    <t>심상섭</t>
  </si>
  <si>
    <t>이창섭</t>
  </si>
  <si>
    <t>D2</t>
  </si>
  <si>
    <t>손범수</t>
  </si>
  <si>
    <t>진양혜</t>
  </si>
  <si>
    <t>김미숙</t>
  </si>
  <si>
    <t>곽영일</t>
  </si>
  <si>
    <t>오성식</t>
  </si>
  <si>
    <t>배동진</t>
  </si>
  <si>
    <t>이창명</t>
  </si>
  <si>
    <t>배유정</t>
  </si>
  <si>
    <t>이무열</t>
  </si>
  <si>
    <t>이숙영</t>
  </si>
  <si>
    <t>김광배</t>
  </si>
  <si>
    <t>A1</t>
  </si>
  <si>
    <t>양창석</t>
  </si>
  <si>
    <t>서호형</t>
  </si>
  <si>
    <t>이철형</t>
  </si>
  <si>
    <t>조숙희</t>
  </si>
  <si>
    <t>(모두)</t>
  </si>
  <si>
    <t>총합계</t>
  </si>
  <si>
    <t>최소값 : TOEIC</t>
  </si>
  <si>
    <t>최소값 : 컴퓨터</t>
  </si>
  <si>
    <t>영문과</t>
  </si>
  <si>
    <t>기계설계과</t>
  </si>
  <si>
    <t>회계과</t>
  </si>
  <si>
    <t>유아교육과</t>
  </si>
  <si>
    <t>학과코드2</t>
  </si>
  <si>
    <t>법학과</t>
  </si>
  <si>
    <t>수입</t>
    <phoneticPr fontId="4" type="noConversion"/>
  </si>
  <si>
    <t>식대</t>
  </si>
  <si>
    <t>차량보조금</t>
  </si>
  <si>
    <t>급여 총액</t>
  </si>
  <si>
    <t>정용기</t>
  </si>
  <si>
    <t>허선도</t>
  </si>
  <si>
    <t>박정우</t>
  </si>
  <si>
    <t>정창욱</t>
  </si>
  <si>
    <t>정노천</t>
  </si>
  <si>
    <t>이홍기</t>
  </si>
  <si>
    <t>황채명</t>
  </si>
  <si>
    <t>박찬석</t>
  </si>
  <si>
    <t>박이호</t>
  </si>
  <si>
    <t>오문규</t>
  </si>
  <si>
    <t>오진영</t>
  </si>
  <si>
    <t>박득우</t>
  </si>
  <si>
    <t>안석준</t>
  </si>
  <si>
    <t>이수영</t>
  </si>
  <si>
    <t>박중태</t>
  </si>
  <si>
    <t>신점기</t>
  </si>
  <si>
    <t>박한얼</t>
  </si>
  <si>
    <t>홍종현</t>
  </si>
  <si>
    <t>이유석</t>
  </si>
  <si>
    <t>최준호</t>
  </si>
  <si>
    <t>서지연</t>
  </si>
  <si>
    <t xml:space="preserve">한상수 </t>
  </si>
  <si>
    <t>임정호</t>
  </si>
  <si>
    <t>이장호</t>
  </si>
  <si>
    <t>김한나</t>
  </si>
  <si>
    <t>김호진</t>
  </si>
  <si>
    <t>윤정덕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</si>
</sst>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dd\-mmm\-yy"/>
    <numFmt numFmtId="177" formatCode="#,##0_ "/>
    <numFmt numFmtId="178" formatCode="0_);[Red]\(0\)"/>
    <numFmt numFmtId="179" formatCode="#,##0_);[Red]\(#,##0\)"/>
    <numFmt numFmtId="180" formatCode="&quot;₩&quot;#,###"/>
    <numFmt numFmtId="181" formatCode="&quot;₩&quot;#,##0"/>
  </numFmts>
  <fonts count="14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8"/>
      <name val="돋움체"/>
      <family val="3"/>
      <charset val="129"/>
    </font>
    <font>
      <sz val="15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1"/>
      <color indexed="8"/>
      <name val="맑은 고딕"/>
      <family val="3"/>
      <charset val="129"/>
    </font>
    <font>
      <sz val="13"/>
      <name val="바탕체"/>
      <family val="1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</fills>
  <borders count="12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6">
    <xf numFmtId="0" fontId="0" fillId="0" borderId="0">
      <alignment vertical="center"/>
    </xf>
    <xf numFmtId="0" fontId="2" fillId="0" borderId="0"/>
    <xf numFmtId="0" fontId="6" fillId="0" borderId="0"/>
    <xf numFmtId="41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6" fillId="0" borderId="0"/>
  </cellStyleXfs>
  <cellXfs count="61">
    <xf numFmtId="0" fontId="0" fillId="0" borderId="0" xfId="0">
      <alignment vertical="center"/>
    </xf>
    <xf numFmtId="0" fontId="3" fillId="0" borderId="0" xfId="1" applyFont="1"/>
    <xf numFmtId="0" fontId="3" fillId="0" borderId="0" xfId="1" applyFont="1" applyAlignment="1">
      <alignment vertical="top"/>
    </xf>
    <xf numFmtId="0" fontId="3" fillId="0" borderId="3" xfId="1" applyFont="1" applyBorder="1" applyAlignment="1">
      <alignment horizontal="center"/>
    </xf>
    <xf numFmtId="0" fontId="3" fillId="2" borderId="3" xfId="1" applyFont="1" applyFill="1" applyBorder="1" applyAlignment="1">
      <alignment horizontal="center"/>
    </xf>
    <xf numFmtId="0" fontId="3" fillId="0" borderId="4" xfId="1" applyFont="1" applyBorder="1" applyAlignment="1">
      <alignment horizontal="center"/>
    </xf>
    <xf numFmtId="0" fontId="3" fillId="0" borderId="3" xfId="1" applyFont="1" applyBorder="1"/>
    <xf numFmtId="177" fontId="8" fillId="0" borderId="3" xfId="3" applyNumberFormat="1" applyFont="1" applyBorder="1"/>
    <xf numFmtId="41" fontId="8" fillId="0" borderId="3" xfId="3" applyFont="1" applyBorder="1"/>
    <xf numFmtId="41" fontId="3" fillId="0" borderId="0" xfId="1" applyNumberFormat="1" applyFont="1"/>
    <xf numFmtId="0" fontId="3" fillId="0" borderId="0" xfId="1" applyFont="1" applyBorder="1" applyAlignment="1">
      <alignment horizontal="center"/>
    </xf>
    <xf numFmtId="0" fontId="3" fillId="3" borderId="3" xfId="1" applyFont="1" applyFill="1" applyBorder="1" applyAlignment="1">
      <alignment horizontal="center"/>
    </xf>
    <xf numFmtId="0" fontId="3" fillId="0" borderId="0" xfId="1" applyFont="1" applyAlignment="1">
      <alignment horizontal="center"/>
    </xf>
    <xf numFmtId="41" fontId="3" fillId="0" borderId="3" xfId="3" applyFont="1" applyBorder="1"/>
    <xf numFmtId="177" fontId="8" fillId="0" borderId="3" xfId="4" applyNumberFormat="1" applyFont="1" applyBorder="1"/>
    <xf numFmtId="6" fontId="3" fillId="0" borderId="0" xfId="1" applyNumberFormat="1" applyFont="1"/>
    <xf numFmtId="41" fontId="3" fillId="0" borderId="3" xfId="1" applyNumberFormat="1" applyFont="1" applyBorder="1"/>
    <xf numFmtId="0" fontId="3" fillId="0" borderId="3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3" fillId="0" borderId="3" xfId="1" applyFont="1" applyFill="1" applyBorder="1"/>
    <xf numFmtId="178" fontId="3" fillId="0" borderId="3" xfId="1" applyNumberFormat="1" applyFont="1" applyFill="1" applyBorder="1"/>
    <xf numFmtId="179" fontId="3" fillId="0" borderId="3" xfId="1" applyNumberFormat="1" applyFont="1" applyBorder="1"/>
    <xf numFmtId="180" fontId="3" fillId="0" borderId="3" xfId="1" applyNumberFormat="1" applyFont="1" applyFill="1" applyBorder="1"/>
    <xf numFmtId="42" fontId="3" fillId="0" borderId="3" xfId="4" applyFont="1" applyFill="1" applyBorder="1"/>
    <xf numFmtId="0" fontId="10" fillId="0" borderId="0" xfId="1" applyFont="1"/>
    <xf numFmtId="0" fontId="11" fillId="0" borderId="0" xfId="1" applyFont="1" applyAlignment="1">
      <alignment horizontal="center"/>
    </xf>
    <xf numFmtId="14" fontId="3" fillId="0" borderId="0" xfId="1" applyNumberFormat="1" applyFont="1" applyAlignment="1">
      <alignment vertical="center"/>
    </xf>
    <xf numFmtId="0" fontId="3" fillId="0" borderId="0" xfId="1" applyFont="1" applyAlignment="1">
      <alignment vertical="center"/>
    </xf>
    <xf numFmtId="0" fontId="11" fillId="0" borderId="3" xfId="1" applyFont="1" applyBorder="1"/>
    <xf numFmtId="0" fontId="3" fillId="0" borderId="0" xfId="1" applyFont="1" applyBorder="1"/>
    <xf numFmtId="41" fontId="3" fillId="0" borderId="0" xfId="3" applyFont="1" applyBorder="1"/>
    <xf numFmtId="41" fontId="3" fillId="0" borderId="0" xfId="1" applyNumberFormat="1" applyFont="1" applyBorder="1"/>
    <xf numFmtId="0" fontId="11" fillId="0" borderId="0" xfId="1" applyFont="1" applyBorder="1"/>
    <xf numFmtId="0" fontId="0" fillId="5" borderId="6" xfId="0" applyFont="1" applyFill="1" applyBorder="1">
      <alignment vertical="center"/>
    </xf>
    <xf numFmtId="0" fontId="0" fillId="5" borderId="7" xfId="0" applyFont="1" applyFill="1" applyBorder="1">
      <alignment vertical="center"/>
    </xf>
    <xf numFmtId="0" fontId="0" fillId="5" borderId="8" xfId="0" applyFont="1" applyFill="1" applyBorder="1">
      <alignment vertical="center"/>
    </xf>
    <xf numFmtId="0" fontId="1" fillId="4" borderId="9" xfId="0" applyFont="1" applyFill="1" applyBorder="1">
      <alignment vertical="center"/>
    </xf>
    <xf numFmtId="0" fontId="1" fillId="4" borderId="10" xfId="0" applyFont="1" applyFill="1" applyBorder="1">
      <alignment vertical="center"/>
    </xf>
    <xf numFmtId="0" fontId="1" fillId="4" borderId="11" xfId="0" applyFont="1" applyFill="1" applyBorder="1">
      <alignment vertical="center"/>
    </xf>
    <xf numFmtId="0" fontId="0" fillId="5" borderId="9" xfId="0" applyFont="1" applyFill="1" applyBorder="1">
      <alignment vertical="center"/>
    </xf>
    <xf numFmtId="0" fontId="0" fillId="5" borderId="10" xfId="0" applyFont="1" applyFill="1" applyBorder="1">
      <alignment vertical="center"/>
    </xf>
    <xf numFmtId="0" fontId="0" fillId="5" borderId="11" xfId="0" applyFont="1" applyFill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0" fontId="12" fillId="6" borderId="1" xfId="5" applyFont="1" applyFill="1" applyBorder="1" applyAlignment="1">
      <alignment horizontal="center"/>
    </xf>
    <xf numFmtId="0" fontId="12" fillId="0" borderId="2" xfId="5" applyFont="1" applyFill="1" applyBorder="1" applyAlignment="1">
      <alignment wrapText="1"/>
    </xf>
    <xf numFmtId="0" fontId="12" fillId="0" borderId="2" xfId="5" applyFont="1" applyFill="1" applyBorder="1" applyAlignment="1">
      <alignment horizontal="right" wrapText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13" fillId="0" borderId="0" xfId="1" applyFont="1"/>
    <xf numFmtId="3" fontId="13" fillId="0" borderId="0" xfId="1" applyNumberFormat="1" applyFont="1"/>
    <xf numFmtId="0" fontId="7" fillId="2" borderId="1" xfId="2" applyFont="1" applyFill="1" applyBorder="1" applyAlignment="1" applyProtection="1">
      <alignment horizontal="center"/>
    </xf>
    <xf numFmtId="0" fontId="3" fillId="0" borderId="0" xfId="1" applyFont="1" applyProtection="1"/>
    <xf numFmtId="0" fontId="7" fillId="0" borderId="2" xfId="2" applyFont="1" applyFill="1" applyBorder="1" applyAlignment="1" applyProtection="1">
      <alignment horizontal="center" wrapText="1"/>
    </xf>
    <xf numFmtId="176" fontId="7" fillId="0" borderId="2" xfId="2" applyNumberFormat="1" applyFont="1" applyFill="1" applyBorder="1" applyAlignment="1" applyProtection="1">
      <alignment horizontal="center" wrapText="1"/>
    </xf>
    <xf numFmtId="41" fontId="7" fillId="0" borderId="2" xfId="3" applyFont="1" applyFill="1" applyBorder="1" applyAlignment="1" applyProtection="1">
      <alignment horizontal="center" wrapText="1"/>
    </xf>
    <xf numFmtId="181" fontId="12" fillId="0" borderId="2" xfId="5" applyNumberFormat="1" applyFont="1" applyFill="1" applyBorder="1" applyAlignment="1">
      <alignment horizontal="right" wrapText="1"/>
    </xf>
    <xf numFmtId="0" fontId="12" fillId="0" borderId="2" xfId="5" applyFont="1" applyFill="1" applyBorder="1" applyAlignment="1">
      <alignment horizontal="center" wrapText="1"/>
    </xf>
    <xf numFmtId="0" fontId="3" fillId="0" borderId="5" xfId="1" applyFont="1" applyBorder="1" applyAlignment="1">
      <alignment horizontal="center"/>
    </xf>
  </cellXfs>
  <cellStyles count="6">
    <cellStyle name="쉼표 [0] 2" xfId="3"/>
    <cellStyle name="통화 [0] 2" xfId="4"/>
    <cellStyle name="표준" xfId="0" builtinId="0"/>
    <cellStyle name="표준 2" xfId="1"/>
    <cellStyle name="표준_분석작업-1" xfId="5"/>
    <cellStyle name="표준_우수고객-2" xfId="2"/>
  </cellStyles>
  <dxfs count="1">
    <dxf>
      <font>
        <b val="0"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ko-KR" altLang="en-US"/>
              <a:t>미수금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'기타작업-1'!$E$2</c:f>
              <c:strCache>
                <c:ptCount val="1"/>
                <c:pt idx="0">
                  <c:v>미수금</c:v>
                </c:pt>
              </c:strCache>
            </c:strRef>
          </c:tx>
          <c:invertIfNegative val="0"/>
          <c:cat>
            <c:strRef>
              <c:f>'기타작업-1'!$B$3:$B$9</c:f>
              <c:strCache>
                <c:ptCount val="7"/>
                <c:pt idx="0">
                  <c:v>Blue</c:v>
                </c:pt>
                <c:pt idx="1">
                  <c:v>Red300</c:v>
                </c:pt>
                <c:pt idx="2">
                  <c:v>Violet100</c:v>
                </c:pt>
                <c:pt idx="3">
                  <c:v>Red334 </c:v>
                </c:pt>
                <c:pt idx="4">
                  <c:v>Yellow </c:v>
                </c:pt>
                <c:pt idx="5">
                  <c:v>Violet550</c:v>
                </c:pt>
                <c:pt idx="6">
                  <c:v>Violet600</c:v>
                </c:pt>
              </c:strCache>
            </c:strRef>
          </c:cat>
          <c:val>
            <c:numRef>
              <c:f>'기타작업-1'!$E$3:$E$9</c:f>
              <c:numCache>
                <c:formatCode>"₩"#,###</c:formatCode>
                <c:ptCount val="7"/>
                <c:pt idx="0">
                  <c:v>83720</c:v>
                </c:pt>
                <c:pt idx="1">
                  <c:v>312000</c:v>
                </c:pt>
                <c:pt idx="2">
                  <c:v>156000</c:v>
                </c:pt>
                <c:pt idx="3" formatCode="_(&quot;₩&quot;* #,##0_);_(&quot;₩&quot;* \(#,##0\);_(&quot;₩&quot;* &quot;-&quot;_);_(@_)">
                  <c:v>45000</c:v>
                </c:pt>
                <c:pt idx="4" formatCode="_(&quot;₩&quot;* #,##0_);_(&quot;₩&quot;* \(#,##0\);_(&quot;₩&quot;* &quot;-&quot;_);_(@_)">
                  <c:v>12000</c:v>
                </c:pt>
                <c:pt idx="5">
                  <c:v>130000</c:v>
                </c:pt>
                <c:pt idx="6">
                  <c:v>702000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595008"/>
        <c:axId val="210888384"/>
      </c:barChart>
      <c:lineChart>
        <c:grouping val="standard"/>
        <c:varyColors val="0"/>
        <c:ser>
          <c:idx val="1"/>
          <c:order val="1"/>
          <c:tx>
            <c:strRef>
              <c:f>'기타작업-1'!$E$2</c:f>
              <c:strCache>
                <c:ptCount val="1"/>
                <c:pt idx="0">
                  <c:v>미수금</c:v>
                </c:pt>
              </c:strCache>
            </c:strRef>
          </c:tx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'기타작업-1'!$B$3:$B$9</c:f>
              <c:strCache>
                <c:ptCount val="7"/>
                <c:pt idx="0">
                  <c:v>Blue</c:v>
                </c:pt>
                <c:pt idx="1">
                  <c:v>Red300</c:v>
                </c:pt>
                <c:pt idx="2">
                  <c:v>Violet100</c:v>
                </c:pt>
                <c:pt idx="3">
                  <c:v>Red334 </c:v>
                </c:pt>
                <c:pt idx="4">
                  <c:v>Yellow </c:v>
                </c:pt>
                <c:pt idx="5">
                  <c:v>Violet550</c:v>
                </c:pt>
                <c:pt idx="6">
                  <c:v>Violet600</c:v>
                </c:pt>
              </c:strCache>
            </c:strRef>
          </c:cat>
          <c:val>
            <c:numRef>
              <c:f>'기타작업-1'!$E$3:$E$9</c:f>
              <c:numCache>
                <c:formatCode>"₩"#,###</c:formatCode>
                <c:ptCount val="7"/>
                <c:pt idx="0">
                  <c:v>83720</c:v>
                </c:pt>
                <c:pt idx="1">
                  <c:v>312000</c:v>
                </c:pt>
                <c:pt idx="2">
                  <c:v>156000</c:v>
                </c:pt>
                <c:pt idx="3" formatCode="_(&quot;₩&quot;* #,##0_);_(&quot;₩&quot;* \(#,##0\);_(&quot;₩&quot;* &quot;-&quot;_);_(@_)">
                  <c:v>45000</c:v>
                </c:pt>
                <c:pt idx="4" formatCode="_(&quot;₩&quot;* #,##0_);_(&quot;₩&quot;* \(#,##0\);_(&quot;₩&quot;* &quot;-&quot;_);_(@_)">
                  <c:v>12000</c:v>
                </c:pt>
                <c:pt idx="5">
                  <c:v>130000</c:v>
                </c:pt>
                <c:pt idx="6">
                  <c:v>702000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595008"/>
        <c:axId val="210888384"/>
      </c:lineChart>
      <c:catAx>
        <c:axId val="13559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88384"/>
        <c:crosses val="autoZero"/>
        <c:auto val="1"/>
        <c:lblAlgn val="ctr"/>
        <c:lblOffset val="100"/>
        <c:noMultiLvlLbl val="0"/>
      </c:catAx>
      <c:valAx>
        <c:axId val="210888384"/>
        <c:scaling>
          <c:orientation val="minMax"/>
        </c:scaling>
        <c:delete val="0"/>
        <c:axPos val="l"/>
        <c:majorGridlines/>
        <c:numFmt formatCode="&quot;₩&quot;#,###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ko-KR"/>
          </a:p>
        </c:txPr>
        <c:crossAx val="135595008"/>
        <c:crosses val="autoZero"/>
        <c:crossBetween val="between"/>
        <c:dispUnits>
          <c:builtInUnit val="thousands"/>
          <c:dispUnitsLbl/>
        </c:dispUnits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[0]!최고최저" textlink="">
      <xdr:nvSpPr>
        <xdr:cNvPr id="2" name="빗면 1"/>
        <xdr:cNvSpPr/>
      </xdr:nvSpPr>
      <xdr:spPr>
        <a:xfrm>
          <a:off x="4010025" y="209550"/>
          <a:ext cx="16764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최고최저분석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5</xdr:col>
      <xdr:colOff>761999</xdr:colOff>
      <xdr:row>24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9525</xdr:rowOff>
        </xdr:from>
        <xdr:to>
          <xdr:col>7</xdr:col>
          <xdr:colOff>161925</xdr:colOff>
          <xdr:row>2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83.549939583332" createdVersion="4" refreshedVersion="4" minRefreshableVersion="3" recordCount="30">
  <cacheSource type="worksheet">
    <worksheetSource ref="A1:G31" sheet="분석작업-1"/>
  </cacheSource>
  <cacheFields count="8">
    <cacheField name="이름" numFmtId="0">
      <sharedItems count="30">
        <s v="심영보"/>
        <s v="김준석"/>
        <s v="박성미"/>
        <s v="서원석"/>
        <s v="권은영"/>
        <s v="박종욱"/>
        <s v="김상철"/>
        <s v="최옥자"/>
        <s v="한영희"/>
        <s v="민들레"/>
        <s v="송현우"/>
        <s v="이욱현"/>
        <s v="황유선"/>
        <s v="심상섭"/>
        <s v="이창섭"/>
        <s v="손범수"/>
        <s v="진양혜"/>
        <s v="김미숙"/>
        <s v="곽영일"/>
        <s v="오성식"/>
        <s v="배동진"/>
        <s v="이창명"/>
        <s v="배유정"/>
        <s v="이무열"/>
        <s v="이숙영"/>
        <s v="김광배"/>
        <s v="양창석"/>
        <s v="서호형"/>
        <s v="이철형"/>
        <s v="조숙희"/>
      </sharedItems>
    </cacheField>
    <cacheField name="학과코드" numFmtId="0">
      <sharedItems count="9">
        <s v="B2"/>
        <s v="A2"/>
        <s v="E2"/>
        <s v="D1"/>
        <s v="B1"/>
        <s v="C1"/>
        <s v="E1"/>
        <s v="D2"/>
        <s v="A1"/>
      </sharedItems>
      <fieldGroup par="7"/>
    </cacheField>
    <cacheField name="TOEIC" numFmtId="0">
      <sharedItems containsSemiMixedTypes="0" containsString="0" containsNumber="1" containsInteger="1" minValue="50" maxValue="97"/>
    </cacheField>
    <cacheField name="컴퓨터" numFmtId="0">
      <sharedItems containsSemiMixedTypes="0" containsString="0" containsNumber="1" containsInteger="1" minValue="50" maxValue="99"/>
    </cacheField>
    <cacheField name="교양" numFmtId="0">
      <sharedItems containsSemiMixedTypes="0" containsString="0" containsNumber="1" containsInteger="1" minValue="50" maxValue="97"/>
    </cacheField>
    <cacheField name="전공1" numFmtId="0">
      <sharedItems containsSemiMixedTypes="0" containsString="0" containsNumber="1" containsInteger="1" minValue="50" maxValue="96"/>
    </cacheField>
    <cacheField name="전공2" numFmtId="0">
      <sharedItems containsSemiMixedTypes="0" containsString="0" containsNumber="1" containsInteger="1" minValue="51" maxValue="97"/>
    </cacheField>
    <cacheField name="학과코드2" numFmtId="0" databaseField="0">
      <fieldGroup base="1">
        <discretePr count="9">
          <x v="2"/>
          <x v="1"/>
          <x v="4"/>
          <x v="3"/>
          <x v="2"/>
          <x v="0"/>
          <x v="4"/>
          <x v="3"/>
          <x v="1"/>
        </discretePr>
        <groupItems count="5">
          <s v="C1"/>
          <s v="그룹1"/>
          <s v="그룹2"/>
          <s v="그룹3"/>
          <s v="그룹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n v="77"/>
    <n v="76"/>
    <n v="87"/>
    <n v="50"/>
    <n v="51"/>
  </r>
  <r>
    <x v="1"/>
    <x v="1"/>
    <n v="88"/>
    <n v="81"/>
    <n v="77"/>
    <n v="85"/>
    <n v="63"/>
  </r>
  <r>
    <x v="2"/>
    <x v="2"/>
    <n v="87"/>
    <n v="84"/>
    <n v="61"/>
    <n v="93"/>
    <n v="63"/>
  </r>
  <r>
    <x v="3"/>
    <x v="3"/>
    <n v="72"/>
    <n v="96"/>
    <n v="67"/>
    <n v="59"/>
    <n v="77"/>
  </r>
  <r>
    <x v="4"/>
    <x v="2"/>
    <n v="50"/>
    <n v="84"/>
    <n v="60"/>
    <n v="77"/>
    <n v="79"/>
  </r>
  <r>
    <x v="5"/>
    <x v="0"/>
    <n v="56"/>
    <n v="99"/>
    <n v="96"/>
    <n v="71"/>
    <n v="95"/>
  </r>
  <r>
    <x v="6"/>
    <x v="4"/>
    <n v="77"/>
    <n v="77"/>
    <n v="50"/>
    <n v="55"/>
    <n v="92"/>
  </r>
  <r>
    <x v="7"/>
    <x v="0"/>
    <n v="79"/>
    <n v="94"/>
    <n v="76"/>
    <n v="72"/>
    <n v="96"/>
  </r>
  <r>
    <x v="8"/>
    <x v="5"/>
    <n v="65"/>
    <n v="73"/>
    <n v="67"/>
    <n v="95"/>
    <n v="82"/>
  </r>
  <r>
    <x v="9"/>
    <x v="6"/>
    <n v="74"/>
    <n v="92"/>
    <n v="88"/>
    <n v="52"/>
    <n v="73"/>
  </r>
  <r>
    <x v="10"/>
    <x v="4"/>
    <n v="52"/>
    <n v="78"/>
    <n v="55"/>
    <n v="64"/>
    <n v="60"/>
  </r>
  <r>
    <x v="11"/>
    <x v="2"/>
    <n v="76"/>
    <n v="65"/>
    <n v="87"/>
    <n v="96"/>
    <n v="88"/>
  </r>
  <r>
    <x v="12"/>
    <x v="0"/>
    <n v="61"/>
    <n v="98"/>
    <n v="72"/>
    <n v="89"/>
    <n v="68"/>
  </r>
  <r>
    <x v="13"/>
    <x v="1"/>
    <n v="86"/>
    <n v="66"/>
    <n v="71"/>
    <n v="94"/>
    <n v="87"/>
  </r>
  <r>
    <x v="14"/>
    <x v="7"/>
    <n v="84"/>
    <n v="70"/>
    <n v="69"/>
    <n v="83"/>
    <n v="59"/>
  </r>
  <r>
    <x v="15"/>
    <x v="3"/>
    <n v="97"/>
    <n v="53"/>
    <n v="57"/>
    <n v="79"/>
    <n v="79"/>
  </r>
  <r>
    <x v="16"/>
    <x v="7"/>
    <n v="68"/>
    <n v="50"/>
    <n v="81"/>
    <n v="84"/>
    <n v="89"/>
  </r>
  <r>
    <x v="17"/>
    <x v="1"/>
    <n v="64"/>
    <n v="59"/>
    <n v="97"/>
    <n v="86"/>
    <n v="53"/>
  </r>
  <r>
    <x v="18"/>
    <x v="2"/>
    <n v="51"/>
    <n v="97"/>
    <n v="51"/>
    <n v="87"/>
    <n v="90"/>
  </r>
  <r>
    <x v="19"/>
    <x v="7"/>
    <n v="86"/>
    <n v="68"/>
    <n v="56"/>
    <n v="86"/>
    <n v="59"/>
  </r>
  <r>
    <x v="20"/>
    <x v="2"/>
    <n v="82"/>
    <n v="88"/>
    <n v="62"/>
    <n v="66"/>
    <n v="54"/>
  </r>
  <r>
    <x v="21"/>
    <x v="2"/>
    <n v="97"/>
    <n v="68"/>
    <n v="72"/>
    <n v="84"/>
    <n v="52"/>
  </r>
  <r>
    <x v="22"/>
    <x v="5"/>
    <n v="55"/>
    <n v="68"/>
    <n v="73"/>
    <n v="68"/>
    <n v="66"/>
  </r>
  <r>
    <x v="23"/>
    <x v="7"/>
    <n v="89"/>
    <n v="66"/>
    <n v="56"/>
    <n v="82"/>
    <n v="66"/>
  </r>
  <r>
    <x v="24"/>
    <x v="4"/>
    <n v="92"/>
    <n v="64"/>
    <n v="84"/>
    <n v="73"/>
    <n v="76"/>
  </r>
  <r>
    <x v="25"/>
    <x v="8"/>
    <n v="71"/>
    <n v="97"/>
    <n v="64"/>
    <n v="96"/>
    <n v="68"/>
  </r>
  <r>
    <x v="26"/>
    <x v="1"/>
    <n v="76"/>
    <n v="80"/>
    <n v="91"/>
    <n v="51"/>
    <n v="92"/>
  </r>
  <r>
    <x v="27"/>
    <x v="8"/>
    <n v="52"/>
    <n v="56"/>
    <n v="77"/>
    <n v="82"/>
    <n v="92"/>
  </r>
  <r>
    <x v="28"/>
    <x v="8"/>
    <n v="87"/>
    <n v="78"/>
    <n v="56"/>
    <n v="83"/>
    <n v="60"/>
  </r>
  <r>
    <x v="29"/>
    <x v="6"/>
    <n v="93"/>
    <n v="59"/>
    <n v="51"/>
    <n v="95"/>
    <n v="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5" cacheId="18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I5:L11" firstHeaderRow="0" firstDataRow="1" firstDataCol="2" rowPageCount="1" colPageCount="1"/>
  <pivotFields count="8">
    <pivotField axis="axisPage" compact="0" showAll="0">
      <items count="31">
        <item x="18"/>
        <item x="4"/>
        <item x="25"/>
        <item x="17"/>
        <item x="6"/>
        <item x="1"/>
        <item x="9"/>
        <item x="2"/>
        <item x="5"/>
        <item x="20"/>
        <item x="22"/>
        <item x="3"/>
        <item x="27"/>
        <item x="15"/>
        <item x="10"/>
        <item x="13"/>
        <item x="0"/>
        <item x="26"/>
        <item x="19"/>
        <item x="23"/>
        <item x="24"/>
        <item x="11"/>
        <item x="21"/>
        <item x="14"/>
        <item x="28"/>
        <item x="29"/>
        <item x="16"/>
        <item x="7"/>
        <item x="8"/>
        <item x="12"/>
        <item t="default"/>
      </items>
    </pivotField>
    <pivotField axis="axisRow" compact="0" showAll="0">
      <items count="10">
        <item x="8"/>
        <item x="1"/>
        <item x="4"/>
        <item x="0"/>
        <item x="5"/>
        <item x="3"/>
        <item x="7"/>
        <item x="6"/>
        <item x="2"/>
        <item t="default"/>
      </items>
    </pivotField>
    <pivotField dataField="1" compact="0" showAll="0"/>
    <pivotField dataField="1" compact="0" showAll="0"/>
    <pivotField compact="0" showAll="0"/>
    <pivotField compact="0" showAll="0"/>
    <pivotField compact="0" showAll="0"/>
    <pivotField axis="axisRow" compact="0" showAll="0" defaultSubtotal="0">
      <items count="5">
        <item n="영문과" sd="0" x="1"/>
        <item n="기계설계과" sd="0" x="2"/>
        <item n="회계과" sd="0" x="0"/>
        <item n="법학과" sd="0" x="3"/>
        <item n="유아교육과" sd="0" x="4"/>
      </items>
    </pivotField>
  </pivotFields>
  <rowFields count="2">
    <field x="7"/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최소값 : TOEIC" fld="2" subtotal="min" baseField="0" baseItem="0"/>
    <dataField name="최소값 : 컴퓨터" fld="3" subtotal="min" baseField="0" baseItem="0"/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표3" displayName="표3" ref="A1:G8" totalsRowShown="0">
  <autoFilter ref="A1:G8"/>
  <tableColumns count="7">
    <tableColumn id="1" name="이름"/>
    <tableColumn id="2" name="학과코드"/>
    <tableColumn id="3" name="TOEIC"/>
    <tableColumn id="4" name="컴퓨터"/>
    <tableColumn id="5" name="교양"/>
    <tableColumn id="6" name="전공1"/>
    <tableColumn id="7" name="전공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13"/>
  <sheetViews>
    <sheetView tabSelected="1" workbookViewId="0"/>
  </sheetViews>
  <sheetFormatPr defaultRowHeight="16.5"/>
  <cols>
    <col min="1" max="1" width="2.75" customWidth="1"/>
    <col min="2" max="2" width="7.5" customWidth="1"/>
    <col min="3" max="3" width="9.375" bestFit="1" customWidth="1"/>
    <col min="4" max="6" width="7.5" customWidth="1"/>
    <col min="7" max="7" width="9.375" bestFit="1" customWidth="1"/>
  </cols>
  <sheetData>
    <row r="2" spans="1:7">
      <c r="A2" s="1"/>
      <c r="B2" s="2" t="s">
        <v>0</v>
      </c>
    </row>
    <row r="4" spans="1:7">
      <c r="B4" s="37" t="s">
        <v>75</v>
      </c>
      <c r="C4" s="38" t="s">
        <v>57</v>
      </c>
      <c r="D4" s="38" t="s">
        <v>76</v>
      </c>
      <c r="E4" s="38" t="s">
        <v>77</v>
      </c>
      <c r="F4" s="38" t="s">
        <v>78</v>
      </c>
      <c r="G4" s="39" t="s">
        <v>173</v>
      </c>
    </row>
    <row r="5" spans="1:7">
      <c r="B5" s="40" t="s">
        <v>177</v>
      </c>
      <c r="C5" s="41" t="s">
        <v>175</v>
      </c>
      <c r="D5" s="41" t="s">
        <v>105</v>
      </c>
      <c r="E5" s="41">
        <v>9</v>
      </c>
      <c r="F5" s="41">
        <v>3</v>
      </c>
      <c r="G5" s="42">
        <v>2768100</v>
      </c>
    </row>
    <row r="6" spans="1:7">
      <c r="B6" s="43" t="s">
        <v>178</v>
      </c>
      <c r="C6" s="44" t="s">
        <v>175</v>
      </c>
      <c r="D6" s="44" t="s">
        <v>91</v>
      </c>
      <c r="E6" s="44">
        <v>5</v>
      </c>
      <c r="F6" s="44">
        <v>1</v>
      </c>
      <c r="G6" s="45">
        <v>1388900</v>
      </c>
    </row>
    <row r="7" spans="1:7">
      <c r="B7" s="40" t="s">
        <v>174</v>
      </c>
      <c r="C7" s="41" t="s">
        <v>175</v>
      </c>
      <c r="D7" s="41" t="s">
        <v>102</v>
      </c>
      <c r="E7" s="41">
        <v>2</v>
      </c>
      <c r="F7" s="41">
        <v>4</v>
      </c>
      <c r="G7" s="42">
        <v>845200</v>
      </c>
    </row>
    <row r="8" spans="1:7">
      <c r="B8" s="43" t="s">
        <v>176</v>
      </c>
      <c r="C8" s="44" t="s">
        <v>175</v>
      </c>
      <c r="D8" s="44" t="s">
        <v>102</v>
      </c>
      <c r="E8" s="44">
        <v>2</v>
      </c>
      <c r="F8" s="44">
        <v>4</v>
      </c>
      <c r="G8" s="45">
        <v>845200</v>
      </c>
    </row>
    <row r="9" spans="1:7">
      <c r="B9" s="40" t="s">
        <v>95</v>
      </c>
      <c r="C9" s="41" t="s">
        <v>96</v>
      </c>
      <c r="D9" s="41" t="s">
        <v>102</v>
      </c>
      <c r="E9" s="41">
        <v>2</v>
      </c>
      <c r="F9" s="41">
        <v>1</v>
      </c>
      <c r="G9" s="42">
        <v>766300</v>
      </c>
    </row>
    <row r="10" spans="1:7">
      <c r="B10" s="43" t="s">
        <v>112</v>
      </c>
      <c r="C10" s="44" t="s">
        <v>96</v>
      </c>
      <c r="D10" s="44" t="s">
        <v>102</v>
      </c>
      <c r="E10" s="44">
        <v>2</v>
      </c>
      <c r="F10" s="44">
        <v>1</v>
      </c>
      <c r="G10" s="45">
        <v>766300</v>
      </c>
    </row>
    <row r="11" spans="1:7">
      <c r="B11" s="40" t="s">
        <v>114</v>
      </c>
      <c r="C11" s="41" t="s">
        <v>96</v>
      </c>
      <c r="D11" s="41" t="s">
        <v>102</v>
      </c>
      <c r="E11" s="41">
        <v>2</v>
      </c>
      <c r="F11" s="41">
        <v>1</v>
      </c>
      <c r="G11" s="42">
        <v>766300</v>
      </c>
    </row>
    <row r="12" spans="1:7">
      <c r="B12" s="43" t="s">
        <v>179</v>
      </c>
      <c r="C12" s="44" t="s">
        <v>96</v>
      </c>
      <c r="D12" s="44" t="s">
        <v>102</v>
      </c>
      <c r="E12" s="44">
        <v>2</v>
      </c>
      <c r="F12" s="44">
        <v>1</v>
      </c>
      <c r="G12" s="45">
        <v>766300</v>
      </c>
    </row>
    <row r="13" spans="1:7">
      <c r="B13" s="34" t="s">
        <v>180</v>
      </c>
      <c r="C13" s="35" t="s">
        <v>96</v>
      </c>
      <c r="D13" s="35" t="s">
        <v>102</v>
      </c>
      <c r="E13" s="35">
        <v>2</v>
      </c>
      <c r="F13" s="35">
        <v>1</v>
      </c>
      <c r="G13" s="36">
        <v>766300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J32"/>
  <sheetViews>
    <sheetView workbookViewId="0"/>
  </sheetViews>
  <sheetFormatPr defaultRowHeight="16.5"/>
  <cols>
    <col min="1" max="1" width="4.25" style="54" customWidth="1"/>
    <col min="2" max="2" width="9" style="54" bestFit="1" customWidth="1"/>
    <col min="3" max="3" width="7.875" style="54" bestFit="1" customWidth="1"/>
    <col min="4" max="5" width="6.25" style="54" customWidth="1"/>
    <col min="6" max="6" width="11.25" style="54" bestFit="1" customWidth="1"/>
    <col min="7" max="9" width="12.75" style="54" bestFit="1" customWidth="1"/>
    <col min="10" max="10" width="13" style="54" bestFit="1" customWidth="1"/>
    <col min="11" max="16384" width="9" style="54"/>
  </cols>
  <sheetData>
    <row r="3" spans="2:10">
      <c r="B3" s="53" t="s">
        <v>1</v>
      </c>
      <c r="C3" s="53" t="s">
        <v>2</v>
      </c>
      <c r="D3" s="53" t="s">
        <v>3</v>
      </c>
      <c r="E3" s="53" t="s">
        <v>4</v>
      </c>
      <c r="F3" s="53" t="s">
        <v>5</v>
      </c>
      <c r="G3" s="53" t="s">
        <v>6</v>
      </c>
      <c r="H3" s="53" t="s">
        <v>7</v>
      </c>
      <c r="I3" s="53" t="s">
        <v>8</v>
      </c>
      <c r="J3" s="53" t="s">
        <v>9</v>
      </c>
    </row>
    <row r="4" spans="2:10">
      <c r="B4" s="55" t="s">
        <v>10</v>
      </c>
      <c r="C4" s="55" t="s">
        <v>11</v>
      </c>
      <c r="D4" s="55" t="s">
        <v>12</v>
      </c>
      <c r="E4" s="55" t="s">
        <v>13</v>
      </c>
      <c r="F4" s="56">
        <v>42450</v>
      </c>
      <c r="G4" s="57">
        <v>135000</v>
      </c>
      <c r="H4" s="57">
        <v>55000</v>
      </c>
      <c r="I4" s="57">
        <v>135000</v>
      </c>
      <c r="J4" s="57">
        <f>SUM(G4:I4)</f>
        <v>325000</v>
      </c>
    </row>
    <row r="5" spans="2:10">
      <c r="B5" s="55" t="s">
        <v>14</v>
      </c>
      <c r="C5" s="55" t="s">
        <v>15</v>
      </c>
      <c r="D5" s="55" t="s">
        <v>16</v>
      </c>
      <c r="E5" s="55" t="s">
        <v>17</v>
      </c>
      <c r="F5" s="56">
        <v>42436</v>
      </c>
      <c r="G5" s="57">
        <v>0</v>
      </c>
      <c r="H5" s="57">
        <v>5800</v>
      </c>
      <c r="I5" s="57">
        <v>22020</v>
      </c>
      <c r="J5" s="57">
        <f t="shared" ref="J5:J21" si="0">SUM(G5:I5)</f>
        <v>27820</v>
      </c>
    </row>
    <row r="6" spans="2:10">
      <c r="B6" s="55" t="s">
        <v>18</v>
      </c>
      <c r="C6" s="55" t="s">
        <v>19</v>
      </c>
      <c r="D6" s="55" t="s">
        <v>12</v>
      </c>
      <c r="E6" s="55" t="s">
        <v>20</v>
      </c>
      <c r="F6" s="56">
        <v>42381</v>
      </c>
      <c r="G6" s="57">
        <v>33250</v>
      </c>
      <c r="H6" s="57">
        <v>0</v>
      </c>
      <c r="I6" s="57">
        <v>0</v>
      </c>
      <c r="J6" s="57">
        <f t="shared" si="0"/>
        <v>33250</v>
      </c>
    </row>
    <row r="7" spans="2:10">
      <c r="B7" s="55" t="s">
        <v>21</v>
      </c>
      <c r="C7" s="55" t="s">
        <v>22</v>
      </c>
      <c r="D7" s="55" t="s">
        <v>12</v>
      </c>
      <c r="E7" s="55" t="s">
        <v>17</v>
      </c>
      <c r="F7" s="56">
        <v>42422</v>
      </c>
      <c r="G7" s="57">
        <v>35320</v>
      </c>
      <c r="H7" s="57">
        <v>2020</v>
      </c>
      <c r="I7" s="57">
        <v>0</v>
      </c>
      <c r="J7" s="57">
        <f t="shared" si="0"/>
        <v>37340</v>
      </c>
    </row>
    <row r="8" spans="2:10">
      <c r="B8" s="55" t="s">
        <v>23</v>
      </c>
      <c r="C8" s="55" t="s">
        <v>24</v>
      </c>
      <c r="D8" s="55" t="s">
        <v>12</v>
      </c>
      <c r="E8" s="55" t="s">
        <v>17</v>
      </c>
      <c r="F8" s="56">
        <v>42441</v>
      </c>
      <c r="G8" s="57">
        <v>35090</v>
      </c>
      <c r="H8" s="57">
        <v>21020</v>
      </c>
      <c r="I8" s="57">
        <v>2000</v>
      </c>
      <c r="J8" s="57">
        <f t="shared" si="0"/>
        <v>58110</v>
      </c>
    </row>
    <row r="9" spans="2:10">
      <c r="B9" s="55" t="s">
        <v>25</v>
      </c>
      <c r="C9" s="55" t="s">
        <v>26</v>
      </c>
      <c r="D9" s="55" t="s">
        <v>12</v>
      </c>
      <c r="E9" s="55" t="s">
        <v>20</v>
      </c>
      <c r="F9" s="56">
        <v>42442</v>
      </c>
      <c r="G9" s="57">
        <v>0</v>
      </c>
      <c r="H9" s="57">
        <v>33250</v>
      </c>
      <c r="I9" s="57">
        <v>33250</v>
      </c>
      <c r="J9" s="57">
        <f t="shared" si="0"/>
        <v>66500</v>
      </c>
    </row>
    <row r="10" spans="2:10">
      <c r="B10" s="55" t="s">
        <v>27</v>
      </c>
      <c r="C10" s="55" t="s">
        <v>28</v>
      </c>
      <c r="D10" s="55" t="s">
        <v>16</v>
      </c>
      <c r="E10" s="55" t="s">
        <v>13</v>
      </c>
      <c r="F10" s="56">
        <v>42444</v>
      </c>
      <c r="G10" s="57">
        <v>0</v>
      </c>
      <c r="H10" s="57">
        <v>34170</v>
      </c>
      <c r="I10" s="57">
        <v>34170</v>
      </c>
      <c r="J10" s="57">
        <f t="shared" si="0"/>
        <v>68340</v>
      </c>
    </row>
    <row r="11" spans="2:10">
      <c r="B11" s="55" t="s">
        <v>29</v>
      </c>
      <c r="C11" s="55" t="s">
        <v>30</v>
      </c>
      <c r="D11" s="55" t="s">
        <v>12</v>
      </c>
      <c r="E11" s="55" t="s">
        <v>17</v>
      </c>
      <c r="F11" s="56">
        <v>42412</v>
      </c>
      <c r="G11" s="57">
        <v>32330</v>
      </c>
      <c r="H11" s="57">
        <v>38700</v>
      </c>
      <c r="I11" s="57">
        <v>0</v>
      </c>
      <c r="J11" s="57">
        <f t="shared" si="0"/>
        <v>71030</v>
      </c>
    </row>
    <row r="12" spans="2:10">
      <c r="B12" s="55" t="s">
        <v>31</v>
      </c>
      <c r="C12" s="55" t="s">
        <v>32</v>
      </c>
      <c r="D12" s="55" t="s">
        <v>12</v>
      </c>
      <c r="E12" s="55" t="s">
        <v>33</v>
      </c>
      <c r="F12" s="56">
        <v>42447</v>
      </c>
      <c r="G12" s="57">
        <v>140520</v>
      </c>
      <c r="H12" s="57">
        <v>135000</v>
      </c>
      <c r="I12" s="57">
        <v>152000</v>
      </c>
      <c r="J12" s="57">
        <f t="shared" si="0"/>
        <v>427520</v>
      </c>
    </row>
    <row r="13" spans="2:10">
      <c r="B13" s="55" t="s">
        <v>34</v>
      </c>
      <c r="C13" s="55" t="s">
        <v>35</v>
      </c>
      <c r="D13" s="55" t="s">
        <v>12</v>
      </c>
      <c r="E13" s="55" t="s">
        <v>13</v>
      </c>
      <c r="F13" s="56">
        <v>42451</v>
      </c>
      <c r="G13" s="57">
        <v>33480</v>
      </c>
      <c r="H13" s="57">
        <v>33940</v>
      </c>
      <c r="I13" s="57">
        <v>33940</v>
      </c>
      <c r="J13" s="57">
        <f t="shared" si="0"/>
        <v>101360</v>
      </c>
    </row>
    <row r="14" spans="2:10">
      <c r="B14" s="55" t="s">
        <v>36</v>
      </c>
      <c r="C14" s="55" t="s">
        <v>37</v>
      </c>
      <c r="D14" s="55" t="s">
        <v>12</v>
      </c>
      <c r="E14" s="55" t="s">
        <v>17</v>
      </c>
      <c r="F14" s="56">
        <v>42411</v>
      </c>
      <c r="G14" s="57">
        <v>32560</v>
      </c>
      <c r="H14" s="57">
        <v>7700</v>
      </c>
      <c r="I14" s="57">
        <v>0</v>
      </c>
      <c r="J14" s="57">
        <f t="shared" si="0"/>
        <v>40260</v>
      </c>
    </row>
    <row r="15" spans="2:10">
      <c r="B15" s="55" t="s">
        <v>38</v>
      </c>
      <c r="C15" s="55" t="s">
        <v>39</v>
      </c>
      <c r="D15" s="55" t="s">
        <v>12</v>
      </c>
      <c r="E15" s="55" t="s">
        <v>13</v>
      </c>
      <c r="F15" s="56">
        <v>42419</v>
      </c>
      <c r="G15" s="57">
        <v>33940</v>
      </c>
      <c r="H15" s="57">
        <v>38700</v>
      </c>
      <c r="I15" s="57">
        <v>0</v>
      </c>
      <c r="J15" s="57">
        <f t="shared" si="0"/>
        <v>72640</v>
      </c>
    </row>
    <row r="16" spans="2:10">
      <c r="B16" s="55" t="s">
        <v>40</v>
      </c>
      <c r="C16" s="55" t="s">
        <v>41</v>
      </c>
      <c r="D16" s="55" t="s">
        <v>12</v>
      </c>
      <c r="E16" s="55" t="s">
        <v>33</v>
      </c>
      <c r="F16" s="56">
        <v>42436</v>
      </c>
      <c r="G16" s="57">
        <v>58520</v>
      </c>
      <c r="H16" s="57">
        <v>52200</v>
      </c>
      <c r="I16" s="57">
        <v>25020</v>
      </c>
      <c r="J16" s="57">
        <f t="shared" si="0"/>
        <v>135740</v>
      </c>
    </row>
    <row r="17" spans="2:10">
      <c r="B17" s="55" t="s">
        <v>42</v>
      </c>
      <c r="C17" s="55" t="s">
        <v>43</v>
      </c>
      <c r="D17" s="55" t="s">
        <v>12</v>
      </c>
      <c r="E17" s="55" t="s">
        <v>33</v>
      </c>
      <c r="F17" s="56">
        <v>42440</v>
      </c>
      <c r="G17" s="57">
        <v>34170</v>
      </c>
      <c r="H17" s="57">
        <v>78000</v>
      </c>
      <c r="I17" s="57">
        <v>34630</v>
      </c>
      <c r="J17" s="57">
        <f t="shared" si="0"/>
        <v>146800</v>
      </c>
    </row>
    <row r="18" spans="2:10">
      <c r="B18" s="55" t="s">
        <v>44</v>
      </c>
      <c r="C18" s="55" t="s">
        <v>45</v>
      </c>
      <c r="D18" s="55" t="s">
        <v>16</v>
      </c>
      <c r="E18" s="55" t="s">
        <v>33</v>
      </c>
      <c r="F18" s="56">
        <v>42447</v>
      </c>
      <c r="G18" s="57">
        <v>0</v>
      </c>
      <c r="H18" s="57">
        <v>135000</v>
      </c>
      <c r="I18" s="57">
        <v>140520</v>
      </c>
      <c r="J18" s="57">
        <f t="shared" si="0"/>
        <v>275520</v>
      </c>
    </row>
    <row r="19" spans="2:10">
      <c r="B19" s="55" t="s">
        <v>46</v>
      </c>
      <c r="C19" s="55" t="s">
        <v>47</v>
      </c>
      <c r="D19" s="55" t="s">
        <v>16</v>
      </c>
      <c r="E19" s="55" t="s">
        <v>13</v>
      </c>
      <c r="F19" s="56">
        <v>42452</v>
      </c>
      <c r="G19" s="57">
        <v>135000</v>
      </c>
      <c r="H19" s="57">
        <v>178000</v>
      </c>
      <c r="I19" s="57">
        <v>120200</v>
      </c>
      <c r="J19" s="57">
        <f t="shared" si="0"/>
        <v>433200</v>
      </c>
    </row>
    <row r="20" spans="2:10">
      <c r="B20" s="55" t="s">
        <v>48</v>
      </c>
      <c r="C20" s="55" t="s">
        <v>49</v>
      </c>
      <c r="D20" s="55" t="s">
        <v>16</v>
      </c>
      <c r="E20" s="55" t="s">
        <v>20</v>
      </c>
      <c r="F20" s="56">
        <v>42441</v>
      </c>
      <c r="G20" s="57">
        <v>0</v>
      </c>
      <c r="H20" s="57">
        <v>15000</v>
      </c>
      <c r="I20" s="57">
        <v>23000</v>
      </c>
      <c r="J20" s="57">
        <f t="shared" si="0"/>
        <v>38000</v>
      </c>
    </row>
    <row r="21" spans="2:10">
      <c r="B21" s="55" t="s">
        <v>50</v>
      </c>
      <c r="C21" s="55" t="s">
        <v>51</v>
      </c>
      <c r="D21" s="55" t="s">
        <v>16</v>
      </c>
      <c r="E21" s="55" t="s">
        <v>20</v>
      </c>
      <c r="F21" s="56">
        <v>42441</v>
      </c>
      <c r="G21" s="57">
        <v>12500</v>
      </c>
      <c r="H21" s="57">
        <v>5800</v>
      </c>
      <c r="I21" s="57">
        <v>22020</v>
      </c>
      <c r="J21" s="57">
        <f t="shared" si="0"/>
        <v>40320</v>
      </c>
    </row>
    <row r="23" spans="2:10">
      <c r="B23" s="54" t="s">
        <v>52</v>
      </c>
    </row>
    <row r="24" spans="2:10">
      <c r="B24" s="54" t="b">
        <f>OR(LEFT(B4,2)="PR",AND(E4="노원",MONTH(F4)=3))</f>
        <v>1</v>
      </c>
    </row>
    <row r="27" spans="2:10">
      <c r="B27" s="53" t="s">
        <v>1</v>
      </c>
      <c r="C27" s="53" t="s">
        <v>2</v>
      </c>
      <c r="D27" s="53" t="s">
        <v>3</v>
      </c>
      <c r="E27" s="53" t="s">
        <v>4</v>
      </c>
      <c r="F27" s="53" t="s">
        <v>5</v>
      </c>
      <c r="G27" s="53" t="s">
        <v>6</v>
      </c>
      <c r="H27" s="53" t="s">
        <v>7</v>
      </c>
      <c r="I27" s="53" t="s">
        <v>8</v>
      </c>
      <c r="J27" s="53" t="s">
        <v>9</v>
      </c>
    </row>
    <row r="28" spans="2:10">
      <c r="B28" s="55" t="s">
        <v>10</v>
      </c>
      <c r="C28" s="55" t="s">
        <v>11</v>
      </c>
      <c r="D28" s="55" t="s">
        <v>12</v>
      </c>
      <c r="E28" s="55" t="s">
        <v>13</v>
      </c>
      <c r="F28" s="56">
        <v>42450</v>
      </c>
      <c r="G28" s="57">
        <v>135000</v>
      </c>
      <c r="H28" s="57">
        <v>55000</v>
      </c>
      <c r="I28" s="57">
        <v>135000</v>
      </c>
      <c r="J28" s="57">
        <f t="shared" ref="J28:J32" si="1">SUM(G28:I28)</f>
        <v>325000</v>
      </c>
    </row>
    <row r="29" spans="2:10">
      <c r="B29" s="55" t="s">
        <v>25</v>
      </c>
      <c r="C29" s="55" t="s">
        <v>26</v>
      </c>
      <c r="D29" s="55" t="s">
        <v>12</v>
      </c>
      <c r="E29" s="55" t="s">
        <v>20</v>
      </c>
      <c r="F29" s="56">
        <v>42442</v>
      </c>
      <c r="G29" s="57">
        <v>0</v>
      </c>
      <c r="H29" s="57">
        <v>33250</v>
      </c>
      <c r="I29" s="57">
        <v>33250</v>
      </c>
      <c r="J29" s="57">
        <f t="shared" si="1"/>
        <v>66500</v>
      </c>
    </row>
    <row r="30" spans="2:10">
      <c r="B30" s="55" t="s">
        <v>31</v>
      </c>
      <c r="C30" s="55" t="s">
        <v>32</v>
      </c>
      <c r="D30" s="55" t="s">
        <v>12</v>
      </c>
      <c r="E30" s="55" t="s">
        <v>33</v>
      </c>
      <c r="F30" s="56">
        <v>42447</v>
      </c>
      <c r="G30" s="57">
        <v>140520</v>
      </c>
      <c r="H30" s="57">
        <v>135000</v>
      </c>
      <c r="I30" s="57">
        <v>152000</v>
      </c>
      <c r="J30" s="57">
        <f t="shared" si="1"/>
        <v>427520</v>
      </c>
    </row>
    <row r="31" spans="2:10">
      <c r="B31" s="55" t="s">
        <v>48</v>
      </c>
      <c r="C31" s="55" t="s">
        <v>49</v>
      </c>
      <c r="D31" s="55" t="s">
        <v>16</v>
      </c>
      <c r="E31" s="55" t="s">
        <v>20</v>
      </c>
      <c r="F31" s="56">
        <v>42441</v>
      </c>
      <c r="G31" s="57">
        <v>0</v>
      </c>
      <c r="H31" s="57">
        <v>15000</v>
      </c>
      <c r="I31" s="57">
        <v>23000</v>
      </c>
      <c r="J31" s="57">
        <f t="shared" si="1"/>
        <v>38000</v>
      </c>
    </row>
    <row r="32" spans="2:10">
      <c r="B32" s="55" t="s">
        <v>50</v>
      </c>
      <c r="C32" s="55" t="s">
        <v>51</v>
      </c>
      <c r="D32" s="55" t="s">
        <v>16</v>
      </c>
      <c r="E32" s="55" t="s">
        <v>20</v>
      </c>
      <c r="F32" s="56">
        <v>42441</v>
      </c>
      <c r="G32" s="57">
        <v>12500</v>
      </c>
      <c r="H32" s="57">
        <v>5800</v>
      </c>
      <c r="I32" s="57">
        <v>22020</v>
      </c>
      <c r="J32" s="57">
        <f t="shared" si="1"/>
        <v>40320</v>
      </c>
    </row>
  </sheetData>
  <phoneticPr fontId="4" type="noConversion"/>
  <conditionalFormatting sqref="B4:J21">
    <cfRule type="expression" dxfId="0" priority="2">
      <formula>WEEKDAY($F4,2)&gt;=6</formula>
    </cfRule>
  </conditionalFormatting>
  <pageMargins left="0.75" right="0.75" top="1" bottom="1" header="0.5" footer="0.5"/>
  <pageSetup paperSize="9" orientation="portrait" verticalDpi="0" r:id="rId1"/>
  <headerFooter alignWithMargins="0"/>
  <ignoredErrors>
    <ignoredError sqref="J4:J21 J28:J3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50"/>
  <sheetViews>
    <sheetView workbookViewId="0"/>
  </sheetViews>
  <sheetFormatPr defaultRowHeight="16.5"/>
  <cols>
    <col min="1" max="1" width="9.625" customWidth="1"/>
    <col min="2" max="3" width="10.125" customWidth="1"/>
    <col min="4" max="8" width="13.25" customWidth="1"/>
  </cols>
  <sheetData>
    <row r="1" spans="1:8">
      <c r="A1" s="46" t="s">
        <v>75</v>
      </c>
      <c r="B1" s="46" t="s">
        <v>57</v>
      </c>
      <c r="C1" s="46" t="s">
        <v>76</v>
      </c>
      <c r="D1" s="46" t="s">
        <v>173</v>
      </c>
      <c r="E1" s="46" t="s">
        <v>237</v>
      </c>
      <c r="F1" s="46" t="s">
        <v>164</v>
      </c>
      <c r="G1" s="46" t="s">
        <v>238</v>
      </c>
      <c r="H1" s="46" t="s">
        <v>239</v>
      </c>
    </row>
    <row r="2" spans="1:8">
      <c r="A2" s="59" t="s">
        <v>110</v>
      </c>
      <c r="B2" s="59" t="s">
        <v>86</v>
      </c>
      <c r="C2" s="59" t="s">
        <v>91</v>
      </c>
      <c r="D2" s="58">
        <v>1743700</v>
      </c>
      <c r="E2" s="58">
        <v>100000</v>
      </c>
      <c r="F2" s="58">
        <v>0</v>
      </c>
      <c r="G2" s="58">
        <v>300000</v>
      </c>
      <c r="H2" s="58">
        <v>2143700</v>
      </c>
    </row>
    <row r="3" spans="1:8">
      <c r="A3" s="59" t="s">
        <v>240</v>
      </c>
      <c r="B3" s="59" t="s">
        <v>86</v>
      </c>
      <c r="C3" s="59" t="s">
        <v>97</v>
      </c>
      <c r="D3" s="58">
        <v>1280000</v>
      </c>
      <c r="E3" s="58">
        <v>100000</v>
      </c>
      <c r="F3" s="58">
        <v>70000</v>
      </c>
      <c r="G3" s="58">
        <v>0</v>
      </c>
      <c r="H3" s="58">
        <v>1450000</v>
      </c>
    </row>
    <row r="4" spans="1:8">
      <c r="A4" s="59" t="s">
        <v>241</v>
      </c>
      <c r="B4" s="59" t="s">
        <v>86</v>
      </c>
      <c r="C4" s="59" t="s">
        <v>97</v>
      </c>
      <c r="D4" s="58">
        <v>1280000</v>
      </c>
      <c r="E4" s="58">
        <v>100000</v>
      </c>
      <c r="F4" s="58">
        <v>70000</v>
      </c>
      <c r="G4" s="58">
        <v>0</v>
      </c>
      <c r="H4" s="58">
        <v>1450000</v>
      </c>
    </row>
    <row r="5" spans="1:8">
      <c r="A5" s="59" t="s">
        <v>242</v>
      </c>
      <c r="B5" s="59" t="s">
        <v>96</v>
      </c>
      <c r="C5" s="59" t="s">
        <v>97</v>
      </c>
      <c r="D5" s="58">
        <v>1020000</v>
      </c>
      <c r="E5" s="58">
        <v>100000</v>
      </c>
      <c r="F5" s="58">
        <v>70000</v>
      </c>
      <c r="G5" s="58">
        <v>0</v>
      </c>
      <c r="H5" s="58">
        <v>1190000</v>
      </c>
    </row>
    <row r="6" spans="1:8">
      <c r="A6" s="59" t="s">
        <v>243</v>
      </c>
      <c r="B6" s="59" t="s">
        <v>96</v>
      </c>
      <c r="C6" s="59" t="s">
        <v>91</v>
      </c>
      <c r="D6" s="58">
        <v>1793700</v>
      </c>
      <c r="E6" s="58">
        <v>100000</v>
      </c>
      <c r="F6" s="58">
        <v>0</v>
      </c>
      <c r="G6" s="58">
        <v>300000</v>
      </c>
      <c r="H6" s="58">
        <v>2193700</v>
      </c>
    </row>
    <row r="7" spans="1:8">
      <c r="A7" s="59" t="s">
        <v>99</v>
      </c>
      <c r="B7" s="59" t="s">
        <v>96</v>
      </c>
      <c r="C7" s="59" t="s">
        <v>97</v>
      </c>
      <c r="D7" s="58">
        <v>1020000</v>
      </c>
      <c r="E7" s="58">
        <v>100000</v>
      </c>
      <c r="F7" s="58">
        <v>70000</v>
      </c>
      <c r="G7" s="58">
        <v>0</v>
      </c>
      <c r="H7" s="58">
        <v>1190000</v>
      </c>
    </row>
    <row r="8" spans="1:8">
      <c r="A8" s="59" t="s">
        <v>178</v>
      </c>
      <c r="B8" s="59" t="s">
        <v>175</v>
      </c>
      <c r="C8" s="59" t="s">
        <v>91</v>
      </c>
      <c r="D8" s="58">
        <v>1388900</v>
      </c>
      <c r="E8" s="58">
        <v>100000</v>
      </c>
      <c r="F8" s="58">
        <v>0</v>
      </c>
      <c r="G8" s="58">
        <v>300000</v>
      </c>
      <c r="H8" s="58">
        <v>1788900</v>
      </c>
    </row>
    <row r="9" spans="1:8">
      <c r="A9" s="59" t="s">
        <v>177</v>
      </c>
      <c r="B9" s="59" t="s">
        <v>175</v>
      </c>
      <c r="C9" s="59" t="s">
        <v>105</v>
      </c>
      <c r="D9" s="58">
        <v>2768100</v>
      </c>
      <c r="E9" s="58">
        <v>100000</v>
      </c>
      <c r="F9" s="58">
        <v>0</v>
      </c>
      <c r="G9" s="58">
        <v>300000</v>
      </c>
      <c r="H9" s="58">
        <v>3168100</v>
      </c>
    </row>
    <row r="10" spans="1:8">
      <c r="A10" s="59" t="s">
        <v>101</v>
      </c>
      <c r="B10" s="59" t="s">
        <v>86</v>
      </c>
      <c r="C10" s="59" t="s">
        <v>91</v>
      </c>
      <c r="D10" s="58">
        <v>1428900</v>
      </c>
      <c r="E10" s="58">
        <v>100000</v>
      </c>
      <c r="F10" s="58">
        <v>0</v>
      </c>
      <c r="G10" s="58">
        <v>300000</v>
      </c>
      <c r="H10" s="58">
        <v>1828900</v>
      </c>
    </row>
    <row r="11" spans="1:8">
      <c r="A11" s="59" t="s">
        <v>113</v>
      </c>
      <c r="B11" s="59" t="s">
        <v>86</v>
      </c>
      <c r="C11" s="59" t="s">
        <v>91</v>
      </c>
      <c r="D11" s="58">
        <v>1428900</v>
      </c>
      <c r="E11" s="58">
        <v>100000</v>
      </c>
      <c r="F11" s="58">
        <v>0</v>
      </c>
      <c r="G11" s="58">
        <v>300000</v>
      </c>
      <c r="H11" s="58">
        <v>1828900</v>
      </c>
    </row>
    <row r="12" spans="1:8">
      <c r="A12" s="59" t="s">
        <v>115</v>
      </c>
      <c r="B12" s="59" t="s">
        <v>86</v>
      </c>
      <c r="C12" s="59" t="s">
        <v>105</v>
      </c>
      <c r="D12" s="58">
        <v>3002900</v>
      </c>
      <c r="E12" s="58">
        <v>100000</v>
      </c>
      <c r="F12" s="58">
        <v>0</v>
      </c>
      <c r="G12" s="58">
        <v>300000</v>
      </c>
      <c r="H12" s="58">
        <v>3402900</v>
      </c>
    </row>
    <row r="13" spans="1:8">
      <c r="A13" s="59" t="s">
        <v>244</v>
      </c>
      <c r="B13" s="59" t="s">
        <v>96</v>
      </c>
      <c r="C13" s="59" t="s">
        <v>91</v>
      </c>
      <c r="D13" s="58">
        <v>1468900</v>
      </c>
      <c r="E13" s="58">
        <v>100000</v>
      </c>
      <c r="F13" s="58">
        <v>0</v>
      </c>
      <c r="G13" s="58">
        <v>300000</v>
      </c>
      <c r="H13" s="58">
        <v>1868900</v>
      </c>
    </row>
    <row r="14" spans="1:8">
      <c r="A14" s="59" t="s">
        <v>245</v>
      </c>
      <c r="B14" s="59" t="s">
        <v>96</v>
      </c>
      <c r="C14" s="59" t="s">
        <v>91</v>
      </c>
      <c r="D14" s="58">
        <v>1468900</v>
      </c>
      <c r="E14" s="58">
        <v>100000</v>
      </c>
      <c r="F14" s="58">
        <v>0</v>
      </c>
      <c r="G14" s="58">
        <v>300000</v>
      </c>
      <c r="H14" s="58">
        <v>1868900</v>
      </c>
    </row>
    <row r="15" spans="1:8">
      <c r="A15" s="59" t="s">
        <v>246</v>
      </c>
      <c r="B15" s="59" t="s">
        <v>96</v>
      </c>
      <c r="C15" s="59" t="s">
        <v>91</v>
      </c>
      <c r="D15" s="58">
        <v>1468900</v>
      </c>
      <c r="E15" s="58">
        <v>100000</v>
      </c>
      <c r="F15" s="58">
        <v>0</v>
      </c>
      <c r="G15" s="58">
        <v>300000</v>
      </c>
      <c r="H15" s="58">
        <v>1868900</v>
      </c>
    </row>
    <row r="16" spans="1:8">
      <c r="A16" s="59" t="s">
        <v>176</v>
      </c>
      <c r="B16" s="59" t="s">
        <v>175</v>
      </c>
      <c r="C16" s="59" t="s">
        <v>102</v>
      </c>
      <c r="D16" s="58">
        <v>845200</v>
      </c>
      <c r="E16" s="58">
        <v>100000</v>
      </c>
      <c r="F16" s="58">
        <v>70000</v>
      </c>
      <c r="G16" s="58">
        <v>0</v>
      </c>
      <c r="H16" s="58">
        <v>1015200</v>
      </c>
    </row>
    <row r="17" spans="1:8">
      <c r="A17" s="59" t="s">
        <v>174</v>
      </c>
      <c r="B17" s="59" t="s">
        <v>175</v>
      </c>
      <c r="C17" s="59" t="s">
        <v>102</v>
      </c>
      <c r="D17" s="58">
        <v>845200</v>
      </c>
      <c r="E17" s="58">
        <v>100000</v>
      </c>
      <c r="F17" s="58">
        <v>70000</v>
      </c>
      <c r="G17" s="58">
        <v>0</v>
      </c>
      <c r="H17" s="58">
        <v>1015200</v>
      </c>
    </row>
    <row r="18" spans="1:8">
      <c r="A18" s="59" t="s">
        <v>247</v>
      </c>
      <c r="B18" s="59" t="s">
        <v>90</v>
      </c>
      <c r="C18" s="59" t="s">
        <v>97</v>
      </c>
      <c r="D18" s="58">
        <v>1020000</v>
      </c>
      <c r="E18" s="58">
        <v>100000</v>
      </c>
      <c r="F18" s="58">
        <v>70000</v>
      </c>
      <c r="G18" s="58">
        <v>0</v>
      </c>
      <c r="H18" s="58">
        <v>1190000</v>
      </c>
    </row>
    <row r="19" spans="1:8">
      <c r="A19" s="59" t="s">
        <v>111</v>
      </c>
      <c r="B19" s="59" t="s">
        <v>90</v>
      </c>
      <c r="C19" s="59" t="s">
        <v>97</v>
      </c>
      <c r="D19" s="58">
        <v>798900</v>
      </c>
      <c r="E19" s="58">
        <v>100000</v>
      </c>
      <c r="F19" s="58">
        <v>70000</v>
      </c>
      <c r="G19" s="58">
        <v>0</v>
      </c>
      <c r="H19" s="58">
        <v>968900</v>
      </c>
    </row>
    <row r="20" spans="1:8">
      <c r="A20" s="59" t="s">
        <v>114</v>
      </c>
      <c r="B20" s="59" t="s">
        <v>96</v>
      </c>
      <c r="C20" s="59" t="s">
        <v>102</v>
      </c>
      <c r="D20" s="58">
        <v>766300</v>
      </c>
      <c r="E20" s="58">
        <v>100000</v>
      </c>
      <c r="F20" s="58">
        <v>70000</v>
      </c>
      <c r="G20" s="58">
        <v>0</v>
      </c>
      <c r="H20" s="58">
        <v>936300</v>
      </c>
    </row>
    <row r="21" spans="1:8">
      <c r="A21" s="59" t="s">
        <v>248</v>
      </c>
      <c r="B21" s="59" t="s">
        <v>96</v>
      </c>
      <c r="C21" s="59" t="s">
        <v>97</v>
      </c>
      <c r="D21" s="58">
        <v>1250000</v>
      </c>
      <c r="E21" s="58">
        <v>100000</v>
      </c>
      <c r="F21" s="58">
        <v>70000</v>
      </c>
      <c r="G21" s="58">
        <v>0</v>
      </c>
      <c r="H21" s="58">
        <v>1420000</v>
      </c>
    </row>
    <row r="22" spans="1:8">
      <c r="A22" s="59" t="s">
        <v>179</v>
      </c>
      <c r="B22" s="59" t="s">
        <v>96</v>
      </c>
      <c r="C22" s="59" t="s">
        <v>102</v>
      </c>
      <c r="D22" s="58">
        <v>766300</v>
      </c>
      <c r="E22" s="58">
        <v>100000</v>
      </c>
      <c r="F22" s="58">
        <v>70000</v>
      </c>
      <c r="G22" s="58">
        <v>0</v>
      </c>
      <c r="H22" s="58">
        <v>936300</v>
      </c>
    </row>
    <row r="23" spans="1:8">
      <c r="A23" s="59" t="s">
        <v>89</v>
      </c>
      <c r="B23" s="59" t="s">
        <v>90</v>
      </c>
      <c r="C23" s="59" t="s">
        <v>87</v>
      </c>
      <c r="D23" s="58">
        <v>2303300</v>
      </c>
      <c r="E23" s="58">
        <v>100000</v>
      </c>
      <c r="F23" s="58">
        <v>0</v>
      </c>
      <c r="G23" s="58">
        <v>300000</v>
      </c>
      <c r="H23" s="58">
        <v>2703300</v>
      </c>
    </row>
    <row r="24" spans="1:8">
      <c r="A24" s="59" t="s">
        <v>180</v>
      </c>
      <c r="B24" s="59" t="s">
        <v>96</v>
      </c>
      <c r="C24" s="59" t="s">
        <v>102</v>
      </c>
      <c r="D24" s="58">
        <v>766300</v>
      </c>
      <c r="E24" s="58">
        <v>100000</v>
      </c>
      <c r="F24" s="58">
        <v>70000</v>
      </c>
      <c r="G24" s="58">
        <v>0</v>
      </c>
      <c r="H24" s="58">
        <v>936300</v>
      </c>
    </row>
    <row r="25" spans="1:8">
      <c r="A25" s="59" t="s">
        <v>249</v>
      </c>
      <c r="B25" s="59" t="s">
        <v>96</v>
      </c>
      <c r="C25" s="59" t="s">
        <v>105</v>
      </c>
      <c r="D25" s="58">
        <v>2608100</v>
      </c>
      <c r="E25" s="58">
        <v>100000</v>
      </c>
      <c r="F25" s="58">
        <v>0</v>
      </c>
      <c r="G25" s="58">
        <v>300000</v>
      </c>
      <c r="H25" s="58">
        <v>3008100</v>
      </c>
    </row>
    <row r="26" spans="1:8">
      <c r="A26" s="59" t="s">
        <v>112</v>
      </c>
      <c r="B26" s="59" t="s">
        <v>96</v>
      </c>
      <c r="C26" s="59" t="s">
        <v>102</v>
      </c>
      <c r="D26" s="58">
        <v>766300</v>
      </c>
      <c r="E26" s="58">
        <v>100000</v>
      </c>
      <c r="F26" s="58">
        <v>70000</v>
      </c>
      <c r="G26" s="58">
        <v>0</v>
      </c>
      <c r="H26" s="58">
        <v>936300</v>
      </c>
    </row>
    <row r="27" spans="1:8">
      <c r="A27" s="59" t="s">
        <v>250</v>
      </c>
      <c r="B27" s="59" t="s">
        <v>90</v>
      </c>
      <c r="C27" s="59" t="s">
        <v>105</v>
      </c>
      <c r="D27" s="58">
        <v>2912900</v>
      </c>
      <c r="E27" s="58">
        <v>100000</v>
      </c>
      <c r="F27" s="58">
        <v>0</v>
      </c>
      <c r="G27" s="58">
        <v>300000</v>
      </c>
      <c r="H27" s="58">
        <v>3312900</v>
      </c>
    </row>
    <row r="28" spans="1:8">
      <c r="A28" s="59" t="s">
        <v>95</v>
      </c>
      <c r="B28" s="59" t="s">
        <v>96</v>
      </c>
      <c r="C28" s="59" t="s">
        <v>102</v>
      </c>
      <c r="D28" s="58">
        <v>766300</v>
      </c>
      <c r="E28" s="58">
        <v>100000</v>
      </c>
      <c r="F28" s="58">
        <v>70000</v>
      </c>
      <c r="G28" s="58">
        <v>0</v>
      </c>
      <c r="H28" s="58">
        <v>936300</v>
      </c>
    </row>
    <row r="29" spans="1:8">
      <c r="A29" s="59" t="s">
        <v>251</v>
      </c>
      <c r="B29" s="59" t="s">
        <v>86</v>
      </c>
      <c r="C29" s="59" t="s">
        <v>102</v>
      </c>
      <c r="D29" s="58">
        <v>673600</v>
      </c>
      <c r="E29" s="58">
        <v>100000</v>
      </c>
      <c r="F29" s="58">
        <v>70000</v>
      </c>
      <c r="G29" s="58">
        <v>0</v>
      </c>
      <c r="H29" s="58">
        <v>843600</v>
      </c>
    </row>
    <row r="30" spans="1:8">
      <c r="A30" s="59" t="s">
        <v>252</v>
      </c>
      <c r="B30" s="59" t="s">
        <v>86</v>
      </c>
      <c r="C30" s="59" t="s">
        <v>97</v>
      </c>
      <c r="D30" s="58">
        <v>1020000</v>
      </c>
      <c r="E30" s="58">
        <v>100000</v>
      </c>
      <c r="F30" s="58">
        <v>70000</v>
      </c>
      <c r="G30" s="58">
        <v>0</v>
      </c>
      <c r="H30" s="58">
        <v>1190000</v>
      </c>
    </row>
    <row r="31" spans="1:8">
      <c r="A31" s="59" t="s">
        <v>109</v>
      </c>
      <c r="B31" s="59" t="s">
        <v>86</v>
      </c>
      <c r="C31" s="59" t="s">
        <v>97</v>
      </c>
      <c r="D31" s="58">
        <v>1280000</v>
      </c>
      <c r="E31" s="58">
        <v>100000</v>
      </c>
      <c r="F31" s="58">
        <v>70000</v>
      </c>
      <c r="G31" s="58">
        <v>0</v>
      </c>
      <c r="H31" s="58">
        <v>1450000</v>
      </c>
    </row>
    <row r="32" spans="1:8">
      <c r="A32" s="59" t="s">
        <v>93</v>
      </c>
      <c r="B32" s="59" t="s">
        <v>86</v>
      </c>
      <c r="C32" s="59" t="s">
        <v>97</v>
      </c>
      <c r="D32" s="58">
        <v>798900</v>
      </c>
      <c r="E32" s="58">
        <v>100000</v>
      </c>
      <c r="F32" s="58">
        <v>70000</v>
      </c>
      <c r="G32" s="58">
        <v>0</v>
      </c>
      <c r="H32" s="58">
        <v>968900</v>
      </c>
    </row>
    <row r="33" spans="1:8">
      <c r="A33" s="59" t="s">
        <v>85</v>
      </c>
      <c r="B33" s="59" t="s">
        <v>86</v>
      </c>
      <c r="C33" s="59" t="s">
        <v>97</v>
      </c>
      <c r="D33" s="58">
        <v>1280000</v>
      </c>
      <c r="E33" s="58">
        <v>100000</v>
      </c>
      <c r="F33" s="58">
        <v>70000</v>
      </c>
      <c r="G33" s="58">
        <v>0</v>
      </c>
      <c r="H33" s="58">
        <v>1450000</v>
      </c>
    </row>
    <row r="34" spans="1:8">
      <c r="A34" s="59" t="s">
        <v>253</v>
      </c>
      <c r="B34" s="59" t="s">
        <v>86</v>
      </c>
      <c r="C34" s="59" t="s">
        <v>102</v>
      </c>
      <c r="D34" s="58">
        <v>653500</v>
      </c>
      <c r="E34" s="58">
        <v>100000</v>
      </c>
      <c r="F34" s="58">
        <v>70000</v>
      </c>
      <c r="G34" s="58">
        <v>0</v>
      </c>
      <c r="H34" s="58">
        <v>823500</v>
      </c>
    </row>
    <row r="35" spans="1:8">
      <c r="A35" s="59" t="s">
        <v>104</v>
      </c>
      <c r="B35" s="59" t="s">
        <v>86</v>
      </c>
      <c r="C35" s="59" t="s">
        <v>105</v>
      </c>
      <c r="D35" s="58">
        <v>2688100</v>
      </c>
      <c r="E35" s="58">
        <v>100000</v>
      </c>
      <c r="F35" s="58">
        <v>0</v>
      </c>
      <c r="G35" s="58">
        <v>300000</v>
      </c>
      <c r="H35" s="58">
        <v>3088100</v>
      </c>
    </row>
    <row r="36" spans="1:8">
      <c r="A36" s="59" t="s">
        <v>254</v>
      </c>
      <c r="B36" s="59" t="s">
        <v>96</v>
      </c>
      <c r="C36" s="59" t="s">
        <v>87</v>
      </c>
      <c r="D36" s="58">
        <v>2373300</v>
      </c>
      <c r="E36" s="58">
        <v>100000</v>
      </c>
      <c r="F36" s="58">
        <v>0</v>
      </c>
      <c r="G36" s="58">
        <v>300000</v>
      </c>
      <c r="H36" s="58">
        <v>2773300</v>
      </c>
    </row>
    <row r="37" spans="1:8">
      <c r="A37" s="59" t="s">
        <v>255</v>
      </c>
      <c r="B37" s="59" t="s">
        <v>86</v>
      </c>
      <c r="C37" s="59" t="s">
        <v>102</v>
      </c>
      <c r="D37" s="58">
        <v>653500</v>
      </c>
      <c r="E37" s="58">
        <v>100000</v>
      </c>
      <c r="F37" s="58">
        <v>70000</v>
      </c>
      <c r="G37" s="58">
        <v>0</v>
      </c>
      <c r="H37" s="58">
        <v>823500</v>
      </c>
    </row>
    <row r="38" spans="1:8">
      <c r="A38" s="59" t="s">
        <v>256</v>
      </c>
      <c r="B38" s="59" t="s">
        <v>86</v>
      </c>
      <c r="C38" s="59" t="s">
        <v>102</v>
      </c>
      <c r="D38" s="58">
        <v>653500</v>
      </c>
      <c r="E38" s="58">
        <v>100000</v>
      </c>
      <c r="F38" s="58">
        <v>70000</v>
      </c>
      <c r="G38" s="58">
        <v>0</v>
      </c>
      <c r="H38" s="58">
        <v>823500</v>
      </c>
    </row>
    <row r="39" spans="1:8">
      <c r="A39" s="59" t="s">
        <v>257</v>
      </c>
      <c r="B39" s="59" t="s">
        <v>96</v>
      </c>
      <c r="C39" s="59" t="s">
        <v>105</v>
      </c>
      <c r="D39" s="58">
        <v>3002900</v>
      </c>
      <c r="E39" s="58">
        <v>100000</v>
      </c>
      <c r="F39" s="58">
        <v>0</v>
      </c>
      <c r="G39" s="58">
        <v>300000</v>
      </c>
      <c r="H39" s="58">
        <v>3402900</v>
      </c>
    </row>
    <row r="40" spans="1:8">
      <c r="A40" s="59" t="s">
        <v>258</v>
      </c>
      <c r="B40" s="59" t="s">
        <v>86</v>
      </c>
      <c r="C40" s="59" t="s">
        <v>102</v>
      </c>
      <c r="D40" s="58">
        <v>653500</v>
      </c>
      <c r="E40" s="58">
        <v>100000</v>
      </c>
      <c r="F40" s="58">
        <v>70000</v>
      </c>
      <c r="G40" s="58">
        <v>0</v>
      </c>
      <c r="H40" s="58">
        <v>823500</v>
      </c>
    </row>
    <row r="41" spans="1:8">
      <c r="A41" s="59" t="s">
        <v>259</v>
      </c>
      <c r="B41" s="59" t="s">
        <v>86</v>
      </c>
      <c r="C41" s="59" t="s">
        <v>87</v>
      </c>
      <c r="D41" s="58">
        <v>2058500</v>
      </c>
      <c r="E41" s="58">
        <v>100000</v>
      </c>
      <c r="F41" s="58">
        <v>0</v>
      </c>
      <c r="G41" s="58">
        <v>300000</v>
      </c>
      <c r="H41" s="58">
        <v>2458500</v>
      </c>
    </row>
    <row r="42" spans="1:8">
      <c r="A42" s="59" t="s">
        <v>260</v>
      </c>
      <c r="B42" s="59" t="s">
        <v>96</v>
      </c>
      <c r="C42" s="59" t="s">
        <v>87</v>
      </c>
      <c r="D42" s="58">
        <v>2373300</v>
      </c>
      <c r="E42" s="58">
        <v>100000</v>
      </c>
      <c r="F42" s="58">
        <v>0</v>
      </c>
      <c r="G42" s="58">
        <v>300000</v>
      </c>
      <c r="H42" s="58">
        <v>2773300</v>
      </c>
    </row>
    <row r="43" spans="1:8">
      <c r="A43" s="59" t="s">
        <v>261</v>
      </c>
      <c r="B43" s="59" t="s">
        <v>86</v>
      </c>
      <c r="C43" s="59" t="s">
        <v>102</v>
      </c>
      <c r="D43" s="58">
        <v>653500</v>
      </c>
      <c r="E43" s="58">
        <v>100000</v>
      </c>
      <c r="F43" s="58">
        <v>70000</v>
      </c>
      <c r="G43" s="58">
        <v>0</v>
      </c>
      <c r="H43" s="58">
        <v>823500</v>
      </c>
    </row>
    <row r="44" spans="1:8">
      <c r="A44" s="59" t="s">
        <v>262</v>
      </c>
      <c r="B44" s="59" t="s">
        <v>90</v>
      </c>
      <c r="C44" s="59" t="s">
        <v>105</v>
      </c>
      <c r="D44" s="58">
        <v>2608100</v>
      </c>
      <c r="E44" s="58">
        <v>100000</v>
      </c>
      <c r="F44" s="58">
        <v>0</v>
      </c>
      <c r="G44" s="58">
        <v>300000</v>
      </c>
      <c r="H44" s="58">
        <v>3008100</v>
      </c>
    </row>
    <row r="45" spans="1:8">
      <c r="A45" s="59" t="s">
        <v>100</v>
      </c>
      <c r="B45" s="59" t="s">
        <v>90</v>
      </c>
      <c r="C45" s="59" t="s">
        <v>102</v>
      </c>
      <c r="D45" s="58">
        <v>633400</v>
      </c>
      <c r="E45" s="58">
        <v>100000</v>
      </c>
      <c r="F45" s="58">
        <v>70000</v>
      </c>
      <c r="G45" s="58">
        <v>0</v>
      </c>
      <c r="H45" s="58">
        <v>803400</v>
      </c>
    </row>
    <row r="46" spans="1:8">
      <c r="A46" s="59" t="s">
        <v>263</v>
      </c>
      <c r="B46" s="59" t="s">
        <v>90</v>
      </c>
      <c r="C46" s="59" t="s">
        <v>97</v>
      </c>
      <c r="D46" s="58">
        <v>1250000</v>
      </c>
      <c r="E46" s="58">
        <v>100000</v>
      </c>
      <c r="F46" s="58">
        <v>70000</v>
      </c>
      <c r="G46" s="58">
        <v>0</v>
      </c>
      <c r="H46" s="58">
        <v>1420000</v>
      </c>
    </row>
    <row r="47" spans="1:8">
      <c r="A47" s="59" t="s">
        <v>106</v>
      </c>
      <c r="B47" s="59" t="s">
        <v>90</v>
      </c>
      <c r="C47" s="59" t="s">
        <v>97</v>
      </c>
      <c r="D47" s="58">
        <v>1250000</v>
      </c>
      <c r="E47" s="58">
        <v>100000</v>
      </c>
      <c r="F47" s="58">
        <v>70000</v>
      </c>
      <c r="G47" s="58">
        <v>0</v>
      </c>
      <c r="H47" s="58">
        <v>1420000</v>
      </c>
    </row>
    <row r="48" spans="1:8">
      <c r="A48" s="59" t="s">
        <v>264</v>
      </c>
      <c r="B48" s="59" t="s">
        <v>90</v>
      </c>
      <c r="C48" s="59" t="s">
        <v>91</v>
      </c>
      <c r="D48" s="58">
        <v>1793700</v>
      </c>
      <c r="E48" s="58">
        <v>100000</v>
      </c>
      <c r="F48" s="58">
        <v>0</v>
      </c>
      <c r="G48" s="58">
        <v>300000</v>
      </c>
      <c r="H48" s="58">
        <v>2193700</v>
      </c>
    </row>
    <row r="49" spans="1:8">
      <c r="A49" s="59" t="s">
        <v>265</v>
      </c>
      <c r="B49" s="59" t="s">
        <v>90</v>
      </c>
      <c r="C49" s="59" t="s">
        <v>105</v>
      </c>
      <c r="D49" s="58">
        <v>3092900</v>
      </c>
      <c r="E49" s="58">
        <v>100000</v>
      </c>
      <c r="F49" s="58">
        <v>0</v>
      </c>
      <c r="G49" s="58">
        <v>300000</v>
      </c>
      <c r="H49" s="58">
        <v>3492900</v>
      </c>
    </row>
    <row r="50" spans="1:8">
      <c r="A50" s="59" t="s">
        <v>266</v>
      </c>
      <c r="B50" s="59" t="s">
        <v>90</v>
      </c>
      <c r="C50" s="59" t="s">
        <v>97</v>
      </c>
      <c r="D50" s="58">
        <v>1250000</v>
      </c>
      <c r="E50" s="58">
        <v>100000</v>
      </c>
      <c r="F50" s="58">
        <v>70000</v>
      </c>
      <c r="G50" s="58">
        <v>0</v>
      </c>
      <c r="H50" s="58">
        <v>1420000</v>
      </c>
    </row>
  </sheetData>
  <phoneticPr fontId="4" type="noConversion"/>
  <printOptions heading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Header>&amp;R&amp;G</oddHeader>
  </headerFooter>
  <rowBreaks count="1" manualBreakCount="1">
    <brk id="25" max="16383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7"/>
  <sheetViews>
    <sheetView workbookViewId="0">
      <selection activeCell="F25" sqref="F25:F26"/>
    </sheetView>
  </sheetViews>
  <sheetFormatPr defaultRowHeight="16.5"/>
  <cols>
    <col min="1" max="1" width="7.125" style="1" bestFit="1" customWidth="1"/>
    <col min="2" max="2" width="14.75" style="1" bestFit="1" customWidth="1"/>
    <col min="3" max="3" width="13.125" style="1" bestFit="1" customWidth="1"/>
    <col min="4" max="4" width="5.25" style="1" bestFit="1" customWidth="1"/>
    <col min="5" max="5" width="6.875" style="1" bestFit="1" customWidth="1"/>
    <col min="6" max="6" width="10.875" style="1" bestFit="1" customWidth="1"/>
    <col min="7" max="7" width="9.375" style="1" bestFit="1" customWidth="1"/>
    <col min="8" max="8" width="10.875" style="1" bestFit="1" customWidth="1"/>
    <col min="9" max="9" width="11" style="1" bestFit="1" customWidth="1"/>
    <col min="10" max="10" width="10.875" style="1" bestFit="1" customWidth="1"/>
    <col min="11" max="11" width="11" style="1" bestFit="1" customWidth="1"/>
    <col min="12" max="12" width="12.375" style="1" customWidth="1"/>
    <col min="13" max="13" width="13.875" style="1" bestFit="1" customWidth="1"/>
    <col min="14" max="16384" width="9" style="1"/>
  </cols>
  <sheetData>
    <row r="1" spans="1:12">
      <c r="A1" s="1" t="s">
        <v>53</v>
      </c>
      <c r="E1" s="1" t="s">
        <v>54</v>
      </c>
      <c r="F1" s="1" t="s">
        <v>56</v>
      </c>
    </row>
    <row r="2" spans="1:12">
      <c r="A2" s="3" t="s">
        <v>57</v>
      </c>
      <c r="B2" s="4" t="s">
        <v>58</v>
      </c>
      <c r="C2" s="4" t="s">
        <v>59</v>
      </c>
      <c r="E2" s="5"/>
      <c r="F2" s="3" t="s">
        <v>60</v>
      </c>
      <c r="G2" s="3" t="s">
        <v>61</v>
      </c>
      <c r="H2" s="3" t="s">
        <v>62</v>
      </c>
      <c r="I2" s="3" t="s">
        <v>63</v>
      </c>
      <c r="J2" s="3" t="s">
        <v>64</v>
      </c>
    </row>
    <row r="3" spans="1:12">
      <c r="A3" s="6" t="s">
        <v>65</v>
      </c>
      <c r="B3" s="3" t="str">
        <f t="array" ref="B3">SUM(IF( ($B$12:$B$27=A3)*( ($E$12:$E$27="2호봉")+($E$12:$E$27="3호봉") ),1) ) &amp; "명"</f>
        <v>3명</v>
      </c>
      <c r="C3" s="7">
        <f t="array" ref="C3">MAX(($B$12:$B$27=A3)*$F$12:$F$27)-AVERAGE(IF($B$12:$B$27=A3,$F$12:$F$27))</f>
        <v>574950</v>
      </c>
      <c r="E3" s="3" t="s">
        <v>66</v>
      </c>
      <c r="F3" s="8">
        <v>633400</v>
      </c>
      <c r="G3" s="8">
        <v>766300</v>
      </c>
      <c r="H3" s="8">
        <v>989200</v>
      </c>
      <c r="I3" s="8">
        <v>1250000</v>
      </c>
      <c r="J3" s="8">
        <v>1388900</v>
      </c>
    </row>
    <row r="4" spans="1:12">
      <c r="A4" s="6" t="s">
        <v>67</v>
      </c>
      <c r="B4" s="3" t="str">
        <f t="array" ref="B4">SUM(IF( ($B$12:$B$27=A4)*( ($E$12:$E$27="2호봉")+($E$12:$E$27="3호봉") ),1) ) &amp; "명"</f>
        <v>2명</v>
      </c>
      <c r="C4" s="7">
        <f t="array" ref="C4">MAX(($B$12:$B$27=A4)*$F$12:$F$27)-AVERAGE(IF($B$12:$B$27=A4,$F$12:$F$27))</f>
        <v>363050</v>
      </c>
      <c r="E4" s="3" t="s">
        <v>68</v>
      </c>
      <c r="F4" s="8">
        <v>653500</v>
      </c>
      <c r="G4" s="8">
        <v>792600</v>
      </c>
      <c r="H4" s="8">
        <v>798900</v>
      </c>
      <c r="I4" s="8">
        <v>1280000</v>
      </c>
      <c r="J4" s="8">
        <v>1428900</v>
      </c>
    </row>
    <row r="5" spans="1:12">
      <c r="A5" s="6" t="s">
        <v>69</v>
      </c>
      <c r="B5" s="3" t="str">
        <f t="array" ref="B5">SUM(IF( ($B$12:$B$27=A5)*( ($E$12:$E$27="2호봉")+($E$12:$E$27="3호봉") ),1) ) &amp; "명"</f>
        <v>3명</v>
      </c>
      <c r="C5" s="7">
        <f t="array" ref="C5">MAX(($B$12:$B$27=A5)*$F$12:$F$27)-AVERAGE(IF($B$12:$B$27=A5,$F$12:$F$27))</f>
        <v>105525</v>
      </c>
      <c r="E5" s="3" t="s">
        <v>70</v>
      </c>
      <c r="F5" s="8">
        <v>673600</v>
      </c>
      <c r="G5" s="8">
        <v>818900</v>
      </c>
      <c r="H5" s="8">
        <v>1020000</v>
      </c>
      <c r="I5" s="8">
        <v>1310000</v>
      </c>
      <c r="J5" s="8">
        <v>1468900</v>
      </c>
    </row>
    <row r="6" spans="1:12">
      <c r="E6" s="3" t="s">
        <v>71</v>
      </c>
      <c r="F6" s="8">
        <v>693700</v>
      </c>
      <c r="G6" s="8">
        <v>845200</v>
      </c>
      <c r="H6" s="8">
        <v>1342600</v>
      </c>
      <c r="I6" s="8">
        <v>1340000</v>
      </c>
      <c r="J6" s="8">
        <v>1508900</v>
      </c>
    </row>
    <row r="7" spans="1:12">
      <c r="E7" s="3" t="s">
        <v>72</v>
      </c>
      <c r="F7" s="8">
        <v>713800</v>
      </c>
      <c r="G7" s="8">
        <v>871500</v>
      </c>
      <c r="H7" s="8">
        <v>1465000</v>
      </c>
      <c r="I7" s="8">
        <v>1370000</v>
      </c>
      <c r="J7" s="8">
        <v>1548900</v>
      </c>
    </row>
    <row r="8" spans="1:12">
      <c r="E8" s="3" t="s">
        <v>73</v>
      </c>
      <c r="F8" s="8">
        <v>733900</v>
      </c>
      <c r="G8" s="8">
        <v>897800</v>
      </c>
      <c r="H8" s="8">
        <v>2151100</v>
      </c>
      <c r="I8" s="8">
        <v>1400000</v>
      </c>
      <c r="J8" s="8">
        <v>1588900</v>
      </c>
    </row>
    <row r="9" spans="1:12">
      <c r="C9" s="9"/>
      <c r="E9" s="10"/>
    </row>
    <row r="10" spans="1:12">
      <c r="A10" s="1" t="s">
        <v>74</v>
      </c>
    </row>
    <row r="11" spans="1:12" s="12" customFormat="1">
      <c r="A11" s="3" t="s">
        <v>75</v>
      </c>
      <c r="B11" s="3" t="s">
        <v>57</v>
      </c>
      <c r="C11" s="3" t="s">
        <v>76</v>
      </c>
      <c r="D11" s="4" t="s">
        <v>77</v>
      </c>
      <c r="E11" s="3" t="s">
        <v>78</v>
      </c>
      <c r="F11" s="11" t="s">
        <v>79</v>
      </c>
      <c r="G11" s="3" t="s">
        <v>80</v>
      </c>
      <c r="H11" s="3" t="s">
        <v>81</v>
      </c>
      <c r="I11" s="3" t="s">
        <v>82</v>
      </c>
      <c r="J11" s="4" t="s">
        <v>83</v>
      </c>
      <c r="K11" s="4" t="s">
        <v>84</v>
      </c>
    </row>
    <row r="12" spans="1:12">
      <c r="A12" s="3" t="s">
        <v>85</v>
      </c>
      <c r="B12" s="3" t="s">
        <v>86</v>
      </c>
      <c r="C12" s="3" t="s">
        <v>87</v>
      </c>
      <c r="D12" s="3" t="str">
        <f>CONCATENATE(MATCH(C12,$F$2:$J$2,0),"급")</f>
        <v>4급</v>
      </c>
      <c r="E12" s="3" t="s">
        <v>88</v>
      </c>
      <c r="F12" s="13">
        <v>1340000</v>
      </c>
      <c r="G12" s="13">
        <f t="shared" ref="G12:G27" si="0">100000</f>
        <v>100000</v>
      </c>
      <c r="H12" s="13">
        <v>70000</v>
      </c>
      <c r="I12" s="13">
        <v>0</v>
      </c>
      <c r="J12" s="13">
        <f>fn급여총액(F12,SUM(G12:I12))</f>
        <v>1510000</v>
      </c>
      <c r="K12" s="14">
        <f>FV(4.2%/12,2*12,-J12*50%)</f>
        <v>18868398.309701748</v>
      </c>
      <c r="L12" s="15"/>
    </row>
    <row r="13" spans="1:12">
      <c r="A13" s="3" t="s">
        <v>89</v>
      </c>
      <c r="B13" s="3" t="s">
        <v>90</v>
      </c>
      <c r="C13" s="3" t="s">
        <v>91</v>
      </c>
      <c r="D13" s="3" t="str">
        <f t="shared" ref="D13:D27" si="1">CONCATENATE(MATCH(C13,$F$2:$J$2,0),"급")</f>
        <v>3급</v>
      </c>
      <c r="E13" s="3" t="s">
        <v>92</v>
      </c>
      <c r="F13" s="13">
        <v>1020000</v>
      </c>
      <c r="G13" s="13">
        <f t="shared" si="0"/>
        <v>100000</v>
      </c>
      <c r="H13" s="13">
        <v>50000</v>
      </c>
      <c r="I13" s="13">
        <v>0</v>
      </c>
      <c r="J13" s="13">
        <f t="shared" ref="J13:J27" si="2">fn급여총액(F13,SUM(G13:I13))</f>
        <v>1170000</v>
      </c>
      <c r="K13" s="14">
        <f t="shared" ref="K13:K27" si="3">FV(4.2%/12,2*12,-J13*50%)</f>
        <v>14619884.783013938</v>
      </c>
      <c r="L13" s="15"/>
    </row>
    <row r="14" spans="1:12">
      <c r="A14" s="3" t="s">
        <v>93</v>
      </c>
      <c r="B14" s="3" t="s">
        <v>86</v>
      </c>
      <c r="C14" s="3" t="s">
        <v>60</v>
      </c>
      <c r="D14" s="3" t="str">
        <f t="shared" si="1"/>
        <v>1급</v>
      </c>
      <c r="E14" s="3" t="s">
        <v>94</v>
      </c>
      <c r="F14" s="13">
        <v>653500</v>
      </c>
      <c r="G14" s="13">
        <f t="shared" si="0"/>
        <v>100000</v>
      </c>
      <c r="H14" s="13">
        <v>30000</v>
      </c>
      <c r="I14" s="13">
        <v>0</v>
      </c>
      <c r="J14" s="13">
        <f t="shared" si="2"/>
        <v>783500</v>
      </c>
      <c r="K14" s="14">
        <f t="shared" si="3"/>
        <v>9790324.5534114707</v>
      </c>
      <c r="L14" s="15"/>
    </row>
    <row r="15" spans="1:12">
      <c r="A15" s="3" t="s">
        <v>95</v>
      </c>
      <c r="B15" s="3" t="s">
        <v>96</v>
      </c>
      <c r="C15" s="3" t="s">
        <v>97</v>
      </c>
      <c r="D15" s="3" t="str">
        <f t="shared" si="1"/>
        <v>2급</v>
      </c>
      <c r="E15" s="3" t="s">
        <v>98</v>
      </c>
      <c r="F15" s="13">
        <v>897800</v>
      </c>
      <c r="G15" s="13">
        <f t="shared" si="0"/>
        <v>100000</v>
      </c>
      <c r="H15" s="13">
        <v>50000</v>
      </c>
      <c r="I15" s="13">
        <v>0</v>
      </c>
      <c r="J15" s="13">
        <f t="shared" si="2"/>
        <v>1047800</v>
      </c>
      <c r="K15" s="14">
        <f t="shared" si="3"/>
        <v>13092919.03901026</v>
      </c>
      <c r="L15" s="15"/>
    </row>
    <row r="16" spans="1:12">
      <c r="A16" s="3" t="s">
        <v>99</v>
      </c>
      <c r="B16" s="3" t="s">
        <v>96</v>
      </c>
      <c r="C16" s="3" t="s">
        <v>91</v>
      </c>
      <c r="D16" s="3" t="str">
        <f t="shared" si="1"/>
        <v>3급</v>
      </c>
      <c r="E16" s="3" t="s">
        <v>94</v>
      </c>
      <c r="F16" s="13">
        <v>798900</v>
      </c>
      <c r="G16" s="13">
        <f t="shared" si="0"/>
        <v>100000</v>
      </c>
      <c r="H16" s="13">
        <v>70000</v>
      </c>
      <c r="I16" s="13">
        <v>0</v>
      </c>
      <c r="J16" s="13">
        <f t="shared" si="2"/>
        <v>968900</v>
      </c>
      <c r="K16" s="14">
        <f t="shared" si="3"/>
        <v>12107013.988258295</v>
      </c>
      <c r="L16" s="15"/>
    </row>
    <row r="17" spans="1:12">
      <c r="A17" s="3" t="s">
        <v>100</v>
      </c>
      <c r="B17" s="3" t="s">
        <v>90</v>
      </c>
      <c r="C17" s="3" t="s">
        <v>97</v>
      </c>
      <c r="D17" s="3" t="str">
        <f t="shared" si="1"/>
        <v>2급</v>
      </c>
      <c r="E17" s="3" t="s">
        <v>88</v>
      </c>
      <c r="F17" s="13">
        <v>845200</v>
      </c>
      <c r="G17" s="13">
        <f t="shared" si="0"/>
        <v>100000</v>
      </c>
      <c r="H17" s="13">
        <v>30000</v>
      </c>
      <c r="I17" s="13">
        <v>0</v>
      </c>
      <c r="J17" s="13">
        <f t="shared" si="2"/>
        <v>975200</v>
      </c>
      <c r="K17" s="14">
        <f t="shared" si="3"/>
        <v>12185736.444782216</v>
      </c>
      <c r="L17" s="15"/>
    </row>
    <row r="18" spans="1:12">
      <c r="A18" s="3" t="s">
        <v>101</v>
      </c>
      <c r="B18" s="3" t="s">
        <v>86</v>
      </c>
      <c r="C18" s="3" t="s">
        <v>102</v>
      </c>
      <c r="D18" s="3" t="str">
        <f t="shared" si="1"/>
        <v>1급</v>
      </c>
      <c r="E18" s="3" t="s">
        <v>103</v>
      </c>
      <c r="F18" s="13">
        <v>633400</v>
      </c>
      <c r="G18" s="13">
        <f t="shared" si="0"/>
        <v>100000</v>
      </c>
      <c r="H18" s="13">
        <v>30000</v>
      </c>
      <c r="I18" s="13">
        <v>0</v>
      </c>
      <c r="J18" s="13">
        <f t="shared" si="2"/>
        <v>763400</v>
      </c>
      <c r="K18" s="14">
        <f t="shared" si="3"/>
        <v>9539162.4302161038</v>
      </c>
      <c r="L18" s="15"/>
    </row>
    <row r="19" spans="1:12">
      <c r="A19" s="3" t="s">
        <v>104</v>
      </c>
      <c r="B19" s="3" t="s">
        <v>86</v>
      </c>
      <c r="C19" s="3" t="s">
        <v>105</v>
      </c>
      <c r="D19" s="3" t="str">
        <f t="shared" si="1"/>
        <v>5급</v>
      </c>
      <c r="E19" s="3" t="s">
        <v>98</v>
      </c>
      <c r="F19" s="13">
        <v>1588900</v>
      </c>
      <c r="G19" s="13">
        <f t="shared" si="0"/>
        <v>100000</v>
      </c>
      <c r="H19" s="13">
        <v>10000</v>
      </c>
      <c r="I19" s="13">
        <v>40000</v>
      </c>
      <c r="J19" s="13">
        <f t="shared" si="2"/>
        <v>1738900</v>
      </c>
      <c r="K19" s="14">
        <f t="shared" si="3"/>
        <v>21728647.563404221</v>
      </c>
      <c r="L19" s="15"/>
    </row>
    <row r="20" spans="1:12">
      <c r="A20" s="3" t="s">
        <v>106</v>
      </c>
      <c r="B20" s="3" t="s">
        <v>107</v>
      </c>
      <c r="C20" s="3" t="s">
        <v>87</v>
      </c>
      <c r="D20" s="3" t="str">
        <f t="shared" si="1"/>
        <v>4급</v>
      </c>
      <c r="E20" s="3" t="s">
        <v>108</v>
      </c>
      <c r="F20" s="13">
        <v>1370000</v>
      </c>
      <c r="G20" s="13">
        <f t="shared" si="0"/>
        <v>100000</v>
      </c>
      <c r="H20" s="13">
        <v>70000</v>
      </c>
      <c r="I20" s="13">
        <v>0</v>
      </c>
      <c r="J20" s="13">
        <f t="shared" si="2"/>
        <v>1540000</v>
      </c>
      <c r="K20" s="14">
        <f t="shared" si="3"/>
        <v>19243267.150291849</v>
      </c>
      <c r="L20" s="15"/>
    </row>
    <row r="21" spans="1:12">
      <c r="A21" s="3" t="s">
        <v>109</v>
      </c>
      <c r="B21" s="3" t="s">
        <v>86</v>
      </c>
      <c r="C21" s="3" t="s">
        <v>102</v>
      </c>
      <c r="D21" s="3" t="str">
        <f t="shared" si="1"/>
        <v>1급</v>
      </c>
      <c r="E21" s="3" t="s">
        <v>94</v>
      </c>
      <c r="F21" s="13">
        <v>653500</v>
      </c>
      <c r="G21" s="13">
        <f t="shared" si="0"/>
        <v>100000</v>
      </c>
      <c r="H21" s="13">
        <v>50000</v>
      </c>
      <c r="I21" s="13">
        <v>0</v>
      </c>
      <c r="J21" s="13">
        <f t="shared" si="2"/>
        <v>803500</v>
      </c>
      <c r="K21" s="14">
        <f t="shared" si="3"/>
        <v>10040237.113804871</v>
      </c>
      <c r="L21" s="15"/>
    </row>
    <row r="22" spans="1:12">
      <c r="A22" s="3" t="s">
        <v>110</v>
      </c>
      <c r="B22" s="3" t="s">
        <v>86</v>
      </c>
      <c r="C22" s="3" t="s">
        <v>91</v>
      </c>
      <c r="D22" s="3" t="str">
        <f t="shared" si="1"/>
        <v>3급</v>
      </c>
      <c r="E22" s="3" t="s">
        <v>92</v>
      </c>
      <c r="F22" s="13">
        <v>1020000</v>
      </c>
      <c r="G22" s="13">
        <f t="shared" si="0"/>
        <v>100000</v>
      </c>
      <c r="H22" s="13">
        <v>70000</v>
      </c>
      <c r="I22" s="13">
        <v>0</v>
      </c>
      <c r="J22" s="13">
        <f t="shared" si="2"/>
        <v>1190000</v>
      </c>
      <c r="K22" s="14">
        <f t="shared" si="3"/>
        <v>14869797.343407338</v>
      </c>
      <c r="L22" s="15"/>
    </row>
    <row r="23" spans="1:12">
      <c r="A23" s="3" t="s">
        <v>111</v>
      </c>
      <c r="B23" s="3" t="s">
        <v>90</v>
      </c>
      <c r="C23" s="3" t="s">
        <v>97</v>
      </c>
      <c r="D23" s="3" t="str">
        <f t="shared" si="1"/>
        <v>2급</v>
      </c>
      <c r="E23" s="3" t="s">
        <v>94</v>
      </c>
      <c r="F23" s="13">
        <v>792600</v>
      </c>
      <c r="G23" s="13">
        <f t="shared" si="0"/>
        <v>100000</v>
      </c>
      <c r="H23" s="13">
        <v>70000</v>
      </c>
      <c r="I23" s="13">
        <v>0</v>
      </c>
      <c r="J23" s="13">
        <f t="shared" si="2"/>
        <v>962600</v>
      </c>
      <c r="K23" s="14">
        <f t="shared" si="3"/>
        <v>12028291.531734373</v>
      </c>
      <c r="L23" s="15"/>
    </row>
    <row r="24" spans="1:12">
      <c r="A24" s="3" t="s">
        <v>112</v>
      </c>
      <c r="B24" s="3" t="s">
        <v>96</v>
      </c>
      <c r="C24" s="3" t="s">
        <v>102</v>
      </c>
      <c r="D24" s="3" t="str">
        <f t="shared" si="1"/>
        <v>1급</v>
      </c>
      <c r="E24" s="3" t="s">
        <v>94</v>
      </c>
      <c r="F24" s="13">
        <v>653500</v>
      </c>
      <c r="G24" s="13">
        <f t="shared" si="0"/>
        <v>100000</v>
      </c>
      <c r="H24" s="13">
        <v>50000</v>
      </c>
      <c r="I24" s="13">
        <v>0</v>
      </c>
      <c r="J24" s="13">
        <f t="shared" si="2"/>
        <v>803500</v>
      </c>
      <c r="K24" s="14">
        <f t="shared" si="3"/>
        <v>10040237.113804871</v>
      </c>
      <c r="L24" s="15"/>
    </row>
    <row r="25" spans="1:12">
      <c r="A25" s="3" t="s">
        <v>113</v>
      </c>
      <c r="B25" s="3" t="s">
        <v>86</v>
      </c>
      <c r="C25" s="3" t="s">
        <v>105</v>
      </c>
      <c r="D25" s="3" t="str">
        <f t="shared" si="1"/>
        <v>5급</v>
      </c>
      <c r="E25" s="3" t="s">
        <v>98</v>
      </c>
      <c r="F25" s="13">
        <v>1588900</v>
      </c>
      <c r="G25" s="13">
        <f t="shared" si="0"/>
        <v>100000</v>
      </c>
      <c r="H25" s="13">
        <v>10000</v>
      </c>
      <c r="I25" s="13">
        <v>300000</v>
      </c>
      <c r="J25" s="13">
        <f t="shared" si="2"/>
        <v>1998900</v>
      </c>
      <c r="K25" s="14">
        <f t="shared" si="3"/>
        <v>24977510.848518427</v>
      </c>
      <c r="L25" s="15"/>
    </row>
    <row r="26" spans="1:12">
      <c r="A26" s="3" t="s">
        <v>114</v>
      </c>
      <c r="B26" s="3" t="s">
        <v>96</v>
      </c>
      <c r="C26" s="3" t="s">
        <v>97</v>
      </c>
      <c r="D26" s="3" t="str">
        <f t="shared" si="1"/>
        <v>2급</v>
      </c>
      <c r="E26" s="3" t="s">
        <v>92</v>
      </c>
      <c r="F26" s="13">
        <v>818900</v>
      </c>
      <c r="G26" s="13">
        <f t="shared" si="0"/>
        <v>100000</v>
      </c>
      <c r="H26" s="13">
        <v>30000</v>
      </c>
      <c r="I26" s="13">
        <v>0</v>
      </c>
      <c r="J26" s="13">
        <f t="shared" si="2"/>
        <v>948900</v>
      </c>
      <c r="K26" s="14">
        <f t="shared" si="3"/>
        <v>11857101.427864894</v>
      </c>
      <c r="L26" s="15"/>
    </row>
    <row r="27" spans="1:12">
      <c r="A27" s="3" t="s">
        <v>115</v>
      </c>
      <c r="B27" s="3" t="s">
        <v>86</v>
      </c>
      <c r="C27" s="3" t="s">
        <v>102</v>
      </c>
      <c r="D27" s="3" t="str">
        <f t="shared" si="1"/>
        <v>1급</v>
      </c>
      <c r="E27" s="3" t="s">
        <v>103</v>
      </c>
      <c r="F27" s="13">
        <v>633400</v>
      </c>
      <c r="G27" s="13">
        <f t="shared" si="0"/>
        <v>100000</v>
      </c>
      <c r="H27" s="13">
        <v>50000</v>
      </c>
      <c r="I27" s="13">
        <v>0</v>
      </c>
      <c r="J27" s="13">
        <f t="shared" si="2"/>
        <v>783400</v>
      </c>
      <c r="K27" s="14">
        <f t="shared" si="3"/>
        <v>9789074.9906095043</v>
      </c>
      <c r="L27" s="15"/>
    </row>
  </sheetData>
  <phoneticPr fontId="4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"/>
  <sheetViews>
    <sheetView workbookViewId="0">
      <selection activeCell="J21" sqref="J21"/>
    </sheetView>
  </sheetViews>
  <sheetFormatPr defaultRowHeight="16.5"/>
  <cols>
    <col min="2" max="2" width="10.25" customWidth="1"/>
  </cols>
  <sheetData>
    <row r="1" spans="1:7">
      <c r="A1" t="s">
        <v>2</v>
      </c>
      <c r="B1" t="s">
        <v>181</v>
      </c>
      <c r="C1" t="s">
        <v>182</v>
      </c>
      <c r="D1" t="s">
        <v>183</v>
      </c>
      <c r="E1" t="s">
        <v>184</v>
      </c>
      <c r="F1" t="s">
        <v>185</v>
      </c>
      <c r="G1" t="s">
        <v>186</v>
      </c>
    </row>
    <row r="2" spans="1:7">
      <c r="A2" t="s">
        <v>224</v>
      </c>
      <c r="B2" t="s">
        <v>221</v>
      </c>
      <c r="C2">
        <v>87</v>
      </c>
      <c r="D2">
        <v>78</v>
      </c>
      <c r="E2">
        <v>56</v>
      </c>
      <c r="F2">
        <v>83</v>
      </c>
      <c r="G2">
        <v>60</v>
      </c>
    </row>
    <row r="3" spans="1:7">
      <c r="A3" t="s">
        <v>223</v>
      </c>
      <c r="B3" t="s">
        <v>221</v>
      </c>
      <c r="C3">
        <v>52</v>
      </c>
      <c r="D3">
        <v>56</v>
      </c>
      <c r="E3">
        <v>77</v>
      </c>
      <c r="F3">
        <v>82</v>
      </c>
      <c r="G3">
        <v>92</v>
      </c>
    </row>
    <row r="4" spans="1:7">
      <c r="A4" t="s">
        <v>220</v>
      </c>
      <c r="B4" t="s">
        <v>221</v>
      </c>
      <c r="C4">
        <v>71</v>
      </c>
      <c r="D4">
        <v>97</v>
      </c>
      <c r="E4">
        <v>64</v>
      </c>
      <c r="F4">
        <v>96</v>
      </c>
      <c r="G4">
        <v>68</v>
      </c>
    </row>
    <row r="5" spans="1:7">
      <c r="A5" t="s">
        <v>189</v>
      </c>
      <c r="B5" t="s">
        <v>190</v>
      </c>
      <c r="C5">
        <v>88</v>
      </c>
      <c r="D5">
        <v>81</v>
      </c>
      <c r="E5">
        <v>77</v>
      </c>
      <c r="F5">
        <v>85</v>
      </c>
      <c r="G5">
        <v>63</v>
      </c>
    </row>
    <row r="6" spans="1:7">
      <c r="A6" t="s">
        <v>222</v>
      </c>
      <c r="B6" t="s">
        <v>190</v>
      </c>
      <c r="C6">
        <v>76</v>
      </c>
      <c r="D6">
        <v>80</v>
      </c>
      <c r="E6">
        <v>91</v>
      </c>
      <c r="F6">
        <v>51</v>
      </c>
      <c r="G6">
        <v>92</v>
      </c>
    </row>
    <row r="7" spans="1:7">
      <c r="A7" t="s">
        <v>212</v>
      </c>
      <c r="B7" t="s">
        <v>190</v>
      </c>
      <c r="C7">
        <v>64</v>
      </c>
      <c r="D7">
        <v>59</v>
      </c>
      <c r="E7">
        <v>97</v>
      </c>
      <c r="F7">
        <v>86</v>
      </c>
      <c r="G7">
        <v>53</v>
      </c>
    </row>
    <row r="8" spans="1:7">
      <c r="A8" t="s">
        <v>207</v>
      </c>
      <c r="B8" t="s">
        <v>190</v>
      </c>
      <c r="C8">
        <v>86</v>
      </c>
      <c r="D8">
        <v>66</v>
      </c>
      <c r="E8">
        <v>71</v>
      </c>
      <c r="F8">
        <v>94</v>
      </c>
      <c r="G8">
        <v>87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1"/>
  <sheetViews>
    <sheetView workbookViewId="0">
      <selection activeCell="K6" sqref="K6"/>
    </sheetView>
  </sheetViews>
  <sheetFormatPr defaultRowHeight="16.5"/>
  <cols>
    <col min="1" max="8" width="9" style="1"/>
    <col min="9" max="10" width="11.25" style="1" customWidth="1"/>
    <col min="11" max="11" width="15.125" style="1" customWidth="1"/>
    <col min="12" max="12" width="15.25" style="1" bestFit="1" customWidth="1"/>
    <col min="13" max="16384" width="9" style="1"/>
  </cols>
  <sheetData>
    <row r="1" spans="1:12">
      <c r="A1" s="46" t="s">
        <v>2</v>
      </c>
      <c r="B1" s="46" t="s">
        <v>181</v>
      </c>
      <c r="C1" s="46" t="s">
        <v>182</v>
      </c>
      <c r="D1" s="46" t="s">
        <v>183</v>
      </c>
      <c r="E1" s="46" t="s">
        <v>184</v>
      </c>
      <c r="F1" s="46" t="s">
        <v>185</v>
      </c>
      <c r="G1" s="46" t="s">
        <v>186</v>
      </c>
    </row>
    <row r="2" spans="1:12">
      <c r="A2" s="47" t="s">
        <v>187</v>
      </c>
      <c r="B2" s="47" t="s">
        <v>188</v>
      </c>
      <c r="C2" s="48">
        <v>77</v>
      </c>
      <c r="D2" s="48">
        <v>76</v>
      </c>
      <c r="E2" s="48">
        <v>87</v>
      </c>
      <c r="F2" s="48">
        <v>50</v>
      </c>
      <c r="G2" s="48">
        <v>51</v>
      </c>
    </row>
    <row r="3" spans="1:12">
      <c r="A3" s="47" t="s">
        <v>189</v>
      </c>
      <c r="B3" s="47" t="s">
        <v>190</v>
      </c>
      <c r="C3" s="48">
        <v>88</v>
      </c>
      <c r="D3" s="48">
        <v>81</v>
      </c>
      <c r="E3" s="48">
        <v>77</v>
      </c>
      <c r="F3" s="48">
        <v>85</v>
      </c>
      <c r="G3" s="48">
        <v>63</v>
      </c>
      <c r="I3" s="49" t="s">
        <v>2</v>
      </c>
      <c r="J3" t="s">
        <v>226</v>
      </c>
    </row>
    <row r="4" spans="1:12">
      <c r="A4" s="47" t="s">
        <v>191</v>
      </c>
      <c r="B4" s="47" t="s">
        <v>192</v>
      </c>
      <c r="C4" s="48">
        <v>87</v>
      </c>
      <c r="D4" s="48">
        <v>84</v>
      </c>
      <c r="E4" s="48">
        <v>61</v>
      </c>
      <c r="F4" s="48">
        <v>93</v>
      </c>
      <c r="G4" s="48">
        <v>63</v>
      </c>
    </row>
    <row r="5" spans="1:12">
      <c r="A5" s="47" t="s">
        <v>193</v>
      </c>
      <c r="B5" s="47" t="s">
        <v>194</v>
      </c>
      <c r="C5" s="48">
        <v>72</v>
      </c>
      <c r="D5" s="48">
        <v>96</v>
      </c>
      <c r="E5" s="48">
        <v>67</v>
      </c>
      <c r="F5" s="48">
        <v>59</v>
      </c>
      <c r="G5" s="48">
        <v>77</v>
      </c>
      <c r="I5" s="49" t="s">
        <v>234</v>
      </c>
      <c r="J5" s="49" t="s">
        <v>181</v>
      </c>
      <c r="K5" t="s">
        <v>228</v>
      </c>
      <c r="L5" t="s">
        <v>229</v>
      </c>
    </row>
    <row r="6" spans="1:12">
      <c r="A6" s="47" t="s">
        <v>195</v>
      </c>
      <c r="B6" s="47" t="s">
        <v>192</v>
      </c>
      <c r="C6" s="48">
        <v>50</v>
      </c>
      <c r="D6" s="48">
        <v>84</v>
      </c>
      <c r="E6" s="48">
        <v>60</v>
      </c>
      <c r="F6" s="48">
        <v>77</v>
      </c>
      <c r="G6" s="48">
        <v>79</v>
      </c>
      <c r="I6" t="s">
        <v>230</v>
      </c>
      <c r="J6"/>
      <c r="K6" s="50">
        <v>52</v>
      </c>
      <c r="L6" s="50">
        <v>56</v>
      </c>
    </row>
    <row r="7" spans="1:12">
      <c r="A7" s="47" t="s">
        <v>196</v>
      </c>
      <c r="B7" s="47" t="s">
        <v>188</v>
      </c>
      <c r="C7" s="48">
        <v>56</v>
      </c>
      <c r="D7" s="48">
        <v>99</v>
      </c>
      <c r="E7" s="48">
        <v>96</v>
      </c>
      <c r="F7" s="48">
        <v>71</v>
      </c>
      <c r="G7" s="48">
        <v>95</v>
      </c>
      <c r="I7" t="s">
        <v>231</v>
      </c>
      <c r="J7"/>
      <c r="K7" s="50">
        <v>52</v>
      </c>
      <c r="L7" s="50">
        <v>64</v>
      </c>
    </row>
    <row r="8" spans="1:12">
      <c r="A8" s="47" t="s">
        <v>197</v>
      </c>
      <c r="B8" s="47" t="s">
        <v>198</v>
      </c>
      <c r="C8" s="48">
        <v>77</v>
      </c>
      <c r="D8" s="48">
        <v>77</v>
      </c>
      <c r="E8" s="48">
        <v>50</v>
      </c>
      <c r="F8" s="48">
        <v>55</v>
      </c>
      <c r="G8" s="48">
        <v>92</v>
      </c>
      <c r="I8" t="s">
        <v>232</v>
      </c>
      <c r="J8"/>
      <c r="K8" s="50">
        <v>55</v>
      </c>
      <c r="L8" s="50">
        <v>68</v>
      </c>
    </row>
    <row r="9" spans="1:12">
      <c r="A9" s="47" t="s">
        <v>199</v>
      </c>
      <c r="B9" s="47" t="s">
        <v>188</v>
      </c>
      <c r="C9" s="48">
        <v>79</v>
      </c>
      <c r="D9" s="48">
        <v>94</v>
      </c>
      <c r="E9" s="48">
        <v>76</v>
      </c>
      <c r="F9" s="48">
        <v>72</v>
      </c>
      <c r="G9" s="48">
        <v>96</v>
      </c>
      <c r="I9" t="s">
        <v>235</v>
      </c>
      <c r="J9"/>
      <c r="K9" s="50">
        <v>68</v>
      </c>
      <c r="L9" s="50">
        <v>50</v>
      </c>
    </row>
    <row r="10" spans="1:12">
      <c r="A10" s="47" t="s">
        <v>200</v>
      </c>
      <c r="B10" s="47" t="s">
        <v>201</v>
      </c>
      <c r="C10" s="48">
        <v>65</v>
      </c>
      <c r="D10" s="48">
        <v>73</v>
      </c>
      <c r="E10" s="48">
        <v>67</v>
      </c>
      <c r="F10" s="48">
        <v>95</v>
      </c>
      <c r="G10" s="48">
        <v>82</v>
      </c>
      <c r="I10" t="s">
        <v>233</v>
      </c>
      <c r="J10"/>
      <c r="K10" s="50">
        <v>50</v>
      </c>
      <c r="L10" s="50">
        <v>59</v>
      </c>
    </row>
    <row r="11" spans="1:12">
      <c r="A11" s="47" t="s">
        <v>202</v>
      </c>
      <c r="B11" s="47" t="s">
        <v>203</v>
      </c>
      <c r="C11" s="48">
        <v>74</v>
      </c>
      <c r="D11" s="48">
        <v>92</v>
      </c>
      <c r="E11" s="48">
        <v>88</v>
      </c>
      <c r="F11" s="48">
        <v>52</v>
      </c>
      <c r="G11" s="48">
        <v>73</v>
      </c>
      <c r="I11" t="s">
        <v>227</v>
      </c>
      <c r="J11"/>
      <c r="K11" s="50">
        <v>50</v>
      </c>
      <c r="L11" s="50">
        <v>50</v>
      </c>
    </row>
    <row r="12" spans="1:12">
      <c r="A12" s="47" t="s">
        <v>204</v>
      </c>
      <c r="B12" s="47" t="s">
        <v>198</v>
      </c>
      <c r="C12" s="48">
        <v>52</v>
      </c>
      <c r="D12" s="48">
        <v>78</v>
      </c>
      <c r="E12" s="48">
        <v>55</v>
      </c>
      <c r="F12" s="48">
        <v>64</v>
      </c>
      <c r="G12" s="48">
        <v>60</v>
      </c>
      <c r="I12"/>
      <c r="J12"/>
      <c r="K12"/>
      <c r="L12"/>
    </row>
    <row r="13" spans="1:12">
      <c r="A13" s="47" t="s">
        <v>205</v>
      </c>
      <c r="B13" s="47" t="s">
        <v>192</v>
      </c>
      <c r="C13" s="48">
        <v>76</v>
      </c>
      <c r="D13" s="48">
        <v>65</v>
      </c>
      <c r="E13" s="48">
        <v>87</v>
      </c>
      <c r="F13" s="48">
        <v>96</v>
      </c>
      <c r="G13" s="48">
        <v>88</v>
      </c>
      <c r="I13"/>
      <c r="J13"/>
      <c r="K13"/>
      <c r="L13"/>
    </row>
    <row r="14" spans="1:12">
      <c r="A14" s="47" t="s">
        <v>206</v>
      </c>
      <c r="B14" s="47" t="s">
        <v>188</v>
      </c>
      <c r="C14" s="48">
        <v>61</v>
      </c>
      <c r="D14" s="48">
        <v>98</v>
      </c>
      <c r="E14" s="48">
        <v>72</v>
      </c>
      <c r="F14" s="48">
        <v>89</v>
      </c>
      <c r="G14" s="48">
        <v>68</v>
      </c>
      <c r="I14"/>
      <c r="J14"/>
      <c r="K14"/>
      <c r="L14"/>
    </row>
    <row r="15" spans="1:12">
      <c r="A15" s="47" t="s">
        <v>207</v>
      </c>
      <c r="B15" s="47" t="s">
        <v>190</v>
      </c>
      <c r="C15" s="48">
        <v>86</v>
      </c>
      <c r="D15" s="48">
        <v>66</v>
      </c>
      <c r="E15" s="48">
        <v>71</v>
      </c>
      <c r="F15" s="48">
        <v>94</v>
      </c>
      <c r="G15" s="48">
        <v>87</v>
      </c>
      <c r="I15"/>
      <c r="J15"/>
      <c r="K15"/>
      <c r="L15"/>
    </row>
    <row r="16" spans="1:12">
      <c r="A16" s="47" t="s">
        <v>208</v>
      </c>
      <c r="B16" s="47" t="s">
        <v>209</v>
      </c>
      <c r="C16" s="48">
        <v>84</v>
      </c>
      <c r="D16" s="48">
        <v>70</v>
      </c>
      <c r="E16" s="48">
        <v>69</v>
      </c>
      <c r="F16" s="48">
        <v>83</v>
      </c>
      <c r="G16" s="48">
        <v>59</v>
      </c>
      <c r="I16"/>
      <c r="J16"/>
      <c r="K16"/>
      <c r="L16"/>
    </row>
    <row r="17" spans="1:12">
      <c r="A17" s="47" t="s">
        <v>210</v>
      </c>
      <c r="B17" s="47" t="s">
        <v>194</v>
      </c>
      <c r="C17" s="48">
        <v>97</v>
      </c>
      <c r="D17" s="48">
        <v>53</v>
      </c>
      <c r="E17" s="48">
        <v>57</v>
      </c>
      <c r="F17" s="48">
        <v>79</v>
      </c>
      <c r="G17" s="48">
        <v>79</v>
      </c>
      <c r="I17"/>
      <c r="J17"/>
      <c r="K17"/>
      <c r="L17"/>
    </row>
    <row r="18" spans="1:12">
      <c r="A18" s="47" t="s">
        <v>211</v>
      </c>
      <c r="B18" s="47" t="s">
        <v>209</v>
      </c>
      <c r="C18" s="48">
        <v>68</v>
      </c>
      <c r="D18" s="48">
        <v>50</v>
      </c>
      <c r="E18" s="48">
        <v>81</v>
      </c>
      <c r="F18" s="48">
        <v>84</v>
      </c>
      <c r="G18" s="48">
        <v>89</v>
      </c>
      <c r="I18"/>
      <c r="J18"/>
      <c r="K18"/>
      <c r="L18"/>
    </row>
    <row r="19" spans="1:12">
      <c r="A19" s="47" t="s">
        <v>212</v>
      </c>
      <c r="B19" s="47" t="s">
        <v>190</v>
      </c>
      <c r="C19" s="48">
        <v>64</v>
      </c>
      <c r="D19" s="48">
        <v>59</v>
      </c>
      <c r="E19" s="48">
        <v>97</v>
      </c>
      <c r="F19" s="48">
        <v>86</v>
      </c>
      <c r="G19" s="48">
        <v>53</v>
      </c>
      <c r="I19"/>
      <c r="J19"/>
      <c r="K19"/>
      <c r="L19"/>
    </row>
    <row r="20" spans="1:12">
      <c r="A20" s="47" t="s">
        <v>213</v>
      </c>
      <c r="B20" s="47" t="s">
        <v>192</v>
      </c>
      <c r="C20" s="48">
        <v>51</v>
      </c>
      <c r="D20" s="48">
        <v>97</v>
      </c>
      <c r="E20" s="48">
        <v>51</v>
      </c>
      <c r="F20" s="48">
        <v>87</v>
      </c>
      <c r="G20" s="48">
        <v>90</v>
      </c>
      <c r="I20"/>
      <c r="J20"/>
      <c r="K20"/>
      <c r="L20"/>
    </row>
    <row r="21" spans="1:12">
      <c r="A21" s="47" t="s">
        <v>214</v>
      </c>
      <c r="B21" s="47" t="s">
        <v>209</v>
      </c>
      <c r="C21" s="48">
        <v>86</v>
      </c>
      <c r="D21" s="48">
        <v>68</v>
      </c>
      <c r="E21" s="48">
        <v>56</v>
      </c>
      <c r="F21" s="48">
        <v>86</v>
      </c>
      <c r="G21" s="48">
        <v>59</v>
      </c>
      <c r="I21"/>
      <c r="J21"/>
      <c r="K21"/>
      <c r="L21"/>
    </row>
    <row r="22" spans="1:12">
      <c r="A22" s="47" t="s">
        <v>215</v>
      </c>
      <c r="B22" s="47" t="s">
        <v>192</v>
      </c>
      <c r="C22" s="48">
        <v>82</v>
      </c>
      <c r="D22" s="48">
        <v>88</v>
      </c>
      <c r="E22" s="48">
        <v>62</v>
      </c>
      <c r="F22" s="48">
        <v>66</v>
      </c>
      <c r="G22" s="48">
        <v>54</v>
      </c>
      <c r="I22"/>
      <c r="J22"/>
      <c r="K22"/>
      <c r="L22"/>
    </row>
    <row r="23" spans="1:12">
      <c r="A23" s="47" t="s">
        <v>216</v>
      </c>
      <c r="B23" s="47" t="s">
        <v>192</v>
      </c>
      <c r="C23" s="48">
        <v>97</v>
      </c>
      <c r="D23" s="48">
        <v>68</v>
      </c>
      <c r="E23" s="48">
        <v>72</v>
      </c>
      <c r="F23" s="48">
        <v>84</v>
      </c>
      <c r="G23" s="48">
        <v>52</v>
      </c>
      <c r="I23"/>
      <c r="J23"/>
      <c r="K23"/>
      <c r="L23"/>
    </row>
    <row r="24" spans="1:12">
      <c r="A24" s="47" t="s">
        <v>217</v>
      </c>
      <c r="B24" s="47" t="s">
        <v>201</v>
      </c>
      <c r="C24" s="48">
        <v>55</v>
      </c>
      <c r="D24" s="48">
        <v>68</v>
      </c>
      <c r="E24" s="48">
        <v>73</v>
      </c>
      <c r="F24" s="48">
        <v>68</v>
      </c>
      <c r="G24" s="48">
        <v>66</v>
      </c>
    </row>
    <row r="25" spans="1:12">
      <c r="A25" s="47" t="s">
        <v>218</v>
      </c>
      <c r="B25" s="47" t="s">
        <v>209</v>
      </c>
      <c r="C25" s="48">
        <v>89</v>
      </c>
      <c r="D25" s="48">
        <v>66</v>
      </c>
      <c r="E25" s="48">
        <v>56</v>
      </c>
      <c r="F25" s="48">
        <v>82</v>
      </c>
      <c r="G25" s="48">
        <v>66</v>
      </c>
    </row>
    <row r="26" spans="1:12">
      <c r="A26" s="47" t="s">
        <v>219</v>
      </c>
      <c r="B26" s="47" t="s">
        <v>198</v>
      </c>
      <c r="C26" s="48">
        <v>92</v>
      </c>
      <c r="D26" s="48">
        <v>64</v>
      </c>
      <c r="E26" s="48">
        <v>84</v>
      </c>
      <c r="F26" s="48">
        <v>73</v>
      </c>
      <c r="G26" s="48">
        <v>76</v>
      </c>
    </row>
    <row r="27" spans="1:12">
      <c r="A27" s="47" t="s">
        <v>220</v>
      </c>
      <c r="B27" s="47" t="s">
        <v>221</v>
      </c>
      <c r="C27" s="48">
        <v>71</v>
      </c>
      <c r="D27" s="48">
        <v>97</v>
      </c>
      <c r="E27" s="48">
        <v>64</v>
      </c>
      <c r="F27" s="48">
        <v>96</v>
      </c>
      <c r="G27" s="48">
        <v>68</v>
      </c>
    </row>
    <row r="28" spans="1:12">
      <c r="A28" s="47" t="s">
        <v>222</v>
      </c>
      <c r="B28" s="47" t="s">
        <v>190</v>
      </c>
      <c r="C28" s="48">
        <v>76</v>
      </c>
      <c r="D28" s="48">
        <v>80</v>
      </c>
      <c r="E28" s="48">
        <v>91</v>
      </c>
      <c r="F28" s="48">
        <v>51</v>
      </c>
      <c r="G28" s="48">
        <v>92</v>
      </c>
    </row>
    <row r="29" spans="1:12">
      <c r="A29" s="47" t="s">
        <v>223</v>
      </c>
      <c r="B29" s="47" t="s">
        <v>221</v>
      </c>
      <c r="C29" s="48">
        <v>52</v>
      </c>
      <c r="D29" s="48">
        <v>56</v>
      </c>
      <c r="E29" s="48">
        <v>77</v>
      </c>
      <c r="F29" s="48">
        <v>82</v>
      </c>
      <c r="G29" s="48">
        <v>92</v>
      </c>
    </row>
    <row r="30" spans="1:12">
      <c r="A30" s="47" t="s">
        <v>224</v>
      </c>
      <c r="B30" s="47" t="s">
        <v>221</v>
      </c>
      <c r="C30" s="48">
        <v>87</v>
      </c>
      <c r="D30" s="48">
        <v>78</v>
      </c>
      <c r="E30" s="48">
        <v>56</v>
      </c>
      <c r="F30" s="48">
        <v>83</v>
      </c>
      <c r="G30" s="48">
        <v>60</v>
      </c>
    </row>
    <row r="31" spans="1:12">
      <c r="A31" s="47" t="s">
        <v>225</v>
      </c>
      <c r="B31" s="47" t="s">
        <v>203</v>
      </c>
      <c r="C31" s="48">
        <v>93</v>
      </c>
      <c r="D31" s="48">
        <v>59</v>
      </c>
      <c r="E31" s="48">
        <v>51</v>
      </c>
      <c r="F31" s="48">
        <v>95</v>
      </c>
      <c r="G31" s="48">
        <v>97</v>
      </c>
    </row>
  </sheetData>
  <phoneticPr fontId="4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G22"/>
  <sheetViews>
    <sheetView workbookViewId="0">
      <selection activeCell="K17" sqref="K17"/>
    </sheetView>
  </sheetViews>
  <sheetFormatPr defaultRowHeight="16.5" outlineLevelRow="3"/>
  <cols>
    <col min="1" max="2" width="9" style="1"/>
    <col min="3" max="3" width="12.625" style="1" bestFit="1" customWidth="1"/>
    <col min="4" max="4" width="13" style="1" bestFit="1" customWidth="1"/>
    <col min="5" max="6" width="9" style="1"/>
    <col min="7" max="7" width="13" style="1" bestFit="1" customWidth="1"/>
    <col min="8" max="16384" width="9" style="1"/>
  </cols>
  <sheetData>
    <row r="5" spans="1:7">
      <c r="A5" s="6" t="s">
        <v>116</v>
      </c>
      <c r="B5" s="6" t="s">
        <v>117</v>
      </c>
      <c r="C5" s="6" t="s">
        <v>118</v>
      </c>
      <c r="D5" s="6" t="s">
        <v>55</v>
      </c>
      <c r="E5" s="6" t="s">
        <v>119</v>
      </c>
      <c r="F5" s="6" t="s">
        <v>120</v>
      </c>
      <c r="G5" s="6" t="s">
        <v>121</v>
      </c>
    </row>
    <row r="6" spans="1:7" outlineLevel="3">
      <c r="A6" s="6" t="s">
        <v>122</v>
      </c>
      <c r="B6" s="6" t="s">
        <v>123</v>
      </c>
      <c r="C6" s="6" t="s">
        <v>60</v>
      </c>
      <c r="D6" s="13">
        <v>1300000</v>
      </c>
      <c r="E6" s="6">
        <v>500000</v>
      </c>
      <c r="F6" s="6">
        <v>50000</v>
      </c>
      <c r="G6" s="16">
        <f>SUM(D6:F6)</f>
        <v>1850000</v>
      </c>
    </row>
    <row r="7" spans="1:7" outlineLevel="3">
      <c r="A7" s="6" t="s">
        <v>124</v>
      </c>
      <c r="B7" s="6" t="s">
        <v>125</v>
      </c>
      <c r="C7" s="6" t="s">
        <v>126</v>
      </c>
      <c r="D7" s="13">
        <v>1400000</v>
      </c>
      <c r="E7" s="6">
        <v>450000</v>
      </c>
      <c r="F7" s="6">
        <v>55000</v>
      </c>
      <c r="G7" s="16">
        <f>SUM(D7:F7)</f>
        <v>1905000</v>
      </c>
    </row>
    <row r="8" spans="1:7" outlineLevel="2">
      <c r="A8" s="6"/>
      <c r="B8" s="6"/>
      <c r="C8" s="29" t="s">
        <v>169</v>
      </c>
      <c r="D8" s="13">
        <f>SUBTOTAL(4,D6:D7)</f>
        <v>1400000</v>
      </c>
      <c r="E8" s="6">
        <f>SUBTOTAL(4,E6:E7)</f>
        <v>500000</v>
      </c>
      <c r="F8" s="6">
        <f>SUBTOTAL(4,F6:F7)</f>
        <v>55000</v>
      </c>
      <c r="G8" s="16">
        <f>SUBTOTAL(4,G6:G7)</f>
        <v>1905000</v>
      </c>
    </row>
    <row r="9" spans="1:7" outlineLevel="1">
      <c r="A9" s="6"/>
      <c r="B9" s="6"/>
      <c r="C9" s="29" t="s">
        <v>165</v>
      </c>
      <c r="D9" s="13">
        <f>SUBTOTAL(5,D6:D7)</f>
        <v>1300000</v>
      </c>
      <c r="E9" s="6">
        <f>SUBTOTAL(5,E6:E7)</f>
        <v>450000</v>
      </c>
      <c r="F9" s="6">
        <f>SUBTOTAL(5,F6:F7)</f>
        <v>50000</v>
      </c>
      <c r="G9" s="16">
        <f>SUBTOTAL(5,G6:G7)</f>
        <v>1850000</v>
      </c>
    </row>
    <row r="10" spans="1:7" outlineLevel="3">
      <c r="A10" s="6" t="s">
        <v>127</v>
      </c>
      <c r="B10" s="6" t="s">
        <v>128</v>
      </c>
      <c r="C10" s="6" t="s">
        <v>129</v>
      </c>
      <c r="D10" s="13">
        <v>1350000</v>
      </c>
      <c r="E10" s="6">
        <v>500000</v>
      </c>
      <c r="F10" s="6">
        <v>70000</v>
      </c>
      <c r="G10" s="16">
        <f>SUM(D10:F10)</f>
        <v>1920000</v>
      </c>
    </row>
    <row r="11" spans="1:7" outlineLevel="3">
      <c r="A11" s="6" t="s">
        <v>130</v>
      </c>
      <c r="B11" s="6" t="s">
        <v>131</v>
      </c>
      <c r="C11" s="6" t="s">
        <v>129</v>
      </c>
      <c r="D11" s="13">
        <v>1380000</v>
      </c>
      <c r="E11" s="6">
        <v>300000</v>
      </c>
      <c r="F11" s="6">
        <v>75000</v>
      </c>
      <c r="G11" s="16">
        <f>SUM(D11:F11)</f>
        <v>1755000</v>
      </c>
    </row>
    <row r="12" spans="1:7" outlineLevel="3">
      <c r="A12" s="6" t="s">
        <v>132</v>
      </c>
      <c r="B12" s="6" t="s">
        <v>131</v>
      </c>
      <c r="C12" s="6" t="s">
        <v>129</v>
      </c>
      <c r="D12" s="13">
        <v>1300000</v>
      </c>
      <c r="E12" s="6">
        <v>300000</v>
      </c>
      <c r="F12" s="6">
        <v>70000</v>
      </c>
      <c r="G12" s="16">
        <f>SUM(D12:F12)</f>
        <v>1670000</v>
      </c>
    </row>
    <row r="13" spans="1:7" outlineLevel="3">
      <c r="A13" s="6" t="s">
        <v>133</v>
      </c>
      <c r="B13" s="6" t="s">
        <v>134</v>
      </c>
      <c r="C13" s="6" t="s">
        <v>129</v>
      </c>
      <c r="D13" s="13">
        <v>1200000</v>
      </c>
      <c r="E13" s="6">
        <v>500000</v>
      </c>
      <c r="F13" s="6">
        <v>70000</v>
      </c>
      <c r="G13" s="16">
        <f>SUM(D13:F13)</f>
        <v>1770000</v>
      </c>
    </row>
    <row r="14" spans="1:7" outlineLevel="3">
      <c r="A14" s="6" t="s">
        <v>135</v>
      </c>
      <c r="B14" s="6" t="s">
        <v>131</v>
      </c>
      <c r="C14" s="6" t="s">
        <v>129</v>
      </c>
      <c r="D14" s="13">
        <v>1350000</v>
      </c>
      <c r="E14" s="6">
        <v>300000</v>
      </c>
      <c r="F14" s="6">
        <v>70000</v>
      </c>
      <c r="G14" s="16">
        <f>SUM(D14:F14)</f>
        <v>1720000</v>
      </c>
    </row>
    <row r="15" spans="1:7" outlineLevel="2">
      <c r="A15" s="6"/>
      <c r="B15" s="6"/>
      <c r="C15" s="29" t="s">
        <v>170</v>
      </c>
      <c r="D15" s="13">
        <f>SUBTOTAL(4,D10:D14)</f>
        <v>1380000</v>
      </c>
      <c r="E15" s="6">
        <f>SUBTOTAL(4,E10:E14)</f>
        <v>500000</v>
      </c>
      <c r="F15" s="6">
        <f>SUBTOTAL(4,F10:F14)</f>
        <v>75000</v>
      </c>
      <c r="G15" s="16">
        <f>SUBTOTAL(4,G10:G14)</f>
        <v>1920000</v>
      </c>
    </row>
    <row r="16" spans="1:7" outlineLevel="1">
      <c r="A16" s="6"/>
      <c r="B16" s="6"/>
      <c r="C16" s="29" t="s">
        <v>166</v>
      </c>
      <c r="D16" s="13">
        <f>SUBTOTAL(5,D10:D14)</f>
        <v>1200000</v>
      </c>
      <c r="E16" s="6">
        <f>SUBTOTAL(5,E10:E14)</f>
        <v>300000</v>
      </c>
      <c r="F16" s="6">
        <f>SUBTOTAL(5,F10:F14)</f>
        <v>70000</v>
      </c>
      <c r="G16" s="16">
        <f>SUBTOTAL(5,G10:G14)</f>
        <v>1670000</v>
      </c>
    </row>
    <row r="17" spans="1:7" outlineLevel="3">
      <c r="A17" s="6" t="s">
        <v>136</v>
      </c>
      <c r="B17" s="6" t="s">
        <v>131</v>
      </c>
      <c r="C17" s="6" t="s">
        <v>137</v>
      </c>
      <c r="D17" s="13">
        <v>1550000</v>
      </c>
      <c r="E17" s="6">
        <v>300000</v>
      </c>
      <c r="F17" s="6">
        <v>100000</v>
      </c>
      <c r="G17" s="16">
        <f>SUM(D17:F17)</f>
        <v>1950000</v>
      </c>
    </row>
    <row r="18" spans="1:7" outlineLevel="3">
      <c r="A18" s="6" t="s">
        <v>138</v>
      </c>
      <c r="B18" s="6" t="s">
        <v>125</v>
      </c>
      <c r="C18" s="6" t="s">
        <v>137</v>
      </c>
      <c r="D18" s="13">
        <v>1600000</v>
      </c>
      <c r="E18" s="6">
        <v>450000</v>
      </c>
      <c r="F18" s="6">
        <v>130000</v>
      </c>
      <c r="G18" s="16">
        <f>SUM(D18:F18)</f>
        <v>2180000</v>
      </c>
    </row>
    <row r="19" spans="1:7" outlineLevel="2">
      <c r="A19" s="30"/>
      <c r="B19" s="30"/>
      <c r="C19" s="33" t="s">
        <v>171</v>
      </c>
      <c r="D19" s="31">
        <f>SUBTOTAL(4,D17:D18)</f>
        <v>1600000</v>
      </c>
      <c r="E19" s="30">
        <f>SUBTOTAL(4,E17:E18)</f>
        <v>450000</v>
      </c>
      <c r="F19" s="30">
        <f>SUBTOTAL(4,F17:F18)</f>
        <v>130000</v>
      </c>
      <c r="G19" s="32">
        <f>SUBTOTAL(4,G17:G18)</f>
        <v>2180000</v>
      </c>
    </row>
    <row r="20" spans="1:7" outlineLevel="1">
      <c r="A20" s="30"/>
      <c r="B20" s="30"/>
      <c r="C20" s="33" t="s">
        <v>167</v>
      </c>
      <c r="D20" s="31">
        <f>SUBTOTAL(5,D17:D18)</f>
        <v>1550000</v>
      </c>
      <c r="E20" s="30">
        <f>SUBTOTAL(5,E17:E18)</f>
        <v>300000</v>
      </c>
      <c r="F20" s="30">
        <f>SUBTOTAL(5,F17:F18)</f>
        <v>100000</v>
      </c>
      <c r="G20" s="32">
        <f>SUBTOTAL(5,G17:G18)</f>
        <v>1950000</v>
      </c>
    </row>
    <row r="21" spans="1:7">
      <c r="A21" s="30"/>
      <c r="B21" s="30"/>
      <c r="C21" s="33" t="s">
        <v>172</v>
      </c>
      <c r="D21" s="31">
        <f>SUBTOTAL(4,D6:D18)</f>
        <v>1600000</v>
      </c>
      <c r="E21" s="30">
        <f>SUBTOTAL(4,E6:E18)</f>
        <v>500000</v>
      </c>
      <c r="F21" s="30">
        <f>SUBTOTAL(4,F6:F18)</f>
        <v>130000</v>
      </c>
      <c r="G21" s="32">
        <f>SUBTOTAL(4,G6:G18)</f>
        <v>2180000</v>
      </c>
    </row>
    <row r="22" spans="1:7">
      <c r="A22" s="30"/>
      <c r="B22" s="30"/>
      <c r="C22" s="33" t="s">
        <v>168</v>
      </c>
      <c r="D22" s="31">
        <f>SUBTOTAL(5,D6:D18)</f>
        <v>1200000</v>
      </c>
      <c r="E22" s="30">
        <f>SUBTOTAL(5,E6:E18)</f>
        <v>300000</v>
      </c>
      <c r="F22" s="30">
        <f>SUBTOTAL(5,F6:F18)</f>
        <v>50000</v>
      </c>
      <c r="G22" s="32">
        <f>SUBTOTAL(5,G6:G18)</f>
        <v>1670000</v>
      </c>
    </row>
  </sheetData>
  <sortState ref="A6:G14">
    <sortCondition descending="1" ref="C6:C14"/>
  </sortState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9"/>
  <sheetViews>
    <sheetView workbookViewId="0"/>
  </sheetViews>
  <sheetFormatPr defaultRowHeight="16.5"/>
  <cols>
    <col min="1" max="1" width="11.125" style="1" customWidth="1"/>
    <col min="2" max="2" width="9" style="1"/>
    <col min="3" max="3" width="8.625" style="1" customWidth="1"/>
    <col min="4" max="4" width="10.875" style="1" bestFit="1" customWidth="1"/>
    <col min="5" max="5" width="11.75" style="1" bestFit="1" customWidth="1"/>
    <col min="6" max="16384" width="9" style="1"/>
  </cols>
  <sheetData>
    <row r="1" spans="1:5">
      <c r="B1" s="60" t="s">
        <v>139</v>
      </c>
      <c r="C1" s="60"/>
      <c r="D1" s="60"/>
      <c r="E1" s="60"/>
    </row>
    <row r="2" spans="1:5" s="19" customFormat="1">
      <c r="A2" s="17" t="s">
        <v>140</v>
      </c>
      <c r="B2" s="17" t="s">
        <v>141</v>
      </c>
      <c r="C2" s="17" t="s">
        <v>142</v>
      </c>
      <c r="D2" s="17" t="s">
        <v>143</v>
      </c>
      <c r="E2" s="18" t="s">
        <v>144</v>
      </c>
    </row>
    <row r="3" spans="1:5">
      <c r="A3" s="6" t="s">
        <v>145</v>
      </c>
      <c r="B3" s="20" t="s">
        <v>146</v>
      </c>
      <c r="C3" s="21">
        <v>20</v>
      </c>
      <c r="D3" s="22">
        <v>240000</v>
      </c>
      <c r="E3" s="23">
        <v>83720</v>
      </c>
    </row>
    <row r="4" spans="1:5">
      <c r="A4" s="6" t="s">
        <v>147</v>
      </c>
      <c r="B4" s="20" t="s">
        <v>148</v>
      </c>
      <c r="C4" s="21">
        <v>7</v>
      </c>
      <c r="D4" s="22">
        <v>84000</v>
      </c>
      <c r="E4" s="23">
        <v>312000</v>
      </c>
    </row>
    <row r="5" spans="1:5">
      <c r="A5" s="6" t="s">
        <v>149</v>
      </c>
      <c r="B5" s="20" t="s">
        <v>150</v>
      </c>
      <c r="C5" s="21">
        <v>7</v>
      </c>
      <c r="D5" s="22">
        <v>80500</v>
      </c>
      <c r="E5" s="23">
        <v>156000</v>
      </c>
    </row>
    <row r="6" spans="1:5">
      <c r="A6" s="6" t="s">
        <v>151</v>
      </c>
      <c r="B6" s="20" t="s">
        <v>152</v>
      </c>
      <c r="C6" s="21">
        <v>12</v>
      </c>
      <c r="D6" s="22">
        <v>300000</v>
      </c>
      <c r="E6" s="24">
        <v>45000</v>
      </c>
    </row>
    <row r="7" spans="1:5">
      <c r="A7" s="6" t="s">
        <v>153</v>
      </c>
      <c r="B7" s="20" t="s">
        <v>154</v>
      </c>
      <c r="C7" s="21">
        <v>12</v>
      </c>
      <c r="D7" s="22">
        <v>150000</v>
      </c>
      <c r="E7" s="24">
        <v>12000</v>
      </c>
    </row>
    <row r="8" spans="1:5">
      <c r="A8" s="6" t="s">
        <v>147</v>
      </c>
      <c r="B8" s="20" t="s">
        <v>155</v>
      </c>
      <c r="C8" s="21">
        <v>7</v>
      </c>
      <c r="D8" s="22">
        <v>80500</v>
      </c>
      <c r="E8" s="23">
        <v>130000</v>
      </c>
    </row>
    <row r="9" spans="1:5">
      <c r="A9" s="6" t="s">
        <v>153</v>
      </c>
      <c r="B9" s="6" t="s">
        <v>156</v>
      </c>
      <c r="C9" s="21">
        <v>15</v>
      </c>
      <c r="D9" s="22">
        <v>278250</v>
      </c>
      <c r="E9" s="23">
        <v>702000</v>
      </c>
    </row>
  </sheetData>
  <mergeCells count="1">
    <mergeCell ref="B1:E1"/>
  </mergeCells>
  <phoneticPr fontId="4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6"/>
  <sheetViews>
    <sheetView workbookViewId="0">
      <selection activeCell="A9" sqref="A9"/>
    </sheetView>
  </sheetViews>
  <sheetFormatPr defaultRowHeight="16.5"/>
  <cols>
    <col min="1" max="1" width="13.25" style="1" bestFit="1" customWidth="1"/>
    <col min="2" max="2" width="9" style="1"/>
    <col min="3" max="3" width="12.125" style="1" customWidth="1"/>
    <col min="4" max="4" width="12" style="1" bestFit="1" customWidth="1"/>
    <col min="5" max="16384" width="9" style="1"/>
  </cols>
  <sheetData>
    <row r="1" spans="1:4" ht="24">
      <c r="A1" s="25" t="s">
        <v>157</v>
      </c>
    </row>
    <row r="3" spans="1:4">
      <c r="A3" s="26" t="s">
        <v>158</v>
      </c>
      <c r="B3" s="26" t="s">
        <v>159</v>
      </c>
      <c r="C3" s="26" t="s">
        <v>160</v>
      </c>
      <c r="D3" s="26" t="s">
        <v>161</v>
      </c>
    </row>
    <row r="4" spans="1:4">
      <c r="A4" s="27">
        <v>43475</v>
      </c>
      <c r="B4" s="28" t="s">
        <v>236</v>
      </c>
      <c r="C4" s="28" t="s">
        <v>162</v>
      </c>
      <c r="D4" s="28">
        <v>2000000</v>
      </c>
    </row>
    <row r="5" spans="1:4">
      <c r="A5" s="27">
        <v>43475</v>
      </c>
      <c r="B5" s="28" t="s">
        <v>163</v>
      </c>
      <c r="C5" s="28" t="s">
        <v>164</v>
      </c>
      <c r="D5" s="28">
        <v>1000</v>
      </c>
    </row>
    <row r="6" spans="1:4" s="51" customFormat="1">
      <c r="D6" s="52"/>
    </row>
  </sheetData>
  <phoneticPr fontId="4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5</xdr:col>
                <xdr:colOff>0</xdr:colOff>
                <xdr:row>1</xdr:row>
                <xdr:rowOff>9525</xdr:rowOff>
              </from>
              <to>
                <xdr:col>7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영문과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'기본작업-3'!Print_Titles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2019-09-09T04:49:34Z</cp:lastPrinted>
  <dcterms:created xsi:type="dcterms:W3CDTF">2017-08-30T09:02:01Z</dcterms:created>
  <dcterms:modified xsi:type="dcterms:W3CDTF">2019-09-09T04:49:46Z</dcterms:modified>
</cp:coreProperties>
</file>