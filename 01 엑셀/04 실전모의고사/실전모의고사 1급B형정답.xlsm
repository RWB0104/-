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wmf" ContentType="image/x-wmf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현재_통합_문서" defaultThemeVersion="124226"/>
  <workbookProtection lockWindows="1"/>
  <bookViews>
    <workbookView xWindow="30" yWindow="120" windowWidth="25815" windowHeight="11550"/>
  </bookViews>
  <sheets>
    <sheet name="기본작업-1" sheetId="1" r:id="rId1"/>
    <sheet name="기본작업-2" sheetId="2" r:id="rId2"/>
    <sheet name="기본작업-3" sheetId="8" r:id="rId3"/>
    <sheet name="계산작업" sheetId="3" r:id="rId4"/>
    <sheet name="분석작업-1" sheetId="4" r:id="rId5"/>
    <sheet name="분석작업-2" sheetId="5" r:id="rId6"/>
    <sheet name="기타작업-1" sheetId="6" r:id="rId7"/>
    <sheet name="기타작업-2" sheetId="7" r:id="rId8"/>
  </sheets>
  <functionGroups builtInGroupCount="17"/>
  <definedNames>
    <definedName name="_xlnm._FilterDatabase" localSheetId="1" hidden="1">'기본작업-2'!$B$2:$D$21</definedName>
    <definedName name="_xlnm._FilterDatabase" localSheetId="5" hidden="1">'분석작업-2'!$B$6:$I$18</definedName>
    <definedName name="_xlnm.Criteria" localSheetId="1">'기본작업-2'!$F$4:$G$6</definedName>
    <definedName name="_xlnm.Extract" localSheetId="1">'기본작업-2'!$F$9:$H$9</definedName>
    <definedName name="종목코드" localSheetId="1">'기본작업-2'!$B$2:$D$22</definedName>
  </definedNames>
  <calcPr calcId="145621"/>
  <pivotCaches>
    <pivotCache cacheId="0" r:id="rId9"/>
  </pivotCaches>
</workbook>
</file>

<file path=xl/calcChain.xml><?xml version="1.0" encoding="utf-8"?>
<calcChain xmlns="http://schemas.openxmlformats.org/spreadsheetml/2006/main">
  <c r="E12" i="8" l="1"/>
  <c r="E11" i="8"/>
  <c r="E10" i="8"/>
  <c r="E9" i="8"/>
  <c r="E8" i="8"/>
  <c r="E7" i="8"/>
  <c r="E6" i="8"/>
  <c r="E5" i="8"/>
  <c r="E4" i="8"/>
  <c r="E3" i="8"/>
  <c r="I8" i="5" l="1"/>
  <c r="I9" i="5"/>
  <c r="I10" i="5"/>
  <c r="I11" i="5"/>
  <c r="I12" i="5"/>
  <c r="I13" i="5"/>
  <c r="I14" i="5"/>
  <c r="I15" i="5"/>
  <c r="I16" i="5"/>
  <c r="I17" i="5"/>
  <c r="I18" i="5"/>
  <c r="I7" i="5"/>
  <c r="B35" i="3" l="1" a="1"/>
  <c r="B35" i="3" s="1"/>
  <c r="B34" i="3" a="1"/>
  <c r="B34" i="3" s="1"/>
  <c r="B33" i="3" a="1"/>
  <c r="B33" i="3" s="1"/>
  <c r="B32" i="3" a="1"/>
  <c r="B32" i="3" s="1"/>
  <c r="F10" i="3"/>
  <c r="G10" i="3" s="1"/>
  <c r="F9" i="3"/>
  <c r="G9" i="3" s="1"/>
  <c r="F8" i="3"/>
  <c r="G8" i="3" s="1"/>
  <c r="F7" i="3"/>
  <c r="G7" i="3" s="1"/>
  <c r="F6" i="3"/>
  <c r="G6" i="3" s="1"/>
  <c r="F5" i="3"/>
  <c r="G5" i="3" s="1"/>
  <c r="F4" i="3"/>
  <c r="G4" i="3" s="1"/>
  <c r="F3" i="3"/>
  <c r="G29" i="3"/>
  <c r="G26" i="3"/>
  <c r="G22" i="3"/>
  <c r="G27" i="3"/>
  <c r="G24" i="3"/>
  <c r="G25" i="3"/>
  <c r="G21" i="3"/>
  <c r="G28" i="3"/>
  <c r="G23" i="3"/>
  <c r="H14" i="3" l="1" a="1"/>
  <c r="H17" i="3" s="1"/>
  <c r="G3" i="3"/>
  <c r="H14" i="3" l="1"/>
  <c r="H18" i="3"/>
  <c r="H16" i="3"/>
  <c r="H15" i="3"/>
</calcChain>
</file>

<file path=xl/connections.xml><?xml version="1.0" encoding="utf-8"?>
<connections xmlns="http://schemas.openxmlformats.org/spreadsheetml/2006/main">
  <connection id="1" name="종목코드" type="6" refreshedVersion="0" deleted="1" background="1" saveData="1">
    <textPr sourceFile="C:\2005년 제2회 실기 - 한선미\1급(2)\엑셀\B형\종목코드.txt" tab="0" comma="1">
      <textFields count="3">
        <textField type="text"/>
        <textField/>
        <textField/>
      </textFields>
    </textPr>
  </connection>
</connections>
</file>

<file path=xl/sharedStrings.xml><?xml version="1.0" encoding="utf-8"?>
<sst xmlns="http://schemas.openxmlformats.org/spreadsheetml/2006/main" count="392" uniqueCount="211">
  <si>
    <t>게임 CD별 보유 수량</t>
    <phoneticPr fontId="5" type="noConversion"/>
  </si>
  <si>
    <t>종목코드</t>
  </si>
  <si>
    <t>종목명</t>
  </si>
  <si>
    <t>현재가</t>
    <phoneticPr fontId="5" type="noConversion"/>
  </si>
  <si>
    <t>A000235</t>
    <phoneticPr fontId="5" type="noConversion"/>
  </si>
  <si>
    <t xml:space="preserve"> 대림산업</t>
  </si>
  <si>
    <t>현재가</t>
    <phoneticPr fontId="4" type="noConversion"/>
  </si>
  <si>
    <t>종목명</t>
    <phoneticPr fontId="4" type="noConversion"/>
  </si>
  <si>
    <t>A004730</t>
    <phoneticPr fontId="5" type="noConversion"/>
  </si>
  <si>
    <t>코오롱</t>
  </si>
  <si>
    <t>&gt;=300000</t>
    <phoneticPr fontId="4" type="noConversion"/>
  </si>
  <si>
    <t>&lt;=50000</t>
    <phoneticPr fontId="4" type="noConversion"/>
  </si>
  <si>
    <t>코오롱</t>
    <phoneticPr fontId="4" type="noConversion"/>
  </si>
  <si>
    <t>A034930</t>
    <phoneticPr fontId="5" type="noConversion"/>
  </si>
  <si>
    <t xml:space="preserve"> 안철수연구소</t>
  </si>
  <si>
    <r>
      <t>[표1</t>
    </r>
    <r>
      <rPr>
        <sz val="11"/>
        <color theme="1"/>
        <rFont val="맑은 고딕"/>
        <family val="3"/>
        <charset val="129"/>
        <scheme val="major"/>
      </rPr>
      <t>]</t>
    </r>
    <phoneticPr fontId="5" type="noConversion"/>
  </si>
  <si>
    <t>공과대학 성적</t>
    <phoneticPr fontId="5" type="noConversion"/>
  </si>
  <si>
    <t>이름</t>
    <phoneticPr fontId="5" type="noConversion"/>
  </si>
  <si>
    <t>학과</t>
    <phoneticPr fontId="4" type="noConversion"/>
  </si>
  <si>
    <t>중간</t>
    <phoneticPr fontId="5" type="noConversion"/>
  </si>
  <si>
    <t>기말</t>
    <phoneticPr fontId="5" type="noConversion"/>
  </si>
  <si>
    <t>과제</t>
    <phoneticPr fontId="4" type="noConversion"/>
  </si>
  <si>
    <t>가중평균</t>
    <phoneticPr fontId="5" type="noConversion"/>
  </si>
  <si>
    <t>평점</t>
    <phoneticPr fontId="5" type="noConversion"/>
  </si>
  <si>
    <t>임은교</t>
    <phoneticPr fontId="5" type="noConversion"/>
  </si>
  <si>
    <t>기계공학과</t>
    <phoneticPr fontId="4" type="noConversion"/>
  </si>
  <si>
    <t>이동주</t>
    <phoneticPr fontId="5" type="noConversion"/>
  </si>
  <si>
    <t>건축학과</t>
    <phoneticPr fontId="4" type="noConversion"/>
  </si>
  <si>
    <t>김종진</t>
    <phoneticPr fontId="5" type="noConversion"/>
  </si>
  <si>
    <t>토목과</t>
    <phoneticPr fontId="4" type="noConversion"/>
  </si>
  <si>
    <t>김미정</t>
    <phoneticPr fontId="5" type="noConversion"/>
  </si>
  <si>
    <t>김유숙</t>
    <phoneticPr fontId="5" type="noConversion"/>
  </si>
  <si>
    <t>이은성</t>
    <phoneticPr fontId="5" type="noConversion"/>
  </si>
  <si>
    <t>김진수</t>
    <phoneticPr fontId="5" type="noConversion"/>
  </si>
  <si>
    <t>이승선</t>
    <phoneticPr fontId="5" type="noConversion"/>
  </si>
  <si>
    <t>반영비율</t>
    <phoneticPr fontId="5" type="noConversion"/>
  </si>
  <si>
    <r>
      <t>[표2</t>
    </r>
    <r>
      <rPr>
        <sz val="11"/>
        <color theme="1"/>
        <rFont val="맑은 고딕"/>
        <family val="3"/>
        <charset val="129"/>
        <scheme val="major"/>
      </rPr>
      <t>]</t>
    </r>
    <phoneticPr fontId="5" type="noConversion"/>
  </si>
  <si>
    <t>평점 관리표</t>
    <phoneticPr fontId="5" type="noConversion"/>
  </si>
  <si>
    <t>학과</t>
    <phoneticPr fontId="5" type="noConversion"/>
  </si>
  <si>
    <t>과제</t>
    <phoneticPr fontId="5" type="noConversion"/>
  </si>
  <si>
    <t>빈도수</t>
    <phoneticPr fontId="5" type="noConversion"/>
  </si>
  <si>
    <t>D</t>
    <phoneticPr fontId="5" type="noConversion"/>
  </si>
  <si>
    <t>C</t>
    <phoneticPr fontId="5" type="noConversion"/>
  </si>
  <si>
    <t>B</t>
    <phoneticPr fontId="5" type="noConversion"/>
  </si>
  <si>
    <t>A</t>
    <phoneticPr fontId="5" type="noConversion"/>
  </si>
  <si>
    <r>
      <t>A</t>
    </r>
    <r>
      <rPr>
        <sz val="11"/>
        <color theme="1"/>
        <rFont val="맑은 고딕"/>
        <family val="3"/>
        <charset val="129"/>
        <scheme val="major"/>
      </rPr>
      <t>+</t>
    </r>
    <phoneticPr fontId="5" type="noConversion"/>
  </si>
  <si>
    <t>[표3]</t>
    <phoneticPr fontId="5" type="noConversion"/>
  </si>
  <si>
    <t>차종에 따른 판매 현황</t>
    <phoneticPr fontId="5" type="noConversion"/>
  </si>
  <si>
    <t>대리점</t>
    <phoneticPr fontId="5" type="noConversion"/>
  </si>
  <si>
    <t>차종</t>
  </si>
  <si>
    <t>상반기 판매량</t>
    <phoneticPr fontId="5" type="noConversion"/>
  </si>
  <si>
    <t>상반기판매액</t>
    <phoneticPr fontId="5" type="noConversion"/>
  </si>
  <si>
    <t>하반기 판매량</t>
    <phoneticPr fontId="5" type="noConversion"/>
  </si>
  <si>
    <t>하반기판매액</t>
    <phoneticPr fontId="5" type="noConversion"/>
  </si>
  <si>
    <t>총판매액</t>
    <phoneticPr fontId="5" type="noConversion"/>
  </si>
  <si>
    <t>동부</t>
    <phoneticPr fontId="5" type="noConversion"/>
  </si>
  <si>
    <t>누비라</t>
    <phoneticPr fontId="5" type="noConversion"/>
  </si>
  <si>
    <t>그랜저</t>
    <phoneticPr fontId="5" type="noConversion"/>
  </si>
  <si>
    <t>북부</t>
    <phoneticPr fontId="5" type="noConversion"/>
  </si>
  <si>
    <t>강남</t>
    <phoneticPr fontId="5" type="noConversion"/>
  </si>
  <si>
    <t>서부</t>
    <phoneticPr fontId="5" type="noConversion"/>
  </si>
  <si>
    <t>코란도</t>
    <phoneticPr fontId="5" type="noConversion"/>
  </si>
  <si>
    <t>코란도</t>
  </si>
  <si>
    <t>누비라</t>
  </si>
  <si>
    <t>판매액</t>
    <phoneticPr fontId="5" type="noConversion"/>
  </si>
  <si>
    <t>성명</t>
    <phoneticPr fontId="5" type="noConversion"/>
  </si>
  <si>
    <t>부서명</t>
    <phoneticPr fontId="5" type="noConversion"/>
  </si>
  <si>
    <t>직위</t>
    <phoneticPr fontId="5" type="noConversion"/>
  </si>
  <si>
    <t>1차(전공)</t>
    <phoneticPr fontId="5" type="noConversion"/>
  </si>
  <si>
    <t>2차(업무)</t>
    <phoneticPr fontId="5" type="noConversion"/>
  </si>
  <si>
    <t>근무태도</t>
    <phoneticPr fontId="5" type="noConversion"/>
  </si>
  <si>
    <t>업무기여도</t>
    <phoneticPr fontId="5" type="noConversion"/>
  </si>
  <si>
    <t>총고과점수</t>
    <phoneticPr fontId="5" type="noConversion"/>
  </si>
  <si>
    <t>강재석</t>
    <phoneticPr fontId="5" type="noConversion"/>
  </si>
  <si>
    <t>영업부</t>
    <phoneticPr fontId="5" type="noConversion"/>
  </si>
  <si>
    <t>대리</t>
    <phoneticPr fontId="5" type="noConversion"/>
  </si>
  <si>
    <t>김유민</t>
    <phoneticPr fontId="5" type="noConversion"/>
  </si>
  <si>
    <t>총무부</t>
    <phoneticPr fontId="5" type="noConversion"/>
  </si>
  <si>
    <t>천일만</t>
    <phoneticPr fontId="5" type="noConversion"/>
  </si>
  <si>
    <t>부장</t>
    <phoneticPr fontId="5" type="noConversion"/>
  </si>
  <si>
    <t>민화연</t>
    <phoneticPr fontId="5" type="noConversion"/>
  </si>
  <si>
    <t>과장</t>
    <phoneticPr fontId="5" type="noConversion"/>
  </si>
  <si>
    <t>박만이</t>
    <phoneticPr fontId="5" type="noConversion"/>
  </si>
  <si>
    <t>신재호</t>
    <phoneticPr fontId="5" type="noConversion"/>
  </si>
  <si>
    <t>이상진</t>
    <phoneticPr fontId="5" type="noConversion"/>
  </si>
  <si>
    <t>경리부</t>
    <phoneticPr fontId="5" type="noConversion"/>
  </si>
  <si>
    <t>이사</t>
    <phoneticPr fontId="5" type="noConversion"/>
  </si>
  <si>
    <t>류진석</t>
    <phoneticPr fontId="5" type="noConversion"/>
  </si>
  <si>
    <t>전지애</t>
    <phoneticPr fontId="5" type="noConversion"/>
  </si>
  <si>
    <t>사원</t>
    <phoneticPr fontId="5" type="noConversion"/>
  </si>
  <si>
    <t>정성국</t>
    <phoneticPr fontId="5" type="noConversion"/>
  </si>
  <si>
    <t>이지현</t>
    <phoneticPr fontId="5" type="noConversion"/>
  </si>
  <si>
    <t>한수희</t>
    <phoneticPr fontId="5" type="noConversion"/>
  </si>
  <si>
    <t>판매원별 판매 현황</t>
    <phoneticPr fontId="5" type="noConversion"/>
  </si>
  <si>
    <t>품목</t>
  </si>
  <si>
    <t>판매원</t>
  </si>
  <si>
    <t>판매액</t>
  </si>
  <si>
    <t>판매일자</t>
  </si>
  <si>
    <t>구매자수</t>
  </si>
  <si>
    <t>문구류</t>
  </si>
  <si>
    <t>강석현</t>
  </si>
  <si>
    <t>프린터소모품</t>
  </si>
  <si>
    <t>나하연</t>
    <phoneticPr fontId="5" type="noConversion"/>
  </si>
  <si>
    <t>OHP필름</t>
  </si>
  <si>
    <t>배한석</t>
  </si>
  <si>
    <t>건전지</t>
  </si>
  <si>
    <t>견고한</t>
    <phoneticPr fontId="5" type="noConversion"/>
  </si>
  <si>
    <t>모한나</t>
    <phoneticPr fontId="5" type="noConversion"/>
  </si>
  <si>
    <t>길나무</t>
    <phoneticPr fontId="5" type="noConversion"/>
  </si>
  <si>
    <t>이동수</t>
  </si>
  <si>
    <t>누구나</t>
    <phoneticPr fontId="5" type="noConversion"/>
  </si>
  <si>
    <t>매출 관리</t>
    <phoneticPr fontId="5" type="noConversion"/>
  </si>
  <si>
    <t>[참조표]</t>
    <phoneticPr fontId="5" type="noConversion"/>
  </si>
  <si>
    <t>제품명</t>
    <phoneticPr fontId="5" type="noConversion"/>
  </si>
  <si>
    <t>수량</t>
    <phoneticPr fontId="5" type="noConversion"/>
  </si>
  <si>
    <t>단가</t>
    <phoneticPr fontId="5" type="noConversion"/>
  </si>
  <si>
    <t>영업담당</t>
    <phoneticPr fontId="5" type="noConversion"/>
  </si>
  <si>
    <t>판매액</t>
    <phoneticPr fontId="5" type="noConversion"/>
  </si>
  <si>
    <t>컴퓨터</t>
  </si>
  <si>
    <t>김을동</t>
  </si>
  <si>
    <t>컴퓨터</t>
    <phoneticPr fontId="5" type="noConversion"/>
  </si>
  <si>
    <t>김을동</t>
    <phoneticPr fontId="5" type="noConversion"/>
  </si>
  <si>
    <t>홈시어터</t>
    <phoneticPr fontId="5" type="noConversion"/>
  </si>
  <si>
    <t>홍길동</t>
    <phoneticPr fontId="5" type="noConversion"/>
  </si>
  <si>
    <t>냉장고</t>
    <phoneticPr fontId="5" type="noConversion"/>
  </si>
  <si>
    <t>이한나</t>
    <phoneticPr fontId="5" type="noConversion"/>
  </si>
  <si>
    <t>세탁기</t>
    <phoneticPr fontId="5" type="noConversion"/>
  </si>
  <si>
    <t>염정희</t>
    <phoneticPr fontId="5" type="noConversion"/>
  </si>
  <si>
    <t>학번</t>
  </si>
  <si>
    <t>이름</t>
  </si>
  <si>
    <t>학과</t>
  </si>
  <si>
    <t>과제</t>
  </si>
  <si>
    <t>중간</t>
  </si>
  <si>
    <t>기말</t>
  </si>
  <si>
    <t>종합</t>
  </si>
  <si>
    <t>가중평균</t>
  </si>
  <si>
    <t>중간석차</t>
  </si>
  <si>
    <t>기말학점</t>
  </si>
  <si>
    <t>홍길동</t>
  </si>
  <si>
    <t>경영</t>
  </si>
  <si>
    <t>C</t>
  </si>
  <si>
    <t>강감찬</t>
  </si>
  <si>
    <t>이순신</t>
  </si>
  <si>
    <t>전산</t>
  </si>
  <si>
    <t>B</t>
  </si>
  <si>
    <t>이율곡</t>
  </si>
  <si>
    <t>성삼문</t>
  </si>
  <si>
    <t>A</t>
  </si>
  <si>
    <t>정약용</t>
  </si>
  <si>
    <t>김준석</t>
  </si>
  <si>
    <t>서원석</t>
  </si>
  <si>
    <t>김상철</t>
  </si>
  <si>
    <t>D</t>
  </si>
  <si>
    <t>최옥자</t>
  </si>
  <si>
    <t>한영희</t>
  </si>
  <si>
    <t>송현우</t>
  </si>
  <si>
    <t>이욱현</t>
  </si>
  <si>
    <t>심상섭</t>
  </si>
  <si>
    <t>이창섭</t>
  </si>
  <si>
    <t>진양혜</t>
  </si>
  <si>
    <t>김미숙</t>
  </si>
  <si>
    <t>오성식</t>
  </si>
  <si>
    <t>배동진</t>
  </si>
  <si>
    <t>이창명</t>
  </si>
  <si>
    <t>배유정</t>
  </si>
  <si>
    <t>이무열</t>
  </si>
  <si>
    <t>양창석</t>
  </si>
  <si>
    <t>서호형</t>
  </si>
  <si>
    <t>이철형</t>
  </si>
  <si>
    <t>조숙희</t>
  </si>
  <si>
    <t>행 레이블</t>
  </si>
  <si>
    <t>총합계</t>
  </si>
  <si>
    <t>열 레이블</t>
  </si>
  <si>
    <t>합계 : 종합</t>
  </si>
  <si>
    <t>161000-170999</t>
  </si>
  <si>
    <t>171000-180999</t>
  </si>
  <si>
    <t>제품번호</t>
  </si>
  <si>
    <t>제품명</t>
  </si>
  <si>
    <t>등급</t>
  </si>
  <si>
    <t>등록일자</t>
  </si>
  <si>
    <t>단가</t>
  </si>
  <si>
    <t>수량</t>
  </si>
  <si>
    <t>금액</t>
  </si>
  <si>
    <t>C-02</t>
  </si>
  <si>
    <t>용의 전설</t>
  </si>
  <si>
    <t>18세이상</t>
  </si>
  <si>
    <t>D-02</t>
  </si>
  <si>
    <t>한국 협객전</t>
  </si>
  <si>
    <t>E-01</t>
  </si>
  <si>
    <t>만년</t>
  </si>
  <si>
    <t>14세이상</t>
  </si>
  <si>
    <t>제품 판매 현황</t>
    <phoneticPr fontId="4" type="noConversion"/>
  </si>
  <si>
    <t>구분</t>
    <phoneticPr fontId="4" type="noConversion"/>
  </si>
  <si>
    <t>제품명</t>
    <phoneticPr fontId="4" type="noConversion"/>
  </si>
  <si>
    <t>판매가</t>
    <phoneticPr fontId="4" type="noConversion"/>
  </si>
  <si>
    <t>판매량</t>
    <phoneticPr fontId="4" type="noConversion"/>
  </si>
  <si>
    <t>판매총액</t>
    <phoneticPr fontId="4" type="noConversion"/>
  </si>
  <si>
    <t>미술</t>
    <phoneticPr fontId="4" type="noConversion"/>
  </si>
  <si>
    <t>붓</t>
    <phoneticPr fontId="4" type="noConversion"/>
  </si>
  <si>
    <t>음악</t>
    <phoneticPr fontId="4" type="noConversion"/>
  </si>
  <si>
    <t>멜로디언</t>
    <phoneticPr fontId="4" type="noConversion"/>
  </si>
  <si>
    <t>체육</t>
    <phoneticPr fontId="4" type="noConversion"/>
  </si>
  <si>
    <t>훌라후프</t>
    <phoneticPr fontId="4" type="noConversion"/>
  </si>
  <si>
    <t>탬버린</t>
    <phoneticPr fontId="4" type="noConversion"/>
  </si>
  <si>
    <t>파스텔</t>
    <phoneticPr fontId="4" type="noConversion"/>
  </si>
  <si>
    <t>축구공</t>
    <phoneticPr fontId="4" type="noConversion"/>
  </si>
  <si>
    <t>리코더</t>
    <phoneticPr fontId="4" type="noConversion"/>
  </si>
  <si>
    <t>줄넘기</t>
    <phoneticPr fontId="4" type="noConversion"/>
  </si>
  <si>
    <t>물감</t>
    <phoneticPr fontId="4" type="noConversion"/>
  </si>
  <si>
    <t>미술용품 판매총액 합계</t>
    <phoneticPr fontId="4" type="noConversion"/>
  </si>
  <si>
    <t>필수입력요망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</si>
</sst>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1" formatCode="_-* #,##0_-;\-* #,##0_-;_-* &quot;-&quot;_-;_-@_-"/>
    <numFmt numFmtId="176" formatCode="mm&quot;/&quot;dd"/>
    <numFmt numFmtId="177" formatCode="mm&quot;월&quot;\ dd&quot;일&quot;"/>
    <numFmt numFmtId="178" formatCode="0.0%"/>
  </numFmts>
  <fonts count="14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11"/>
      <name val="맑은 고딕"/>
      <family val="3"/>
      <charset val="129"/>
      <scheme val="major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2"/>
      <name val="맑은 고딕"/>
      <family val="3"/>
      <charset val="129"/>
      <scheme val="major"/>
    </font>
    <font>
      <sz val="11"/>
      <color theme="1"/>
      <name val="맑은 고딕"/>
      <family val="3"/>
      <charset val="129"/>
      <scheme val="major"/>
    </font>
    <font>
      <b/>
      <sz val="14"/>
      <name val="맑은 고딕"/>
      <family val="3"/>
      <charset val="129"/>
      <scheme val="major"/>
    </font>
    <font>
      <sz val="14"/>
      <name val="맑은 고딕"/>
      <family val="3"/>
      <charset val="129"/>
      <scheme val="major"/>
    </font>
    <font>
      <b/>
      <sz val="11"/>
      <name val="맑은 고딕"/>
      <family val="3"/>
      <charset val="129"/>
      <scheme val="major"/>
    </font>
    <font>
      <b/>
      <sz val="11"/>
      <color theme="0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ajor"/>
    </font>
    <font>
      <b/>
      <sz val="15"/>
      <color theme="1"/>
      <name val="맑은 고딕"/>
      <family val="3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92D050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/>
      <top style="thin">
        <color theme="4"/>
      </top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</borders>
  <cellStyleXfs count="6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2" fillId="0" borderId="0"/>
    <xf numFmtId="41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1" fontId="1" fillId="0" borderId="0" applyFont="0" applyFill="0" applyBorder="0" applyAlignment="0" applyProtection="0">
      <alignment vertical="center"/>
    </xf>
  </cellStyleXfs>
  <cellXfs count="93">
    <xf numFmtId="0" fontId="0" fillId="0" borderId="0" xfId="0">
      <alignment vertical="center"/>
    </xf>
    <xf numFmtId="0" fontId="3" fillId="0" borderId="0" xfId="2" applyNumberFormat="1" applyFont="1" applyAlignment="1">
      <alignment vertical="top"/>
    </xf>
    <xf numFmtId="0" fontId="3" fillId="0" borderId="0" xfId="2" applyFont="1"/>
    <xf numFmtId="49" fontId="6" fillId="0" borderId="1" xfId="2" applyNumberFormat="1" applyFont="1" applyFill="1" applyBorder="1" applyAlignment="1">
      <alignment horizontal="center" vertical="center"/>
    </xf>
    <xf numFmtId="0" fontId="6" fillId="0" borderId="2" xfId="2" applyFont="1" applyFill="1" applyBorder="1" applyAlignment="1">
      <alignment horizontal="center" vertical="center"/>
    </xf>
    <xf numFmtId="0" fontId="6" fillId="0" borderId="3" xfId="2" applyFont="1" applyFill="1" applyBorder="1" applyAlignment="1">
      <alignment horizontal="center" vertical="center"/>
    </xf>
    <xf numFmtId="49" fontId="3" fillId="0" borderId="4" xfId="2" applyNumberFormat="1" applyFont="1" applyBorder="1" applyAlignment="1">
      <alignment horizontal="center" vertical="center"/>
    </xf>
    <xf numFmtId="0" fontId="3" fillId="0" borderId="5" xfId="2" applyFont="1" applyBorder="1" applyAlignment="1">
      <alignment horizontal="center" vertical="center"/>
    </xf>
    <xf numFmtId="41" fontId="7" fillId="0" borderId="7" xfId="3" applyFont="1" applyBorder="1" applyAlignment="1">
      <alignment vertical="center"/>
    </xf>
    <xf numFmtId="49" fontId="3" fillId="0" borderId="8" xfId="2" applyNumberFormat="1" applyFont="1" applyBorder="1" applyAlignment="1">
      <alignment horizontal="center" vertical="center"/>
    </xf>
    <xf numFmtId="0" fontId="3" fillId="0" borderId="9" xfId="2" applyFont="1" applyBorder="1" applyAlignment="1">
      <alignment horizontal="center" vertical="center"/>
    </xf>
    <xf numFmtId="41" fontId="7" fillId="0" borderId="10" xfId="3" applyFont="1" applyBorder="1" applyAlignment="1">
      <alignment vertical="center"/>
    </xf>
    <xf numFmtId="49" fontId="3" fillId="0" borderId="0" xfId="2" applyNumberFormat="1" applyFont="1"/>
    <xf numFmtId="0" fontId="3" fillId="0" borderId="11" xfId="2" applyFont="1" applyFill="1" applyBorder="1"/>
    <xf numFmtId="0" fontId="3" fillId="0" borderId="11" xfId="2" applyFont="1" applyBorder="1" applyAlignment="1">
      <alignment horizontal="left" vertical="center"/>
    </xf>
    <xf numFmtId="0" fontId="3" fillId="0" borderId="11" xfId="2" applyFont="1" applyBorder="1" applyAlignment="1">
      <alignment horizontal="center" vertical="center"/>
    </xf>
    <xf numFmtId="0" fontId="3" fillId="0" borderId="0" xfId="2" applyFont="1" applyFill="1"/>
    <xf numFmtId="0" fontId="3" fillId="0" borderId="12" xfId="2" applyFont="1" applyBorder="1" applyAlignment="1">
      <alignment horizontal="center" vertical="center"/>
    </xf>
    <xf numFmtId="0" fontId="3" fillId="0" borderId="5" xfId="2" applyFont="1" applyFill="1" applyBorder="1" applyAlignment="1">
      <alignment horizontal="center"/>
    </xf>
    <xf numFmtId="0" fontId="3" fillId="2" borderId="5" xfId="2" applyFont="1" applyFill="1" applyBorder="1" applyAlignment="1">
      <alignment horizontal="center" vertical="center"/>
    </xf>
    <xf numFmtId="0" fontId="3" fillId="0" borderId="0" xfId="2" applyFont="1" applyFill="1" applyAlignment="1">
      <alignment horizontal="center"/>
    </xf>
    <xf numFmtId="0" fontId="3" fillId="3" borderId="5" xfId="2" applyFont="1" applyFill="1" applyBorder="1" applyAlignment="1">
      <alignment horizontal="center" vertical="center"/>
    </xf>
    <xf numFmtId="0" fontId="3" fillId="0" borderId="5" xfId="2" applyFont="1" applyBorder="1" applyAlignment="1">
      <alignment vertical="center"/>
    </xf>
    <xf numFmtId="0" fontId="3" fillId="0" borderId="5" xfId="2" applyFont="1" applyBorder="1" applyAlignment="1">
      <alignment horizontal="center"/>
    </xf>
    <xf numFmtId="0" fontId="3" fillId="0" borderId="0" xfId="2" applyFont="1" applyAlignment="1">
      <alignment vertical="center"/>
    </xf>
    <xf numFmtId="9" fontId="3" fillId="0" borderId="5" xfId="2" applyNumberFormat="1" applyFont="1" applyBorder="1" applyAlignment="1">
      <alignment vertical="center"/>
    </xf>
    <xf numFmtId="0" fontId="3" fillId="0" borderId="5" xfId="2" applyFont="1" applyFill="1" applyBorder="1"/>
    <xf numFmtId="0" fontId="3" fillId="0" borderId="5" xfId="2" applyFont="1" applyBorder="1" applyAlignment="1">
      <alignment horizontal="right" vertical="center"/>
    </xf>
    <xf numFmtId="0" fontId="3" fillId="0" borderId="5" xfId="2" applyFont="1" applyFill="1" applyBorder="1" applyAlignment="1">
      <alignment horizontal="right"/>
    </xf>
    <xf numFmtId="9" fontId="3" fillId="0" borderId="5" xfId="1" applyFont="1" applyFill="1" applyBorder="1" applyAlignment="1"/>
    <xf numFmtId="0" fontId="7" fillId="0" borderId="0" xfId="2" applyFont="1" applyFill="1" applyAlignment="1">
      <alignment horizontal="left"/>
    </xf>
    <xf numFmtId="0" fontId="3" fillId="0" borderId="0" xfId="2" applyFont="1" applyFill="1" applyAlignment="1">
      <alignment horizontal="left"/>
    </xf>
    <xf numFmtId="0" fontId="3" fillId="0" borderId="5" xfId="2" applyFont="1" applyFill="1" applyBorder="1" applyAlignment="1">
      <alignment horizontal="center" vertical="center"/>
    </xf>
    <xf numFmtId="41" fontId="3" fillId="0" borderId="5" xfId="3" applyFont="1" applyFill="1" applyBorder="1" applyAlignment="1">
      <alignment horizontal="right"/>
    </xf>
    <xf numFmtId="41" fontId="3" fillId="0" borderId="5" xfId="4" applyNumberFormat="1" applyFont="1" applyFill="1" applyBorder="1"/>
    <xf numFmtId="0" fontId="3" fillId="3" borderId="5" xfId="2" applyFont="1" applyFill="1" applyBorder="1" applyAlignment="1">
      <alignment horizontal="center"/>
    </xf>
    <xf numFmtId="41" fontId="3" fillId="0" borderId="5" xfId="3" applyFont="1" applyFill="1" applyBorder="1"/>
    <xf numFmtId="0" fontId="3" fillId="0" borderId="5" xfId="2" applyFont="1" applyBorder="1"/>
    <xf numFmtId="0" fontId="3" fillId="0" borderId="0" xfId="2" applyFont="1" applyAlignment="1">
      <alignment horizontal="center"/>
    </xf>
    <xf numFmtId="176" fontId="3" fillId="0" borderId="0" xfId="2" applyNumberFormat="1" applyFont="1" applyAlignment="1">
      <alignment horizontal="center"/>
    </xf>
    <xf numFmtId="3" fontId="3" fillId="0" borderId="5" xfId="2" applyNumberFormat="1" applyFont="1" applyBorder="1"/>
    <xf numFmtId="177" fontId="3" fillId="0" borderId="5" xfId="2" applyNumberFormat="1" applyFont="1" applyBorder="1"/>
    <xf numFmtId="3" fontId="3" fillId="0" borderId="5" xfId="2" applyNumberFormat="1" applyFont="1" applyFill="1" applyBorder="1"/>
    <xf numFmtId="0" fontId="9" fillId="0" borderId="0" xfId="2" applyFont="1"/>
    <xf numFmtId="0" fontId="10" fillId="0" borderId="0" xfId="2" applyFont="1" applyAlignment="1">
      <alignment horizontal="center"/>
    </xf>
    <xf numFmtId="3" fontId="3" fillId="0" borderId="0" xfId="2" applyNumberFormat="1" applyFont="1"/>
    <xf numFmtId="41" fontId="7" fillId="0" borderId="0" xfId="3" applyFont="1"/>
    <xf numFmtId="0" fontId="3" fillId="0" borderId="13" xfId="2" applyNumberFormat="1" applyFont="1" applyBorder="1" applyAlignment="1"/>
    <xf numFmtId="0" fontId="3" fillId="0" borderId="14" xfId="2" applyNumberFormat="1" applyFont="1" applyBorder="1" applyAlignment="1"/>
    <xf numFmtId="0" fontId="3" fillId="0" borderId="15" xfId="2" applyNumberFormat="1" applyFont="1" applyBorder="1" applyAlignment="1"/>
    <xf numFmtId="0" fontId="3" fillId="0" borderId="16" xfId="2" applyNumberFormat="1" applyFont="1" applyBorder="1" applyAlignment="1"/>
    <xf numFmtId="0" fontId="3" fillId="0" borderId="17" xfId="2" applyNumberFormat="1" applyFont="1" applyBorder="1" applyAlignment="1"/>
    <xf numFmtId="0" fontId="3" fillId="0" borderId="18" xfId="2" applyNumberFormat="1" applyFont="1" applyBorder="1" applyAlignment="1"/>
    <xf numFmtId="0" fontId="12" fillId="4" borderId="13" xfId="2" applyNumberFormat="1" applyFont="1" applyFill="1" applyBorder="1" applyAlignment="1"/>
    <xf numFmtId="0" fontId="12" fillId="4" borderId="14" xfId="2" applyNumberFormat="1" applyFont="1" applyFill="1" applyBorder="1" applyAlignment="1"/>
    <xf numFmtId="0" fontId="12" fillId="4" borderId="15" xfId="2" applyNumberFormat="1" applyFont="1" applyFill="1" applyBorder="1" applyAlignment="1"/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178" fontId="0" fillId="0" borderId="0" xfId="0" applyNumberFormat="1">
      <alignment vertical="center"/>
    </xf>
    <xf numFmtId="0" fontId="0" fillId="0" borderId="20" xfId="0" applyFont="1" applyBorder="1">
      <alignment vertical="center"/>
    </xf>
    <xf numFmtId="0" fontId="0" fillId="0" borderId="21" xfId="0" applyFont="1" applyBorder="1">
      <alignment vertical="center"/>
    </xf>
    <xf numFmtId="22" fontId="0" fillId="0" borderId="21" xfId="0" applyNumberFormat="1" applyFont="1" applyBorder="1">
      <alignment vertical="center"/>
    </xf>
    <xf numFmtId="0" fontId="0" fillId="0" borderId="22" xfId="0" applyFont="1" applyBorder="1">
      <alignment vertical="center"/>
    </xf>
    <xf numFmtId="0" fontId="11" fillId="4" borderId="23" xfId="0" applyFont="1" applyFill="1" applyBorder="1">
      <alignment vertical="center"/>
    </xf>
    <xf numFmtId="0" fontId="11" fillId="4" borderId="19" xfId="0" applyFont="1" applyFill="1" applyBorder="1">
      <alignment vertical="center"/>
    </xf>
    <xf numFmtId="0" fontId="11" fillId="4" borderId="24" xfId="0" applyFont="1" applyFill="1" applyBorder="1">
      <alignment vertical="center"/>
    </xf>
    <xf numFmtId="0" fontId="0" fillId="5" borderId="23" xfId="0" applyFont="1" applyFill="1" applyBorder="1">
      <alignment vertical="center"/>
    </xf>
    <xf numFmtId="0" fontId="0" fillId="5" borderId="19" xfId="0" applyFont="1" applyFill="1" applyBorder="1">
      <alignment vertical="center"/>
    </xf>
    <xf numFmtId="22" fontId="0" fillId="5" borderId="19" xfId="0" applyNumberFormat="1" applyFont="1" applyFill="1" applyBorder="1">
      <alignment vertical="center"/>
    </xf>
    <xf numFmtId="0" fontId="0" fillId="5" borderId="24" xfId="0" applyFont="1" applyFill="1" applyBorder="1">
      <alignment vertical="center"/>
    </xf>
    <xf numFmtId="0" fontId="0" fillId="0" borderId="23" xfId="0" applyFont="1" applyBorder="1">
      <alignment vertical="center"/>
    </xf>
    <xf numFmtId="0" fontId="0" fillId="0" borderId="19" xfId="0" applyFont="1" applyBorder="1">
      <alignment vertical="center"/>
    </xf>
    <xf numFmtId="22" fontId="0" fillId="0" borderId="19" xfId="0" applyNumberFormat="1" applyFont="1" applyBorder="1">
      <alignment vertical="center"/>
    </xf>
    <xf numFmtId="0" fontId="0" fillId="0" borderId="24" xfId="0" applyFont="1" applyBorder="1">
      <alignment vertical="center"/>
    </xf>
    <xf numFmtId="49" fontId="6" fillId="0" borderId="1" xfId="2" applyNumberFormat="1" applyFont="1" applyFill="1" applyBorder="1" applyAlignment="1" applyProtection="1">
      <alignment horizontal="center" vertical="center"/>
    </xf>
    <xf numFmtId="0" fontId="6" fillId="0" borderId="2" xfId="2" applyFont="1" applyFill="1" applyBorder="1" applyAlignment="1" applyProtection="1">
      <alignment horizontal="center" vertical="center"/>
    </xf>
    <xf numFmtId="0" fontId="6" fillId="0" borderId="3" xfId="2" applyFont="1" applyFill="1" applyBorder="1" applyAlignment="1" applyProtection="1">
      <alignment horizontal="center" vertical="center"/>
    </xf>
    <xf numFmtId="49" fontId="3" fillId="0" borderId="4" xfId="2" applyNumberFormat="1" applyFont="1" applyBorder="1" applyAlignment="1" applyProtection="1">
      <alignment horizontal="center" vertical="center"/>
    </xf>
    <xf numFmtId="0" fontId="3" fillId="0" borderId="5" xfId="2" applyFont="1" applyBorder="1" applyAlignment="1" applyProtection="1">
      <alignment horizontal="center" vertical="center"/>
    </xf>
    <xf numFmtId="41" fontId="7" fillId="0" borderId="6" xfId="3" applyFont="1" applyBorder="1" applyAlignment="1" applyProtection="1">
      <alignment vertical="center"/>
    </xf>
    <xf numFmtId="41" fontId="7" fillId="0" borderId="7" xfId="3" applyFont="1" applyBorder="1" applyAlignment="1" applyProtection="1">
      <alignment vertical="center"/>
    </xf>
    <xf numFmtId="49" fontId="3" fillId="0" borderId="8" xfId="2" applyNumberFormat="1" applyFont="1" applyBorder="1" applyAlignment="1" applyProtection="1">
      <alignment horizontal="center" vertical="center"/>
    </xf>
    <xf numFmtId="0" fontId="3" fillId="0" borderId="9" xfId="2" applyFont="1" applyBorder="1" applyAlignment="1" applyProtection="1">
      <alignment horizontal="center" vertical="center"/>
    </xf>
    <xf numFmtId="41" fontId="7" fillId="0" borderId="10" xfId="3" applyFont="1" applyBorder="1" applyAlignment="1" applyProtection="1">
      <alignment vertical="center"/>
    </xf>
    <xf numFmtId="0" fontId="0" fillId="0" borderId="5" xfId="0" applyBorder="1" applyAlignment="1">
      <alignment horizontal="center" vertical="center"/>
    </xf>
    <xf numFmtId="41" fontId="0" fillId="0" borderId="5" xfId="5" applyFont="1" applyBorder="1" applyAlignment="1">
      <alignment horizontal="center" vertical="center"/>
    </xf>
    <xf numFmtId="41" fontId="0" fillId="0" borderId="5" xfId="5" applyFont="1" applyBorder="1">
      <alignment vertical="center"/>
    </xf>
    <xf numFmtId="0" fontId="0" fillId="0" borderId="5" xfId="0" applyBorder="1" applyAlignment="1" applyProtection="1">
      <alignment horizontal="center" vertical="center"/>
      <protection locked="0"/>
    </xf>
    <xf numFmtId="41" fontId="0" fillId="0" borderId="5" xfId="5" applyFont="1" applyBorder="1" applyAlignment="1" applyProtection="1">
      <alignment horizontal="center" vertical="center"/>
      <protection locked="0"/>
    </xf>
    <xf numFmtId="0" fontId="0" fillId="6" borderId="5" xfId="0" applyFill="1" applyBorder="1" applyAlignment="1">
      <alignment horizontal="center" vertical="center"/>
    </xf>
    <xf numFmtId="0" fontId="13" fillId="0" borderId="11" xfId="0" applyFont="1" applyBorder="1" applyAlignment="1">
      <alignment horizontal="center" vertical="center"/>
    </xf>
    <xf numFmtId="0" fontId="3" fillId="0" borderId="11" xfId="2" applyFont="1" applyBorder="1" applyAlignment="1">
      <alignment horizontal="center" vertical="center"/>
    </xf>
    <xf numFmtId="0" fontId="8" fillId="0" borderId="0" xfId="2" applyNumberFormat="1" applyFont="1" applyAlignment="1">
      <alignment horizontal="center" vertical="center"/>
    </xf>
  </cellXfs>
  <cellStyles count="6">
    <cellStyle name="백분율" xfId="1" builtinId="5"/>
    <cellStyle name="백분율 2" xfId="4"/>
    <cellStyle name="쉼표 [0]" xfId="5" builtinId="6"/>
    <cellStyle name="쉼표 [0] 2" xfId="3"/>
    <cellStyle name="표준" xfId="0" builtinId="0"/>
    <cellStyle name="표준 2" xfId="2"/>
  </cellStyles>
  <dxfs count="1">
    <dxf>
      <font>
        <b/>
        <i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500"/>
            </a:pPr>
            <a:r>
              <a:rPr lang="ko-KR" altLang="en-US" sz="1500"/>
              <a:t>미술</a:t>
            </a:r>
            <a:r>
              <a:rPr lang="en-US" altLang="ko-KR" sz="1500"/>
              <a:t>/</a:t>
            </a:r>
            <a:r>
              <a:rPr lang="ko-KR" altLang="en-US" sz="1500"/>
              <a:t>음악 관련 제품의 판매현황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'기본작업-3'!$E$2</c:f>
              <c:strCache>
                <c:ptCount val="1"/>
                <c:pt idx="0">
                  <c:v>판매총액</c:v>
                </c:pt>
              </c:strCache>
            </c:strRef>
          </c:tx>
          <c:cat>
            <c:strRef>
              <c:f>('기본작업-3'!$B$3:$B$4,'기본작업-3'!$B$6:$B$7,'기본작업-3'!$B$9,'기본작업-3'!$B$11)</c:f>
              <c:strCache>
                <c:ptCount val="6"/>
                <c:pt idx="0">
                  <c:v>붓</c:v>
                </c:pt>
                <c:pt idx="1">
                  <c:v>멜로디언</c:v>
                </c:pt>
                <c:pt idx="2">
                  <c:v>탬버린</c:v>
                </c:pt>
                <c:pt idx="3">
                  <c:v>파스텔</c:v>
                </c:pt>
                <c:pt idx="4">
                  <c:v>리코더</c:v>
                </c:pt>
                <c:pt idx="5">
                  <c:v>물감</c:v>
                </c:pt>
              </c:strCache>
            </c:strRef>
          </c:cat>
          <c:val>
            <c:numRef>
              <c:f>('기본작업-3'!$E$3:$E$4,'기본작업-3'!$E$6:$E$7,'기본작업-3'!$E$9,'기본작업-3'!$E$11)</c:f>
              <c:numCache>
                <c:formatCode>_(* #,##0_);_(* \(#,##0\);_(* "-"_);_(@_)</c:formatCode>
                <c:ptCount val="6"/>
                <c:pt idx="0">
                  <c:v>173600</c:v>
                </c:pt>
                <c:pt idx="1">
                  <c:v>436800</c:v>
                </c:pt>
                <c:pt idx="2">
                  <c:v>364000</c:v>
                </c:pt>
                <c:pt idx="3">
                  <c:v>312000</c:v>
                </c:pt>
                <c:pt idx="4">
                  <c:v>224100</c:v>
                </c:pt>
                <c:pt idx="5">
                  <c:v>283500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7274368"/>
        <c:axId val="167275904"/>
      </c:lineChart>
      <c:catAx>
        <c:axId val="167274368"/>
        <c:scaling>
          <c:orientation val="minMax"/>
        </c:scaling>
        <c:delete val="0"/>
        <c:axPos val="b"/>
        <c:majorTickMark val="out"/>
        <c:minorTickMark val="none"/>
        <c:tickLblPos val="nextTo"/>
        <c:crossAx val="167275904"/>
        <c:crosses val="autoZero"/>
        <c:auto val="1"/>
        <c:lblAlgn val="ctr"/>
        <c:lblOffset val="100"/>
        <c:noMultiLvlLbl val="0"/>
      </c:catAx>
      <c:valAx>
        <c:axId val="167275904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67274368"/>
        <c:crosses val="autoZero"/>
        <c:crossBetween val="between"/>
        <c:majorUnit val="100000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'기타작업-1'!$B$1:$E$1</c:f>
          <c:strCache>
            <c:ptCount val="1"/>
            <c:pt idx="0">
              <c:v>판매원별 판매 현황</c:v>
            </c:pt>
          </c:strCache>
        </c:strRef>
      </c:tx>
      <c:overlay val="0"/>
      <c:txPr>
        <a:bodyPr/>
        <a:lstStyle/>
        <a:p>
          <a:pPr>
            <a:defRPr sz="1400">
              <a:latin typeface="궁서체" panose="02030609000101010101" pitchFamily="17" charset="-127"/>
              <a:ea typeface="궁서체" panose="02030609000101010101" pitchFamily="17" charset="-127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1"/>
          <c:order val="1"/>
          <c:tx>
            <c:strRef>
              <c:f>'기타작업-1'!$E$3</c:f>
              <c:strCache>
                <c:ptCount val="1"/>
                <c:pt idx="0">
                  <c:v>구매자수</c:v>
                </c:pt>
              </c:strCache>
            </c:strRef>
          </c:tx>
          <c:cat>
            <c:strRef>
              <c:f>'기타작업-1'!$B$4:$B$11</c:f>
              <c:strCache>
                <c:ptCount val="8"/>
                <c:pt idx="0">
                  <c:v>강석현</c:v>
                </c:pt>
                <c:pt idx="1">
                  <c:v>나하연</c:v>
                </c:pt>
                <c:pt idx="2">
                  <c:v>배한석</c:v>
                </c:pt>
                <c:pt idx="3">
                  <c:v>견고한</c:v>
                </c:pt>
                <c:pt idx="4">
                  <c:v>모한나</c:v>
                </c:pt>
                <c:pt idx="5">
                  <c:v>길나무</c:v>
                </c:pt>
                <c:pt idx="6">
                  <c:v>이동수</c:v>
                </c:pt>
                <c:pt idx="7">
                  <c:v>누구나</c:v>
                </c:pt>
              </c:strCache>
            </c:strRef>
          </c:cat>
          <c:val>
            <c:numRef>
              <c:f>'기타작업-1'!$E$4:$E$11</c:f>
              <c:numCache>
                <c:formatCode>General</c:formatCode>
                <c:ptCount val="8"/>
                <c:pt idx="0">
                  <c:v>23</c:v>
                </c:pt>
                <c:pt idx="1">
                  <c:v>12</c:v>
                </c:pt>
                <c:pt idx="2">
                  <c:v>28</c:v>
                </c:pt>
                <c:pt idx="3">
                  <c:v>18</c:v>
                </c:pt>
                <c:pt idx="4">
                  <c:v>95</c:v>
                </c:pt>
                <c:pt idx="5">
                  <c:v>78</c:v>
                </c:pt>
                <c:pt idx="6">
                  <c:v>42</c:v>
                </c:pt>
                <c:pt idx="7">
                  <c:v>58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37952"/>
        <c:axId val="179836416"/>
      </c:areaChart>
      <c:barChart>
        <c:barDir val="col"/>
        <c:grouping val="clustered"/>
        <c:varyColors val="0"/>
        <c:ser>
          <c:idx val="0"/>
          <c:order val="0"/>
          <c:tx>
            <c:strRef>
              <c:f>'기타작업-1'!$C$3</c:f>
              <c:strCache>
                <c:ptCount val="1"/>
                <c:pt idx="0">
                  <c:v>판매액</c:v>
                </c:pt>
              </c:strCache>
            </c:strRef>
          </c:tx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cat>
            <c:strRef>
              <c:f>'기타작업-1'!$B$4:$B$11</c:f>
              <c:strCache>
                <c:ptCount val="8"/>
                <c:pt idx="0">
                  <c:v>강석현</c:v>
                </c:pt>
                <c:pt idx="1">
                  <c:v>나하연</c:v>
                </c:pt>
                <c:pt idx="2">
                  <c:v>배한석</c:v>
                </c:pt>
                <c:pt idx="3">
                  <c:v>견고한</c:v>
                </c:pt>
                <c:pt idx="4">
                  <c:v>모한나</c:v>
                </c:pt>
                <c:pt idx="5">
                  <c:v>길나무</c:v>
                </c:pt>
                <c:pt idx="6">
                  <c:v>이동수</c:v>
                </c:pt>
                <c:pt idx="7">
                  <c:v>누구나</c:v>
                </c:pt>
              </c:strCache>
            </c:strRef>
          </c:cat>
          <c:val>
            <c:numRef>
              <c:f>'기타작업-1'!$C$4:$C$11</c:f>
              <c:numCache>
                <c:formatCode>#,##0</c:formatCode>
                <c:ptCount val="8"/>
                <c:pt idx="0">
                  <c:v>356000</c:v>
                </c:pt>
                <c:pt idx="1">
                  <c:v>173000</c:v>
                </c:pt>
                <c:pt idx="2">
                  <c:v>498000</c:v>
                </c:pt>
                <c:pt idx="3">
                  <c:v>87000</c:v>
                </c:pt>
                <c:pt idx="4">
                  <c:v>1530000</c:v>
                </c:pt>
                <c:pt idx="5">
                  <c:v>1837000</c:v>
                </c:pt>
                <c:pt idx="6">
                  <c:v>732000</c:v>
                </c:pt>
                <c:pt idx="7">
                  <c:v>500000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9828608"/>
        <c:axId val="179830144"/>
      </c:barChart>
      <c:catAx>
        <c:axId val="179828608"/>
        <c:scaling>
          <c:orientation val="minMax"/>
        </c:scaling>
        <c:delete val="0"/>
        <c:axPos val="b"/>
        <c:majorTickMark val="out"/>
        <c:minorTickMark val="none"/>
        <c:tickLblPos val="nextTo"/>
        <c:crossAx val="179830144"/>
        <c:crosses val="autoZero"/>
        <c:auto val="1"/>
        <c:lblAlgn val="ctr"/>
        <c:lblOffset val="100"/>
        <c:noMultiLvlLbl val="0"/>
      </c:catAx>
      <c:valAx>
        <c:axId val="1798301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ko-KR" altLang="en-US"/>
                  <a:t>판매액</a:t>
                </a:r>
              </a:p>
            </c:rich>
          </c:tx>
          <c:overlay val="0"/>
        </c:title>
        <c:numFmt formatCode="#,##0" sourceLinked="1"/>
        <c:majorTickMark val="none"/>
        <c:minorTickMark val="none"/>
        <c:tickLblPos val="nextTo"/>
        <c:crossAx val="179828608"/>
        <c:crosses val="autoZero"/>
        <c:crossBetween val="midCat"/>
        <c:majorUnit val="400000"/>
      </c:valAx>
      <c:valAx>
        <c:axId val="17983641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crossAx val="179837952"/>
        <c:crosses val="max"/>
        <c:crossBetween val="between"/>
      </c:valAx>
      <c:catAx>
        <c:axId val="179837952"/>
        <c:scaling>
          <c:orientation val="minMax"/>
        </c:scaling>
        <c:delete val="1"/>
        <c:axPos val="b"/>
        <c:majorTickMark val="out"/>
        <c:minorTickMark val="none"/>
        <c:tickLblPos val="nextTo"/>
        <c:crossAx val="179836416"/>
        <c:crosses val="autoZero"/>
        <c:auto val="1"/>
        <c:lblAlgn val="ctr"/>
        <c:lblOffset val="100"/>
        <c:noMultiLvlLbl val="0"/>
      </c:cat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wmf"/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152401</xdr:colOff>
      <xdr:row>0</xdr:row>
      <xdr:rowOff>119062</xdr:rowOff>
    </xdr:from>
    <xdr:to>
      <xdr:col>11</xdr:col>
      <xdr:colOff>676275</xdr:colOff>
      <xdr:row>13</xdr:row>
      <xdr:rowOff>200025</xdr:rowOff>
    </xdr:to>
    <xdr:graphicFrame macro="">
      <xdr:nvGraphicFramePr>
        <xdr:cNvPr id="4" name="차트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</xdr:row>
      <xdr:rowOff>0</xdr:rowOff>
    </xdr:from>
    <xdr:to>
      <xdr:col>4</xdr:col>
      <xdr:colOff>0</xdr:colOff>
      <xdr:row>3</xdr:row>
      <xdr:rowOff>0</xdr:rowOff>
    </xdr:to>
    <xdr:sp macro="[0]!총고과점수구하기" textlink="">
      <xdr:nvSpPr>
        <xdr:cNvPr id="2" name="빗면 1"/>
        <xdr:cNvSpPr/>
      </xdr:nvSpPr>
      <xdr:spPr>
        <a:xfrm>
          <a:off x="942975" y="209550"/>
          <a:ext cx="1333500" cy="41910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200">
              <a:latin typeface="굴림체" panose="020B0609000101010101" pitchFamily="49" charset="-127"/>
              <a:ea typeface="굴림체" panose="020B0609000101010101" pitchFamily="49" charset="-127"/>
            </a:rPr>
            <a:t>총고과점수</a:t>
          </a:r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5</xdr:col>
      <xdr:colOff>0</xdr:colOff>
      <xdr:row>3</xdr:row>
      <xdr:rowOff>0</xdr:rowOff>
    </xdr:to>
    <xdr:sp macro="[0]!상위점수보기" textlink="">
      <xdr:nvSpPr>
        <xdr:cNvPr id="3" name="빗면 2"/>
        <xdr:cNvSpPr/>
      </xdr:nvSpPr>
      <xdr:spPr>
        <a:xfrm>
          <a:off x="2276475" y="209550"/>
          <a:ext cx="952500" cy="41910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200">
              <a:latin typeface="굴림체" panose="020B0609000101010101" pitchFamily="49" charset="-127"/>
              <a:ea typeface="굴림체" panose="020B0609000101010101" pitchFamily="49" charset="-127"/>
            </a:rPr>
            <a:t>상위점수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</xdr:row>
      <xdr:rowOff>0</xdr:rowOff>
    </xdr:from>
    <xdr:to>
      <xdr:col>6</xdr:col>
      <xdr:colOff>685799</xdr:colOff>
      <xdr:row>27</xdr:row>
      <xdr:rowOff>200025</xdr:rowOff>
    </xdr:to>
    <xdr:graphicFrame macro="">
      <xdr:nvGraphicFramePr>
        <xdr:cNvPr id="2" name="차트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</xdr:col>
      <xdr:colOff>9525</xdr:colOff>
      <xdr:row>1</xdr:row>
      <xdr:rowOff>200025</xdr:rowOff>
    </xdr:from>
    <xdr:to>
      <xdr:col>8</xdr:col>
      <xdr:colOff>381000</xdr:colOff>
      <xdr:row>10</xdr:row>
      <xdr:rowOff>9525</xdr:rowOff>
    </xdr:to>
    <xdr:pic>
      <xdr:nvPicPr>
        <xdr:cNvPr id="3" name="그림 2" descr="C:\Program Files\Microsoft Office\MEDIA\CAGCAT10\j0217698.wmf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52950" y="457200"/>
          <a:ext cx="1743075" cy="1695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0</xdr:row>
          <xdr:rowOff>0</xdr:rowOff>
        </xdr:from>
        <xdr:to>
          <xdr:col>6</xdr:col>
          <xdr:colOff>600075</xdr:colOff>
          <xdr:row>1</xdr:row>
          <xdr:rowOff>76200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김우경" refreshedDate="42983.448296875002" createdVersion="4" refreshedVersion="4" minRefreshableVersion="3" recordCount="26">
  <cacheSource type="worksheet">
    <worksheetSource ref="A2:J28" sheet="분석작업-1"/>
  </cacheSource>
  <cacheFields count="10">
    <cacheField name="학번" numFmtId="0">
      <sharedItems containsSemiMixedTypes="0" containsString="0" containsNumber="1" containsInteger="1" minValue="161001" maxValue="171036" count="26">
        <n v="161001"/>
        <n v="161002"/>
        <n v="161003"/>
        <n v="161004"/>
        <n v="161005"/>
        <n v="161006"/>
        <n v="161008"/>
        <n v="161010"/>
        <n v="161013"/>
        <n v="161014"/>
        <n v="161015"/>
        <n v="161017"/>
        <n v="161018"/>
        <n v="171020"/>
        <n v="171021"/>
        <n v="171023"/>
        <n v="171024"/>
        <n v="171026"/>
        <n v="171027"/>
        <n v="171028"/>
        <n v="171029"/>
        <n v="171030"/>
        <n v="171033"/>
        <n v="171034"/>
        <n v="171035"/>
        <n v="171036"/>
      </sharedItems>
      <fieldGroup base="0">
        <rangePr autoStart="0" startNum="161000" endNum="171036" groupInterval="10000"/>
        <groupItems count="4">
          <s v="&lt;161000"/>
          <s v="161000-170999"/>
          <s v="171000-180999"/>
          <s v="&gt;181000"/>
        </groupItems>
      </fieldGroup>
    </cacheField>
    <cacheField name="이름" numFmtId="0">
      <sharedItems/>
    </cacheField>
    <cacheField name="학과" numFmtId="0">
      <sharedItems count="2">
        <s v="경영"/>
        <s v="전산"/>
      </sharedItems>
    </cacheField>
    <cacheField name="과제" numFmtId="0">
      <sharedItems containsSemiMixedTypes="0" containsString="0" containsNumber="1" containsInteger="1" minValue="40" maxValue="97"/>
    </cacheField>
    <cacheField name="중간" numFmtId="0">
      <sharedItems containsSemiMixedTypes="0" containsString="0" containsNumber="1" containsInteger="1" minValue="50" maxValue="100"/>
    </cacheField>
    <cacheField name="기말" numFmtId="0">
      <sharedItems containsSemiMixedTypes="0" containsString="0" containsNumber="1" containsInteger="1" minValue="50" maxValue="100"/>
    </cacheField>
    <cacheField name="종합" numFmtId="0">
      <sharedItems containsSemiMixedTypes="0" containsString="0" containsNumber="1" containsInteger="1" minValue="185" maxValue="260"/>
    </cacheField>
    <cacheField name="가중평균" numFmtId="0">
      <sharedItems containsSemiMixedTypes="0" containsString="0" containsNumber="1" minValue="65.05" maxValue="95"/>
    </cacheField>
    <cacheField name="중간석차" numFmtId="0">
      <sharedItems containsSemiMixedTypes="0" containsString="0" containsNumber="1" containsInteger="1" minValue="1" maxValue="36"/>
    </cacheField>
    <cacheField name="기말학점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6">
  <r>
    <x v="0"/>
    <s v="홍길동"/>
    <x v="0"/>
    <n v="60"/>
    <n v="60"/>
    <n v="90"/>
    <n v="210"/>
    <n v="76.5"/>
    <n v="22"/>
    <s v="C"/>
  </r>
  <r>
    <x v="1"/>
    <s v="강감찬"/>
    <x v="0"/>
    <n v="50"/>
    <n v="70"/>
    <n v="90"/>
    <n v="210"/>
    <n v="77.5"/>
    <n v="19"/>
    <s v="C"/>
  </r>
  <r>
    <x v="2"/>
    <s v="이순신"/>
    <x v="1"/>
    <n v="90"/>
    <n v="50"/>
    <n v="100"/>
    <n v="240"/>
    <n v="85"/>
    <n v="7"/>
    <s v="B"/>
  </r>
  <r>
    <x v="3"/>
    <s v="이율곡"/>
    <x v="1"/>
    <n v="40"/>
    <n v="80"/>
    <n v="80"/>
    <n v="200"/>
    <n v="74"/>
    <n v="24"/>
    <s v="C"/>
  </r>
  <r>
    <x v="4"/>
    <s v="성삼문"/>
    <x v="0"/>
    <n v="60"/>
    <n v="100"/>
    <n v="100"/>
    <n v="260"/>
    <n v="95"/>
    <n v="1"/>
    <s v="A"/>
  </r>
  <r>
    <x v="5"/>
    <s v="정약용"/>
    <x v="0"/>
    <n v="90"/>
    <n v="90"/>
    <n v="80"/>
    <n v="260"/>
    <n v="90"/>
    <n v="4"/>
    <s v="A"/>
  </r>
  <r>
    <x v="6"/>
    <s v="김준석"/>
    <x v="1"/>
    <n v="88"/>
    <n v="81"/>
    <n v="77"/>
    <n v="246"/>
    <n v="85"/>
    <n v="7"/>
    <s v="B"/>
  </r>
  <r>
    <x v="7"/>
    <s v="서원석"/>
    <x v="0"/>
    <n v="72"/>
    <n v="96"/>
    <n v="67"/>
    <n v="235"/>
    <n v="81.75"/>
    <n v="12"/>
    <s v="B"/>
  </r>
  <r>
    <x v="8"/>
    <s v="김상철"/>
    <x v="1"/>
    <n v="77"/>
    <n v="77"/>
    <n v="50"/>
    <n v="204"/>
    <n v="68.7"/>
    <n v="32"/>
    <s v="D"/>
  </r>
  <r>
    <x v="9"/>
    <s v="최옥자"/>
    <x v="0"/>
    <n v="79"/>
    <n v="94"/>
    <n v="76"/>
    <n v="249"/>
    <n v="86.85"/>
    <n v="6"/>
    <s v="B"/>
  </r>
  <r>
    <x v="10"/>
    <s v="한영희"/>
    <x v="0"/>
    <n v="65"/>
    <n v="73"/>
    <n v="67"/>
    <n v="205"/>
    <n v="71.95"/>
    <n v="25"/>
    <s v="C"/>
  </r>
  <r>
    <x v="11"/>
    <s v="송현우"/>
    <x v="1"/>
    <n v="52"/>
    <n v="78"/>
    <n v="55"/>
    <n v="185"/>
    <n v="65.05"/>
    <n v="36"/>
    <s v="D"/>
  </r>
  <r>
    <x v="12"/>
    <s v="이욱현"/>
    <x v="0"/>
    <n v="76"/>
    <n v="65"/>
    <n v="87"/>
    <n v="228"/>
    <n v="80.900000000000006"/>
    <n v="13"/>
    <s v="B"/>
  </r>
  <r>
    <x v="13"/>
    <s v="심상섭"/>
    <x v="1"/>
    <n v="86"/>
    <n v="66"/>
    <n v="71"/>
    <n v="223"/>
    <n v="76.55"/>
    <n v="20"/>
    <s v="C"/>
  </r>
  <r>
    <x v="14"/>
    <s v="이창섭"/>
    <x v="0"/>
    <n v="84"/>
    <n v="70"/>
    <n v="69"/>
    <n v="223"/>
    <n v="76.55"/>
    <n v="20"/>
    <s v="C"/>
  </r>
  <r>
    <x v="15"/>
    <s v="진양혜"/>
    <x v="1"/>
    <n v="68"/>
    <n v="50"/>
    <n v="81"/>
    <n v="199"/>
    <n v="70.95"/>
    <n v="26"/>
    <s v="C"/>
  </r>
  <r>
    <x v="16"/>
    <s v="김미숙"/>
    <x v="0"/>
    <n v="64"/>
    <n v="59"/>
    <n v="97"/>
    <n v="220"/>
    <n v="80.3"/>
    <n v="16"/>
    <s v="B"/>
  </r>
  <r>
    <x v="17"/>
    <s v="오성식"/>
    <x v="1"/>
    <n v="86"/>
    <n v="68"/>
    <n v="56"/>
    <n v="210"/>
    <n v="70.5"/>
    <n v="28"/>
    <s v="C"/>
  </r>
  <r>
    <x v="18"/>
    <s v="배동진"/>
    <x v="0"/>
    <n v="82"/>
    <n v="88"/>
    <n v="62"/>
    <n v="232"/>
    <n v="79.2"/>
    <n v="17"/>
    <s v="C"/>
  </r>
  <r>
    <x v="19"/>
    <s v="이창명"/>
    <x v="1"/>
    <n v="97"/>
    <n v="68"/>
    <n v="72"/>
    <n v="237"/>
    <n v="80.45"/>
    <n v="15"/>
    <s v="B"/>
  </r>
  <r>
    <x v="20"/>
    <s v="배유정"/>
    <x v="1"/>
    <n v="55"/>
    <n v="68"/>
    <n v="73"/>
    <n v="196"/>
    <n v="70.400000000000006"/>
    <n v="29"/>
    <s v="C"/>
  </r>
  <r>
    <x v="21"/>
    <s v="이무열"/>
    <x v="1"/>
    <n v="89"/>
    <n v="66"/>
    <n v="56"/>
    <n v="211"/>
    <n v="70.55"/>
    <n v="27"/>
    <s v="C"/>
  </r>
  <r>
    <x v="22"/>
    <s v="양창석"/>
    <x v="1"/>
    <n v="76"/>
    <n v="80"/>
    <n v="91"/>
    <n v="247"/>
    <n v="87.95"/>
    <n v="5"/>
    <s v="B"/>
  </r>
  <r>
    <x v="23"/>
    <s v="서호형"/>
    <x v="0"/>
    <n v="52"/>
    <n v="56"/>
    <n v="77"/>
    <n v="185"/>
    <n v="67.25"/>
    <n v="34"/>
    <s v="D"/>
  </r>
  <r>
    <x v="24"/>
    <s v="이철형"/>
    <x v="1"/>
    <n v="87"/>
    <n v="78"/>
    <n v="56"/>
    <n v="221"/>
    <n v="74.25"/>
    <n v="23"/>
    <s v="C"/>
  </r>
  <r>
    <x v="25"/>
    <s v="조숙희"/>
    <x v="1"/>
    <n v="93"/>
    <n v="59"/>
    <n v="51"/>
    <n v="203"/>
    <n v="66.849999999999994"/>
    <n v="35"/>
    <s v="D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피벗 테이블1" cacheId="0" applyNumberFormats="0" applyBorderFormats="0" applyFontFormats="0" applyPatternFormats="0" applyAlignmentFormats="0" applyWidthHeightFormats="1" dataCaption="값" updatedVersion="4" minRefreshableVersion="3" useAutoFormatting="1" itemPrintTitles="1" createdVersion="4" indent="0" outline="1" outlineData="1" multipleFieldFilters="0">
  <location ref="L2:O6" firstHeaderRow="1" firstDataRow="2" firstDataCol="1"/>
  <pivotFields count="10">
    <pivotField axis="axisRow" showAll="0">
      <items count="5">
        <item x="0"/>
        <item x="1"/>
        <item x="2"/>
        <item x="3"/>
        <item t="default"/>
      </items>
    </pivotField>
    <pivotField showAll="0"/>
    <pivotField axis="axisCol" showAll="0">
      <items count="3">
        <item x="0"/>
        <item x="1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</pivotFields>
  <rowFields count="1">
    <field x="0"/>
  </rowFields>
  <rowItems count="3">
    <i>
      <x v="1"/>
    </i>
    <i>
      <x v="2"/>
    </i>
    <i t="grand">
      <x/>
    </i>
  </rowItems>
  <colFields count="1">
    <field x="2"/>
  </colFields>
  <colItems count="3">
    <i>
      <x/>
    </i>
    <i>
      <x v="1"/>
    </i>
    <i t="grand">
      <x/>
    </i>
  </colItems>
  <dataFields count="1">
    <dataField name="합계 : 종합" fld="6" showDataAs="percentOfRow" baseField="0" baseItem="0" numFmtId="178"/>
  </dataFields>
  <pivotTableStyleInfo name="PivotStyleMedium3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종목코드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4.xml"/><Relationship Id="rId4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15"/>
  <sheetViews>
    <sheetView windowProtection="1" tabSelected="1" workbookViewId="0"/>
  </sheetViews>
  <sheetFormatPr defaultRowHeight="16.5"/>
  <cols>
    <col min="1" max="1" width="11.25" customWidth="1"/>
    <col min="2" max="2" width="11.625" bestFit="1" customWidth="1"/>
    <col min="3" max="3" width="9.125" bestFit="1" customWidth="1"/>
    <col min="4" max="4" width="15.5" customWidth="1"/>
    <col min="5" max="7" width="7.5" customWidth="1"/>
  </cols>
  <sheetData>
    <row r="1" spans="1:7">
      <c r="A1" s="1" t="s">
        <v>0</v>
      </c>
    </row>
    <row r="3" spans="1:7">
      <c r="A3" s="63" t="s">
        <v>176</v>
      </c>
      <c r="B3" s="64" t="s">
        <v>177</v>
      </c>
      <c r="C3" s="64" t="s">
        <v>178</v>
      </c>
      <c r="D3" s="64" t="s">
        <v>179</v>
      </c>
      <c r="E3" s="64" t="s">
        <v>180</v>
      </c>
      <c r="F3" s="64" t="s">
        <v>181</v>
      </c>
      <c r="G3" s="65" t="s">
        <v>182</v>
      </c>
    </row>
    <row r="4" spans="1:7">
      <c r="A4" s="66" t="s">
        <v>183</v>
      </c>
      <c r="B4" s="67" t="s">
        <v>184</v>
      </c>
      <c r="C4" s="67" t="s">
        <v>185</v>
      </c>
      <c r="D4" s="68">
        <v>41004</v>
      </c>
      <c r="E4" s="67">
        <v>18000</v>
      </c>
      <c r="F4" s="67">
        <v>3</v>
      </c>
      <c r="G4" s="69">
        <v>54000</v>
      </c>
    </row>
    <row r="5" spans="1:7">
      <c r="A5" s="70" t="s">
        <v>183</v>
      </c>
      <c r="B5" s="71" t="s">
        <v>184</v>
      </c>
      <c r="C5" s="71" t="s">
        <v>185</v>
      </c>
      <c r="D5" s="72">
        <v>41004</v>
      </c>
      <c r="E5" s="71">
        <v>18000</v>
      </c>
      <c r="F5" s="71">
        <v>4</v>
      </c>
      <c r="G5" s="73">
        <v>72000</v>
      </c>
    </row>
    <row r="6" spans="1:7">
      <c r="A6" s="66" t="s">
        <v>183</v>
      </c>
      <c r="B6" s="67" t="s">
        <v>184</v>
      </c>
      <c r="C6" s="67" t="s">
        <v>185</v>
      </c>
      <c r="D6" s="68">
        <v>41004</v>
      </c>
      <c r="E6" s="67">
        <v>18000</v>
      </c>
      <c r="F6" s="67">
        <v>5</v>
      </c>
      <c r="G6" s="69">
        <v>90000</v>
      </c>
    </row>
    <row r="7" spans="1:7">
      <c r="A7" s="70" t="s">
        <v>183</v>
      </c>
      <c r="B7" s="71" t="s">
        <v>184</v>
      </c>
      <c r="C7" s="71" t="s">
        <v>185</v>
      </c>
      <c r="D7" s="72">
        <v>41004</v>
      </c>
      <c r="E7" s="71">
        <v>18000</v>
      </c>
      <c r="F7" s="71">
        <v>5</v>
      </c>
      <c r="G7" s="73">
        <v>90000</v>
      </c>
    </row>
    <row r="8" spans="1:7">
      <c r="A8" s="66" t="s">
        <v>183</v>
      </c>
      <c r="B8" s="67" t="s">
        <v>184</v>
      </c>
      <c r="C8" s="67" t="s">
        <v>185</v>
      </c>
      <c r="D8" s="68">
        <v>41004</v>
      </c>
      <c r="E8" s="67">
        <v>18000</v>
      </c>
      <c r="F8" s="67">
        <v>9</v>
      </c>
      <c r="G8" s="69">
        <v>162000</v>
      </c>
    </row>
    <row r="9" spans="1:7">
      <c r="A9" s="70" t="s">
        <v>186</v>
      </c>
      <c r="B9" s="71" t="s">
        <v>187</v>
      </c>
      <c r="C9" s="71" t="s">
        <v>185</v>
      </c>
      <c r="D9" s="72">
        <v>41123</v>
      </c>
      <c r="E9" s="71">
        <v>18000</v>
      </c>
      <c r="F9" s="71">
        <v>8</v>
      </c>
      <c r="G9" s="73">
        <v>144000</v>
      </c>
    </row>
    <row r="10" spans="1:7">
      <c r="A10" s="66" t="s">
        <v>188</v>
      </c>
      <c r="B10" s="67" t="s">
        <v>189</v>
      </c>
      <c r="C10" s="67" t="s">
        <v>190</v>
      </c>
      <c r="D10" s="68">
        <v>41238</v>
      </c>
      <c r="E10" s="67">
        <v>17000</v>
      </c>
      <c r="F10" s="67">
        <v>10</v>
      </c>
      <c r="G10" s="69">
        <v>170000</v>
      </c>
    </row>
    <row r="11" spans="1:7">
      <c r="A11" s="70" t="s">
        <v>188</v>
      </c>
      <c r="B11" s="71" t="s">
        <v>189</v>
      </c>
      <c r="C11" s="71" t="s">
        <v>190</v>
      </c>
      <c r="D11" s="72">
        <v>41238</v>
      </c>
      <c r="E11" s="71">
        <v>17000</v>
      </c>
      <c r="F11" s="71">
        <v>7</v>
      </c>
      <c r="G11" s="73">
        <v>119000</v>
      </c>
    </row>
    <row r="12" spans="1:7">
      <c r="A12" s="66" t="s">
        <v>188</v>
      </c>
      <c r="B12" s="67" t="s">
        <v>189</v>
      </c>
      <c r="C12" s="67" t="s">
        <v>190</v>
      </c>
      <c r="D12" s="68">
        <v>41238</v>
      </c>
      <c r="E12" s="67">
        <v>17000</v>
      </c>
      <c r="F12" s="67">
        <v>4</v>
      </c>
      <c r="G12" s="69">
        <v>68000</v>
      </c>
    </row>
    <row r="13" spans="1:7">
      <c r="A13" s="70" t="s">
        <v>188</v>
      </c>
      <c r="B13" s="71" t="s">
        <v>189</v>
      </c>
      <c r="C13" s="71" t="s">
        <v>190</v>
      </c>
      <c r="D13" s="72">
        <v>41238</v>
      </c>
      <c r="E13" s="71">
        <v>17000</v>
      </c>
      <c r="F13" s="71">
        <v>9</v>
      </c>
      <c r="G13" s="73">
        <v>153000</v>
      </c>
    </row>
    <row r="14" spans="1:7">
      <c r="A14" s="66" t="s">
        <v>188</v>
      </c>
      <c r="B14" s="67" t="s">
        <v>189</v>
      </c>
      <c r="C14" s="67" t="s">
        <v>190</v>
      </c>
      <c r="D14" s="68">
        <v>41238</v>
      </c>
      <c r="E14" s="67">
        <v>17000</v>
      </c>
      <c r="F14" s="67">
        <v>9</v>
      </c>
      <c r="G14" s="69">
        <v>153000</v>
      </c>
    </row>
    <row r="15" spans="1:7">
      <c r="A15" s="59" t="s">
        <v>188</v>
      </c>
      <c r="B15" s="60" t="s">
        <v>189</v>
      </c>
      <c r="C15" s="60" t="s">
        <v>190</v>
      </c>
      <c r="D15" s="61">
        <v>41238</v>
      </c>
      <c r="E15" s="60">
        <v>17000</v>
      </c>
      <c r="F15" s="60">
        <v>5</v>
      </c>
      <c r="G15" s="62">
        <v>85000</v>
      </c>
    </row>
  </sheetData>
  <phoneticPr fontId="4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H22"/>
  <sheetViews>
    <sheetView windowProtection="1" workbookViewId="0"/>
  </sheetViews>
  <sheetFormatPr defaultRowHeight="16.5"/>
  <cols>
    <col min="1" max="1" width="5.625" style="2" customWidth="1"/>
    <col min="2" max="2" width="11.125" style="2" bestFit="1" customWidth="1"/>
    <col min="3" max="3" width="15.375" style="2" bestFit="1" customWidth="1"/>
    <col min="4" max="4" width="13.25" style="2" bestFit="1" customWidth="1"/>
    <col min="5" max="5" width="9" style="2"/>
    <col min="6" max="6" width="10.75" style="2" customWidth="1"/>
    <col min="7" max="7" width="14.125" style="2" bestFit="1" customWidth="1"/>
    <col min="8" max="8" width="11.125" style="2" bestFit="1" customWidth="1"/>
    <col min="9" max="16384" width="9" style="2"/>
  </cols>
  <sheetData>
    <row r="1" spans="2:8" ht="17.25" thickBot="1"/>
    <row r="2" spans="2:8" ht="18" thickBot="1">
      <c r="B2" s="74" t="s">
        <v>1</v>
      </c>
      <c r="C2" s="75" t="s">
        <v>2</v>
      </c>
      <c r="D2" s="76" t="s">
        <v>3</v>
      </c>
    </row>
    <row r="3" spans="2:8" ht="17.25" thickTop="1">
      <c r="B3" s="77" t="s">
        <v>4</v>
      </c>
      <c r="C3" s="78" t="s">
        <v>5</v>
      </c>
      <c r="D3" s="79">
        <v>52700</v>
      </c>
    </row>
    <row r="4" spans="2:8">
      <c r="B4" s="77" t="s">
        <v>4</v>
      </c>
      <c r="C4" s="78" t="s">
        <v>5</v>
      </c>
      <c r="D4" s="80">
        <v>12450</v>
      </c>
      <c r="F4" s="2" t="s">
        <v>6</v>
      </c>
      <c r="G4" s="2" t="s">
        <v>7</v>
      </c>
    </row>
    <row r="5" spans="2:8">
      <c r="B5" s="77" t="s">
        <v>8</v>
      </c>
      <c r="C5" s="78" t="s">
        <v>9</v>
      </c>
      <c r="D5" s="80">
        <v>22000</v>
      </c>
      <c r="F5" s="2" t="s">
        <v>10</v>
      </c>
    </row>
    <row r="6" spans="2:8">
      <c r="B6" s="77" t="s">
        <v>4</v>
      </c>
      <c r="C6" s="78" t="s">
        <v>5</v>
      </c>
      <c r="D6" s="80">
        <v>22000</v>
      </c>
      <c r="F6" s="2" t="s">
        <v>11</v>
      </c>
      <c r="G6" s="2" t="s">
        <v>12</v>
      </c>
    </row>
    <row r="7" spans="2:8">
      <c r="B7" s="77" t="s">
        <v>13</v>
      </c>
      <c r="C7" s="78" t="s">
        <v>14</v>
      </c>
      <c r="D7" s="80">
        <v>14200</v>
      </c>
    </row>
    <row r="8" spans="2:8" ht="17.25" thickBot="1">
      <c r="B8" s="77" t="s">
        <v>8</v>
      </c>
      <c r="C8" s="78" t="s">
        <v>9</v>
      </c>
      <c r="D8" s="80">
        <v>6600</v>
      </c>
    </row>
    <row r="9" spans="2:8" ht="18" thickBot="1">
      <c r="B9" s="77" t="s">
        <v>13</v>
      </c>
      <c r="C9" s="78" t="s">
        <v>14</v>
      </c>
      <c r="D9" s="80">
        <v>86700</v>
      </c>
      <c r="F9" s="3" t="s">
        <v>1</v>
      </c>
      <c r="G9" s="4" t="s">
        <v>2</v>
      </c>
      <c r="H9" s="5" t="s">
        <v>3</v>
      </c>
    </row>
    <row r="10" spans="2:8" ht="17.25" thickTop="1">
      <c r="B10" s="77" t="s">
        <v>4</v>
      </c>
      <c r="C10" s="78" t="s">
        <v>5</v>
      </c>
      <c r="D10" s="80">
        <v>310000</v>
      </c>
      <c r="F10" s="6" t="s">
        <v>8</v>
      </c>
      <c r="G10" s="7" t="s">
        <v>9</v>
      </c>
      <c r="H10" s="8">
        <v>22000</v>
      </c>
    </row>
    <row r="11" spans="2:8">
      <c r="B11" s="77" t="s">
        <v>8</v>
      </c>
      <c r="C11" s="78" t="s">
        <v>9</v>
      </c>
      <c r="D11" s="80">
        <v>388500</v>
      </c>
      <c r="F11" s="6" t="s">
        <v>8</v>
      </c>
      <c r="G11" s="7" t="s">
        <v>9</v>
      </c>
      <c r="H11" s="8">
        <v>6600</v>
      </c>
    </row>
    <row r="12" spans="2:8">
      <c r="B12" s="77" t="s">
        <v>13</v>
      </c>
      <c r="C12" s="78" t="s">
        <v>14</v>
      </c>
      <c r="D12" s="80">
        <v>46950</v>
      </c>
      <c r="F12" s="6" t="s">
        <v>4</v>
      </c>
      <c r="G12" s="7" t="s">
        <v>5</v>
      </c>
      <c r="H12" s="8">
        <v>310000</v>
      </c>
    </row>
    <row r="13" spans="2:8">
      <c r="B13" s="77" t="s">
        <v>8</v>
      </c>
      <c r="C13" s="78" t="s">
        <v>9</v>
      </c>
      <c r="D13" s="80">
        <v>30050</v>
      </c>
      <c r="F13" s="6" t="s">
        <v>8</v>
      </c>
      <c r="G13" s="7" t="s">
        <v>9</v>
      </c>
      <c r="H13" s="8">
        <v>388500</v>
      </c>
    </row>
    <row r="14" spans="2:8">
      <c r="B14" s="77" t="s">
        <v>13</v>
      </c>
      <c r="C14" s="78" t="s">
        <v>14</v>
      </c>
      <c r="D14" s="80">
        <v>5430</v>
      </c>
      <c r="F14" s="6" t="s">
        <v>8</v>
      </c>
      <c r="G14" s="7" t="s">
        <v>9</v>
      </c>
      <c r="H14" s="8">
        <v>30050</v>
      </c>
    </row>
    <row r="15" spans="2:8">
      <c r="B15" s="77" t="s">
        <v>8</v>
      </c>
      <c r="C15" s="78" t="s">
        <v>9</v>
      </c>
      <c r="D15" s="80">
        <v>68200</v>
      </c>
      <c r="F15" s="6" t="s">
        <v>4</v>
      </c>
      <c r="G15" s="7" t="s">
        <v>5</v>
      </c>
      <c r="H15" s="8">
        <v>305500</v>
      </c>
    </row>
    <row r="16" spans="2:8" ht="17.25" thickBot="1">
      <c r="B16" s="77" t="s">
        <v>13</v>
      </c>
      <c r="C16" s="78" t="s">
        <v>14</v>
      </c>
      <c r="D16" s="80">
        <v>33250</v>
      </c>
      <c r="F16" s="9" t="s">
        <v>8</v>
      </c>
      <c r="G16" s="10" t="s">
        <v>9</v>
      </c>
      <c r="H16" s="11">
        <v>17950</v>
      </c>
    </row>
    <row r="17" spans="2:4">
      <c r="B17" s="77" t="s">
        <v>4</v>
      </c>
      <c r="C17" s="78" t="s">
        <v>5</v>
      </c>
      <c r="D17" s="80">
        <v>305500</v>
      </c>
    </row>
    <row r="18" spans="2:4">
      <c r="B18" s="77" t="s">
        <v>8</v>
      </c>
      <c r="C18" s="78" t="s">
        <v>9</v>
      </c>
      <c r="D18" s="80">
        <v>51400</v>
      </c>
    </row>
    <row r="19" spans="2:4">
      <c r="B19" s="77" t="s">
        <v>4</v>
      </c>
      <c r="C19" s="78" t="s">
        <v>5</v>
      </c>
      <c r="D19" s="80">
        <v>17100</v>
      </c>
    </row>
    <row r="20" spans="2:4">
      <c r="B20" s="77" t="s">
        <v>13</v>
      </c>
      <c r="C20" s="78" t="s">
        <v>14</v>
      </c>
      <c r="D20" s="80">
        <v>45000</v>
      </c>
    </row>
    <row r="21" spans="2:4" ht="17.25" thickBot="1">
      <c r="B21" s="81" t="s">
        <v>8</v>
      </c>
      <c r="C21" s="82" t="s">
        <v>9</v>
      </c>
      <c r="D21" s="83">
        <v>17950</v>
      </c>
    </row>
    <row r="22" spans="2:4">
      <c r="B22" s="12"/>
    </row>
  </sheetData>
  <sheetProtection formatCells="0"/>
  <phoneticPr fontId="4" type="noConversion"/>
  <conditionalFormatting sqref="B3:D21">
    <cfRule type="expression" dxfId="0" priority="1">
      <formula>AND(RIGHT($B3,2)="30",$D3&gt;=50000)</formula>
    </cfRule>
  </conditionalFormatting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12"/>
  <sheetViews>
    <sheetView windowProtection="1" workbookViewId="0">
      <selection sqref="A1:E1"/>
    </sheetView>
  </sheetViews>
  <sheetFormatPr defaultRowHeight="16.5"/>
  <sheetData>
    <row r="1" spans="1:5" ht="24">
      <c r="A1" s="90" t="s">
        <v>191</v>
      </c>
      <c r="B1" s="90"/>
      <c r="C1" s="90"/>
      <c r="D1" s="90"/>
      <c r="E1" s="90"/>
    </row>
    <row r="2" spans="1:5">
      <c r="A2" s="84" t="s">
        <v>192</v>
      </c>
      <c r="B2" s="84" t="s">
        <v>193</v>
      </c>
      <c r="C2" s="84" t="s">
        <v>194</v>
      </c>
      <c r="D2" s="84" t="s">
        <v>195</v>
      </c>
      <c r="E2" s="84" t="s">
        <v>196</v>
      </c>
    </row>
    <row r="3" spans="1:5">
      <c r="A3" s="87" t="s">
        <v>197</v>
      </c>
      <c r="B3" s="87" t="s">
        <v>198</v>
      </c>
      <c r="C3" s="88">
        <v>2800</v>
      </c>
      <c r="D3" s="88">
        <v>62</v>
      </c>
      <c r="E3" s="85">
        <f>C3*D3</f>
        <v>173600</v>
      </c>
    </row>
    <row r="4" spans="1:5">
      <c r="A4" s="87" t="s">
        <v>199</v>
      </c>
      <c r="B4" s="87" t="s">
        <v>200</v>
      </c>
      <c r="C4" s="88">
        <v>15600</v>
      </c>
      <c r="D4" s="88">
        <v>28</v>
      </c>
      <c r="E4" s="85">
        <f t="shared" ref="E4:E11" si="0">C4*D4</f>
        <v>436800</v>
      </c>
    </row>
    <row r="5" spans="1:5">
      <c r="A5" s="87" t="s">
        <v>201</v>
      </c>
      <c r="B5" s="87" t="s">
        <v>202</v>
      </c>
      <c r="C5" s="88">
        <v>4500</v>
      </c>
      <c r="D5" s="88">
        <v>57</v>
      </c>
      <c r="E5" s="85">
        <f t="shared" si="0"/>
        <v>256500</v>
      </c>
    </row>
    <row r="6" spans="1:5">
      <c r="A6" s="87" t="s">
        <v>199</v>
      </c>
      <c r="B6" s="87" t="s">
        <v>203</v>
      </c>
      <c r="C6" s="88">
        <v>5600</v>
      </c>
      <c r="D6" s="88">
        <v>65</v>
      </c>
      <c r="E6" s="85">
        <f t="shared" si="0"/>
        <v>364000</v>
      </c>
    </row>
    <row r="7" spans="1:5">
      <c r="A7" s="87" t="s">
        <v>197</v>
      </c>
      <c r="B7" s="87" t="s">
        <v>204</v>
      </c>
      <c r="C7" s="88">
        <v>6500</v>
      </c>
      <c r="D7" s="88">
        <v>48</v>
      </c>
      <c r="E7" s="85">
        <f t="shared" si="0"/>
        <v>312000</v>
      </c>
    </row>
    <row r="8" spans="1:5">
      <c r="A8" s="87" t="s">
        <v>201</v>
      </c>
      <c r="B8" s="87" t="s">
        <v>205</v>
      </c>
      <c r="C8" s="88">
        <v>12500</v>
      </c>
      <c r="D8" s="88">
        <v>65</v>
      </c>
      <c r="E8" s="85">
        <f t="shared" si="0"/>
        <v>812500</v>
      </c>
    </row>
    <row r="9" spans="1:5">
      <c r="A9" s="87" t="s">
        <v>199</v>
      </c>
      <c r="B9" s="87" t="s">
        <v>206</v>
      </c>
      <c r="C9" s="88">
        <v>8300</v>
      </c>
      <c r="D9" s="88">
        <v>27</v>
      </c>
      <c r="E9" s="85">
        <f t="shared" si="0"/>
        <v>224100</v>
      </c>
    </row>
    <row r="10" spans="1:5">
      <c r="A10" s="87" t="s">
        <v>201</v>
      </c>
      <c r="B10" s="87" t="s">
        <v>207</v>
      </c>
      <c r="C10" s="88">
        <v>7200</v>
      </c>
      <c r="D10" s="88">
        <v>65</v>
      </c>
      <c r="E10" s="85">
        <f t="shared" si="0"/>
        <v>468000</v>
      </c>
    </row>
    <row r="11" spans="1:5">
      <c r="A11" s="87" t="s">
        <v>197</v>
      </c>
      <c r="B11" s="87" t="s">
        <v>208</v>
      </c>
      <c r="C11" s="88">
        <v>6300</v>
      </c>
      <c r="D11" s="88">
        <v>45</v>
      </c>
      <c r="E11" s="85">
        <f t="shared" si="0"/>
        <v>283500</v>
      </c>
    </row>
    <row r="12" spans="1:5">
      <c r="A12" s="89" t="s">
        <v>209</v>
      </c>
      <c r="B12" s="89"/>
      <c r="C12" s="89"/>
      <c r="D12" s="89"/>
      <c r="E12" s="86">
        <f>ROUNDUP(SUMIF(A3:A11,"미술",E3:E11),-3)</f>
        <v>770000</v>
      </c>
    </row>
  </sheetData>
  <sheetProtection sheet="1" objects="1" scenarios="1" formatCells="0"/>
  <mergeCells count="2">
    <mergeCell ref="A12:D12"/>
    <mergeCell ref="A1:E1"/>
  </mergeCells>
  <phoneticPr fontId="4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35"/>
  <sheetViews>
    <sheetView windowProtection="1" workbookViewId="0"/>
  </sheetViews>
  <sheetFormatPr defaultRowHeight="16.5"/>
  <cols>
    <col min="1" max="1" width="11" style="16" bestFit="1" customWidth="1"/>
    <col min="2" max="2" width="12" style="16" customWidth="1"/>
    <col min="3" max="4" width="13.875" style="16" bestFit="1" customWidth="1"/>
    <col min="5" max="5" width="13.25" style="16" customWidth="1"/>
    <col min="6" max="6" width="12.875" style="16" customWidth="1"/>
    <col min="7" max="7" width="10.25" style="16" customWidth="1"/>
    <col min="8" max="8" width="7.875" style="16" bestFit="1" customWidth="1"/>
    <col min="9" max="9" width="9.25" style="16" bestFit="1" customWidth="1"/>
    <col min="10" max="10" width="6.75" style="16" customWidth="1"/>
    <col min="11" max="16384" width="9" style="16"/>
  </cols>
  <sheetData>
    <row r="1" spans="1:9">
      <c r="A1" s="13" t="s">
        <v>15</v>
      </c>
      <c r="B1" s="14" t="s">
        <v>16</v>
      </c>
      <c r="C1" s="15"/>
      <c r="D1" s="15"/>
      <c r="E1" s="15"/>
      <c r="F1" s="15"/>
    </row>
    <row r="2" spans="1:9">
      <c r="A2" s="17" t="s">
        <v>17</v>
      </c>
      <c r="B2" s="18" t="s">
        <v>18</v>
      </c>
      <c r="C2" s="7" t="s">
        <v>19</v>
      </c>
      <c r="D2" s="19" t="s">
        <v>20</v>
      </c>
      <c r="E2" s="20" t="s">
        <v>21</v>
      </c>
      <c r="F2" s="21" t="s">
        <v>22</v>
      </c>
      <c r="G2" s="21" t="s">
        <v>23</v>
      </c>
    </row>
    <row r="3" spans="1:9">
      <c r="A3" s="7" t="s">
        <v>24</v>
      </c>
      <c r="B3" s="18" t="s">
        <v>25</v>
      </c>
      <c r="C3" s="22">
        <v>85</v>
      </c>
      <c r="D3" s="22">
        <v>85</v>
      </c>
      <c r="E3" s="22">
        <v>94</v>
      </c>
      <c r="F3" s="22">
        <f ca="1">SUMPRODUCT(C3:E3,OFFSET($A$13,MATCH(B3,$A$14:$A$16,0),1,1,3))</f>
        <v>96.2</v>
      </c>
      <c r="G3" s="7" t="str">
        <f ca="1">LOOKUP(F3,$F$14:$F$18,$G$14:$G$18)</f>
        <v>A</v>
      </c>
    </row>
    <row r="4" spans="1:9">
      <c r="A4" s="23" t="s">
        <v>26</v>
      </c>
      <c r="B4" s="18" t="s">
        <v>27</v>
      </c>
      <c r="C4" s="22">
        <v>95</v>
      </c>
      <c r="D4" s="22">
        <v>74</v>
      </c>
      <c r="E4" s="22">
        <v>78</v>
      </c>
      <c r="F4" s="22">
        <f t="shared" ref="F4:F10" ca="1" si="0">SUMPRODUCT(C4:E4,OFFSET($A$13,MATCH(B4,$A$14:$A$16,0),1,1,3))</f>
        <v>81.900000000000006</v>
      </c>
      <c r="G4" s="7" t="str">
        <f t="shared" ref="G4:G10" ca="1" si="1">LOOKUP(F4,$F$14:$F$18,$G$14:$G$18)</f>
        <v>B</v>
      </c>
    </row>
    <row r="5" spans="1:9">
      <c r="A5" s="7" t="s">
        <v>28</v>
      </c>
      <c r="B5" s="18" t="s">
        <v>29</v>
      </c>
      <c r="C5" s="22">
        <v>95</v>
      </c>
      <c r="D5" s="22">
        <v>90</v>
      </c>
      <c r="E5" s="22">
        <v>97</v>
      </c>
      <c r="F5" s="22">
        <f t="shared" ca="1" si="0"/>
        <v>92.9</v>
      </c>
      <c r="G5" s="7" t="str">
        <f t="shared" ca="1" si="1"/>
        <v>A</v>
      </c>
    </row>
    <row r="6" spans="1:9">
      <c r="A6" s="7" t="s">
        <v>30</v>
      </c>
      <c r="B6" s="18" t="s">
        <v>29</v>
      </c>
      <c r="C6" s="22">
        <v>100</v>
      </c>
      <c r="D6" s="22">
        <v>69</v>
      </c>
      <c r="E6" s="22">
        <v>70</v>
      </c>
      <c r="F6" s="22">
        <f t="shared" ca="1" si="0"/>
        <v>78.5</v>
      </c>
      <c r="G6" s="7" t="str">
        <f t="shared" ca="1" si="1"/>
        <v>C</v>
      </c>
    </row>
    <row r="7" spans="1:9">
      <c r="A7" s="7" t="s">
        <v>31</v>
      </c>
      <c r="B7" s="18" t="s">
        <v>27</v>
      </c>
      <c r="C7" s="22">
        <v>65</v>
      </c>
      <c r="D7" s="22">
        <v>93</v>
      </c>
      <c r="E7" s="22">
        <v>82</v>
      </c>
      <c r="F7" s="22">
        <f t="shared" ca="1" si="0"/>
        <v>80.2</v>
      </c>
      <c r="G7" s="7" t="str">
        <f t="shared" ca="1" si="1"/>
        <v>B</v>
      </c>
    </row>
    <row r="8" spans="1:9">
      <c r="A8" s="7" t="s">
        <v>32</v>
      </c>
      <c r="B8" s="18" t="s">
        <v>25</v>
      </c>
      <c r="C8" s="22">
        <v>95</v>
      </c>
      <c r="D8" s="22">
        <v>60</v>
      </c>
      <c r="E8" s="22">
        <v>57</v>
      </c>
      <c r="F8" s="22">
        <f t="shared" ca="1" si="0"/>
        <v>79.099999999999994</v>
      </c>
      <c r="G8" s="7" t="str">
        <f t="shared" ca="1" si="1"/>
        <v>C</v>
      </c>
    </row>
    <row r="9" spans="1:9">
      <c r="A9" s="7" t="s">
        <v>33</v>
      </c>
      <c r="B9" s="18" t="s">
        <v>29</v>
      </c>
      <c r="C9" s="22">
        <v>100</v>
      </c>
      <c r="D9" s="22">
        <v>91</v>
      </c>
      <c r="E9" s="22">
        <v>74</v>
      </c>
      <c r="F9" s="22">
        <f t="shared" ca="1" si="0"/>
        <v>90.3</v>
      </c>
      <c r="G9" s="7" t="str">
        <f t="shared" ca="1" si="1"/>
        <v>A</v>
      </c>
    </row>
    <row r="10" spans="1:9">
      <c r="A10" s="7" t="s">
        <v>34</v>
      </c>
      <c r="B10" s="18" t="s">
        <v>27</v>
      </c>
      <c r="C10" s="22">
        <v>90</v>
      </c>
      <c r="D10" s="22">
        <v>64</v>
      </c>
      <c r="E10" s="22">
        <v>80</v>
      </c>
      <c r="F10" s="22">
        <f t="shared" ca="1" si="0"/>
        <v>78.2</v>
      </c>
      <c r="G10" s="7" t="str">
        <f t="shared" ca="1" si="1"/>
        <v>C</v>
      </c>
    </row>
    <row r="11" spans="1:9">
      <c r="A11" s="24"/>
      <c r="B11" s="24"/>
      <c r="C11" s="24"/>
      <c r="D11" s="24"/>
      <c r="E11" s="24"/>
      <c r="F11" s="24"/>
      <c r="G11" s="24"/>
      <c r="H11" s="24"/>
      <c r="I11" s="24"/>
    </row>
    <row r="12" spans="1:9">
      <c r="A12" s="91" t="s">
        <v>35</v>
      </c>
      <c r="B12" s="91"/>
      <c r="C12" s="91"/>
      <c r="D12" s="91"/>
      <c r="E12" s="24"/>
      <c r="F12" s="16" t="s">
        <v>36</v>
      </c>
      <c r="G12" s="16" t="s">
        <v>37</v>
      </c>
      <c r="H12" s="24"/>
    </row>
    <row r="13" spans="1:9">
      <c r="A13" s="7" t="s">
        <v>38</v>
      </c>
      <c r="B13" s="7" t="s">
        <v>19</v>
      </c>
      <c r="C13" s="7" t="s">
        <v>20</v>
      </c>
      <c r="D13" s="7" t="s">
        <v>39</v>
      </c>
      <c r="E13" s="24"/>
      <c r="F13" s="22" t="s">
        <v>22</v>
      </c>
      <c r="G13" s="22" t="s">
        <v>23</v>
      </c>
      <c r="H13" s="21" t="s">
        <v>40</v>
      </c>
    </row>
    <row r="14" spans="1:9">
      <c r="A14" s="18" t="s">
        <v>27</v>
      </c>
      <c r="B14" s="25">
        <v>0.3</v>
      </c>
      <c r="C14" s="25">
        <v>0.3</v>
      </c>
      <c r="D14" s="25">
        <v>0.4</v>
      </c>
      <c r="E14" s="24"/>
      <c r="F14" s="26">
        <v>60</v>
      </c>
      <c r="G14" s="26" t="s">
        <v>41</v>
      </c>
      <c r="H14" s="27" t="str">
        <f t="array" aca="1" ref="H14:H18" ca="1">TEXT(FREQUENCY(F3:F10,F14:F18),"0개")</f>
        <v>0개</v>
      </c>
    </row>
    <row r="15" spans="1:9">
      <c r="A15" s="18" t="s">
        <v>25</v>
      </c>
      <c r="B15" s="29">
        <v>0.4</v>
      </c>
      <c r="C15" s="29">
        <v>0.4</v>
      </c>
      <c r="D15" s="29">
        <v>0.3</v>
      </c>
      <c r="F15" s="26">
        <v>70</v>
      </c>
      <c r="G15" s="26" t="s">
        <v>42</v>
      </c>
      <c r="H15" s="28" t="str">
        <f ca="1"/>
        <v>0개</v>
      </c>
    </row>
    <row r="16" spans="1:9">
      <c r="A16" s="18" t="s">
        <v>29</v>
      </c>
      <c r="B16" s="29">
        <v>0.3</v>
      </c>
      <c r="C16" s="29">
        <v>0.5</v>
      </c>
      <c r="D16" s="29">
        <v>0.2</v>
      </c>
      <c r="F16" s="26">
        <v>80</v>
      </c>
      <c r="G16" s="26" t="s">
        <v>43</v>
      </c>
      <c r="H16" s="28" t="str">
        <f ca="1"/>
        <v>3개</v>
      </c>
    </row>
    <row r="17" spans="1:8">
      <c r="F17" s="26">
        <v>90</v>
      </c>
      <c r="G17" s="26" t="s">
        <v>44</v>
      </c>
      <c r="H17" s="28" t="str">
        <f ca="1"/>
        <v>2개</v>
      </c>
    </row>
    <row r="18" spans="1:8">
      <c r="F18" s="26">
        <v>100</v>
      </c>
      <c r="G18" s="26" t="s">
        <v>45</v>
      </c>
      <c r="H18" s="28" t="str">
        <f ca="1"/>
        <v>3개</v>
      </c>
    </row>
    <row r="19" spans="1:8">
      <c r="A19" s="13" t="s">
        <v>46</v>
      </c>
      <c r="B19" s="30" t="s">
        <v>47</v>
      </c>
      <c r="C19" s="31"/>
      <c r="D19" s="31"/>
      <c r="E19" s="31"/>
      <c r="F19" s="31"/>
    </row>
    <row r="20" spans="1:8">
      <c r="A20" s="18" t="s">
        <v>48</v>
      </c>
      <c r="B20" s="32" t="s">
        <v>49</v>
      </c>
      <c r="C20" s="32" t="s">
        <v>50</v>
      </c>
      <c r="D20" s="32" t="s">
        <v>51</v>
      </c>
      <c r="E20" s="32" t="s">
        <v>52</v>
      </c>
      <c r="F20" s="18" t="s">
        <v>53</v>
      </c>
      <c r="G20" s="21" t="s">
        <v>54</v>
      </c>
    </row>
    <row r="21" spans="1:8">
      <c r="A21" s="18" t="s">
        <v>55</v>
      </c>
      <c r="B21" s="18" t="s">
        <v>56</v>
      </c>
      <c r="C21" s="33">
        <v>34</v>
      </c>
      <c r="D21" s="33">
        <v>34000</v>
      </c>
      <c r="E21" s="33">
        <v>30</v>
      </c>
      <c r="F21" s="33">
        <v>30000</v>
      </c>
      <c r="G21" s="34">
        <f>총판매액(D21,F21)</f>
        <v>64000</v>
      </c>
    </row>
    <row r="22" spans="1:8">
      <c r="A22" s="18" t="s">
        <v>55</v>
      </c>
      <c r="B22" s="18" t="s">
        <v>57</v>
      </c>
      <c r="C22" s="33">
        <v>34</v>
      </c>
      <c r="D22" s="33">
        <v>61200</v>
      </c>
      <c r="E22" s="33">
        <v>78</v>
      </c>
      <c r="F22" s="33">
        <v>140400</v>
      </c>
      <c r="G22" s="34">
        <f t="shared" ref="G22:G29" si="2">총판매액(D22,F22)</f>
        <v>201600</v>
      </c>
    </row>
    <row r="23" spans="1:8">
      <c r="A23" s="18" t="s">
        <v>58</v>
      </c>
      <c r="B23" s="18" t="s">
        <v>56</v>
      </c>
      <c r="C23" s="33">
        <v>68</v>
      </c>
      <c r="D23" s="33">
        <v>68000</v>
      </c>
      <c r="E23" s="33">
        <v>50</v>
      </c>
      <c r="F23" s="33">
        <v>50000</v>
      </c>
      <c r="G23" s="34">
        <f t="shared" si="2"/>
        <v>118000</v>
      </c>
    </row>
    <row r="24" spans="1:8">
      <c r="A24" s="18" t="s">
        <v>59</v>
      </c>
      <c r="B24" s="18" t="s">
        <v>56</v>
      </c>
      <c r="C24" s="33">
        <v>70</v>
      </c>
      <c r="D24" s="33">
        <v>70000</v>
      </c>
      <c r="E24" s="33">
        <v>67</v>
      </c>
      <c r="F24" s="33">
        <v>67000</v>
      </c>
      <c r="G24" s="34">
        <f t="shared" si="2"/>
        <v>137000</v>
      </c>
    </row>
    <row r="25" spans="1:8">
      <c r="A25" s="18" t="s">
        <v>60</v>
      </c>
      <c r="B25" s="18" t="s">
        <v>61</v>
      </c>
      <c r="C25" s="33">
        <v>54</v>
      </c>
      <c r="D25" s="33">
        <v>81000</v>
      </c>
      <c r="E25" s="33">
        <v>50</v>
      </c>
      <c r="F25" s="33">
        <v>75000</v>
      </c>
      <c r="G25" s="34">
        <f t="shared" si="2"/>
        <v>156000</v>
      </c>
    </row>
    <row r="26" spans="1:8">
      <c r="A26" s="18" t="s">
        <v>59</v>
      </c>
      <c r="B26" s="18" t="s">
        <v>62</v>
      </c>
      <c r="C26" s="33">
        <v>56</v>
      </c>
      <c r="D26" s="33">
        <v>84000</v>
      </c>
      <c r="E26" s="33">
        <v>67</v>
      </c>
      <c r="F26" s="33">
        <v>100500</v>
      </c>
      <c r="G26" s="34">
        <f t="shared" si="2"/>
        <v>184500</v>
      </c>
    </row>
    <row r="27" spans="1:8">
      <c r="A27" s="18" t="s">
        <v>60</v>
      </c>
      <c r="B27" s="18" t="s">
        <v>61</v>
      </c>
      <c r="C27" s="33">
        <v>56</v>
      </c>
      <c r="D27" s="33">
        <v>84000</v>
      </c>
      <c r="E27" s="33">
        <v>56</v>
      </c>
      <c r="F27" s="33">
        <v>84000</v>
      </c>
      <c r="G27" s="34">
        <f t="shared" si="2"/>
        <v>168000</v>
      </c>
    </row>
    <row r="28" spans="1:8">
      <c r="A28" s="18" t="s">
        <v>58</v>
      </c>
      <c r="B28" s="18" t="s">
        <v>56</v>
      </c>
      <c r="C28" s="33">
        <v>85</v>
      </c>
      <c r="D28" s="33">
        <v>85000</v>
      </c>
      <c r="E28" s="33">
        <v>80</v>
      </c>
      <c r="F28" s="33">
        <v>80000</v>
      </c>
      <c r="G28" s="34">
        <f t="shared" si="2"/>
        <v>165000</v>
      </c>
    </row>
    <row r="29" spans="1:8">
      <c r="A29" s="18" t="s">
        <v>60</v>
      </c>
      <c r="B29" s="18" t="s">
        <v>63</v>
      </c>
      <c r="C29" s="33">
        <v>87</v>
      </c>
      <c r="D29" s="33">
        <v>87000</v>
      </c>
      <c r="E29" s="33">
        <v>75</v>
      </c>
      <c r="F29" s="33">
        <v>75000</v>
      </c>
      <c r="G29" s="34">
        <f t="shared" si="2"/>
        <v>162000</v>
      </c>
    </row>
    <row r="31" spans="1:8">
      <c r="A31" s="18" t="s">
        <v>48</v>
      </c>
      <c r="B31" s="35" t="s">
        <v>64</v>
      </c>
    </row>
    <row r="32" spans="1:8">
      <c r="A32" s="18" t="s">
        <v>59</v>
      </c>
      <c r="B32" s="36">
        <f t="array" ref="B32">MIN(MAX(($A$21:$A$29=A32)*$D$21:$D$29),MAX(($A$21:$A$29=A32)*$F$21:$F$29))</f>
        <v>84000</v>
      </c>
    </row>
    <row r="33" spans="1:2">
      <c r="A33" s="18" t="s">
        <v>55</v>
      </c>
      <c r="B33" s="36">
        <f t="array" ref="B33">MIN(MAX(($A$21:$A$29=A33)*$D$21:$D$29),MAX(($A$21:$A$29=A33)*$F$21:$F$29))</f>
        <v>61200</v>
      </c>
    </row>
    <row r="34" spans="1:2">
      <c r="A34" s="18" t="s">
        <v>58</v>
      </c>
      <c r="B34" s="36">
        <f t="array" ref="B34">MIN(MAX(($A$21:$A$29=A34)*$D$21:$D$29),MAX(($A$21:$A$29=A34)*$F$21:$F$29))</f>
        <v>80000</v>
      </c>
    </row>
    <row r="35" spans="1:2">
      <c r="A35" s="18" t="s">
        <v>60</v>
      </c>
      <c r="B35" s="36">
        <f t="array" ref="B35">MIN(MAX(($A$21:$A$29=A35)*$D$21:$D$29),MAX(($A$21:$A$29=A35)*$F$21:$F$29))</f>
        <v>84000</v>
      </c>
    </row>
  </sheetData>
  <mergeCells count="1">
    <mergeCell ref="A12:D12"/>
  </mergeCells>
  <phoneticPr fontId="4" type="noConversion"/>
  <pageMargins left="0.75" right="0.75" top="1" bottom="1" header="0.5" footer="0.5"/>
  <pageSetup paperSize="9" orientation="portrait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O30"/>
  <sheetViews>
    <sheetView windowProtection="1" workbookViewId="0"/>
  </sheetViews>
  <sheetFormatPr defaultRowHeight="16.5"/>
  <cols>
    <col min="1" max="7" width="9" style="2"/>
    <col min="8" max="10" width="10.25" style="2" customWidth="1"/>
    <col min="11" max="11" width="9" style="2"/>
    <col min="12" max="12" width="14.75" style="2" bestFit="1" customWidth="1"/>
    <col min="13" max="13" width="11.625" style="2" customWidth="1"/>
    <col min="14" max="14" width="7.25" style="2" customWidth="1"/>
    <col min="15" max="15" width="8.375" style="2" customWidth="1"/>
    <col min="16" max="16384" width="9" style="2"/>
  </cols>
  <sheetData>
    <row r="2" spans="1:15">
      <c r="A2" s="53" t="s">
        <v>128</v>
      </c>
      <c r="B2" s="54" t="s">
        <v>129</v>
      </c>
      <c r="C2" s="54" t="s">
        <v>130</v>
      </c>
      <c r="D2" s="54" t="s">
        <v>131</v>
      </c>
      <c r="E2" s="54" t="s">
        <v>132</v>
      </c>
      <c r="F2" s="54" t="s">
        <v>133</v>
      </c>
      <c r="G2" s="54" t="s">
        <v>134</v>
      </c>
      <c r="H2" s="54" t="s">
        <v>135</v>
      </c>
      <c r="I2" s="54" t="s">
        <v>136</v>
      </c>
      <c r="J2" s="55" t="s">
        <v>137</v>
      </c>
      <c r="L2" s="56" t="s">
        <v>173</v>
      </c>
      <c r="M2" s="56" t="s">
        <v>172</v>
      </c>
      <c r="N2"/>
      <c r="O2"/>
    </row>
    <row r="3" spans="1:15">
      <c r="A3" s="47">
        <v>161001</v>
      </c>
      <c r="B3" s="48" t="s">
        <v>138</v>
      </c>
      <c r="C3" s="48" t="s">
        <v>139</v>
      </c>
      <c r="D3" s="48">
        <v>60</v>
      </c>
      <c r="E3" s="48">
        <v>60</v>
      </c>
      <c r="F3" s="48">
        <v>90</v>
      </c>
      <c r="G3" s="48">
        <v>210</v>
      </c>
      <c r="H3" s="48">
        <v>76.5</v>
      </c>
      <c r="I3" s="48">
        <v>22</v>
      </c>
      <c r="J3" s="49" t="s">
        <v>140</v>
      </c>
      <c r="L3" s="56" t="s">
        <v>170</v>
      </c>
      <c r="M3" t="s">
        <v>139</v>
      </c>
      <c r="N3" t="s">
        <v>143</v>
      </c>
      <c r="O3" t="s">
        <v>171</v>
      </c>
    </row>
    <row r="4" spans="1:15">
      <c r="A4" s="47">
        <v>161002</v>
      </c>
      <c r="B4" s="48" t="s">
        <v>141</v>
      </c>
      <c r="C4" s="48" t="s">
        <v>139</v>
      </c>
      <c r="D4" s="48">
        <v>50</v>
      </c>
      <c r="E4" s="48">
        <v>70</v>
      </c>
      <c r="F4" s="48">
        <v>90</v>
      </c>
      <c r="G4" s="48">
        <v>210</v>
      </c>
      <c r="H4" s="48">
        <v>77.5</v>
      </c>
      <c r="I4" s="48">
        <v>19</v>
      </c>
      <c r="J4" s="49" t="s">
        <v>140</v>
      </c>
      <c r="L4" s="57" t="s">
        <v>174</v>
      </c>
      <c r="M4" s="58">
        <v>0.63335607094133695</v>
      </c>
      <c r="N4" s="58">
        <v>0.36664392905866305</v>
      </c>
      <c r="O4" s="58">
        <v>1</v>
      </c>
    </row>
    <row r="5" spans="1:15">
      <c r="A5" s="47">
        <v>161003</v>
      </c>
      <c r="B5" s="48" t="s">
        <v>142</v>
      </c>
      <c r="C5" s="48" t="s">
        <v>143</v>
      </c>
      <c r="D5" s="48">
        <v>90</v>
      </c>
      <c r="E5" s="48">
        <v>50</v>
      </c>
      <c r="F5" s="48">
        <v>100</v>
      </c>
      <c r="G5" s="48">
        <v>240</v>
      </c>
      <c r="H5" s="48">
        <v>85</v>
      </c>
      <c r="I5" s="48">
        <v>7</v>
      </c>
      <c r="J5" s="49" t="s">
        <v>144</v>
      </c>
      <c r="L5" s="57" t="s">
        <v>175</v>
      </c>
      <c r="M5" s="58">
        <v>0.30637691485571783</v>
      </c>
      <c r="N5" s="58">
        <v>0.69362308514428217</v>
      </c>
      <c r="O5" s="58">
        <v>1</v>
      </c>
    </row>
    <row r="6" spans="1:15">
      <c r="A6" s="47">
        <v>161004</v>
      </c>
      <c r="B6" s="48" t="s">
        <v>145</v>
      </c>
      <c r="C6" s="48" t="s">
        <v>143</v>
      </c>
      <c r="D6" s="48">
        <v>40</v>
      </c>
      <c r="E6" s="48">
        <v>80</v>
      </c>
      <c r="F6" s="48">
        <v>80</v>
      </c>
      <c r="G6" s="48">
        <v>200</v>
      </c>
      <c r="H6" s="48">
        <v>74</v>
      </c>
      <c r="I6" s="48">
        <v>24</v>
      </c>
      <c r="J6" s="49" t="s">
        <v>140</v>
      </c>
      <c r="L6" s="57" t="s">
        <v>171</v>
      </c>
      <c r="M6" s="58">
        <v>0.47342742638090257</v>
      </c>
      <c r="N6" s="58">
        <v>0.52657257361909737</v>
      </c>
      <c r="O6" s="58">
        <v>1</v>
      </c>
    </row>
    <row r="7" spans="1:15">
      <c r="A7" s="47">
        <v>161005</v>
      </c>
      <c r="B7" s="48" t="s">
        <v>146</v>
      </c>
      <c r="C7" s="48" t="s">
        <v>139</v>
      </c>
      <c r="D7" s="48">
        <v>60</v>
      </c>
      <c r="E7" s="48">
        <v>100</v>
      </c>
      <c r="F7" s="48">
        <v>100</v>
      </c>
      <c r="G7" s="48">
        <v>260</v>
      </c>
      <c r="H7" s="48">
        <v>95</v>
      </c>
      <c r="I7" s="48">
        <v>1</v>
      </c>
      <c r="J7" s="49" t="s">
        <v>147</v>
      </c>
      <c r="L7"/>
      <c r="M7"/>
      <c r="N7"/>
      <c r="O7"/>
    </row>
    <row r="8" spans="1:15">
      <c r="A8" s="47">
        <v>161006</v>
      </c>
      <c r="B8" s="48" t="s">
        <v>148</v>
      </c>
      <c r="C8" s="48" t="s">
        <v>139</v>
      </c>
      <c r="D8" s="48">
        <v>90</v>
      </c>
      <c r="E8" s="48">
        <v>90</v>
      </c>
      <c r="F8" s="48">
        <v>80</v>
      </c>
      <c r="G8" s="48">
        <v>260</v>
      </c>
      <c r="H8" s="48">
        <v>90</v>
      </c>
      <c r="I8" s="48">
        <v>4</v>
      </c>
      <c r="J8" s="49" t="s">
        <v>147</v>
      </c>
      <c r="L8"/>
      <c r="M8"/>
      <c r="N8"/>
      <c r="O8"/>
    </row>
    <row r="9" spans="1:15">
      <c r="A9" s="47">
        <v>161008</v>
      </c>
      <c r="B9" s="48" t="s">
        <v>149</v>
      </c>
      <c r="C9" s="48" t="s">
        <v>143</v>
      </c>
      <c r="D9" s="48">
        <v>88</v>
      </c>
      <c r="E9" s="48">
        <v>81</v>
      </c>
      <c r="F9" s="48">
        <v>77</v>
      </c>
      <c r="G9" s="48">
        <v>246</v>
      </c>
      <c r="H9" s="48">
        <v>85</v>
      </c>
      <c r="I9" s="48">
        <v>7</v>
      </c>
      <c r="J9" s="49" t="s">
        <v>144</v>
      </c>
      <c r="L9"/>
      <c r="M9"/>
      <c r="N9"/>
      <c r="O9"/>
    </row>
    <row r="10" spans="1:15">
      <c r="A10" s="47">
        <v>161010</v>
      </c>
      <c r="B10" s="48" t="s">
        <v>150</v>
      </c>
      <c r="C10" s="48" t="s">
        <v>139</v>
      </c>
      <c r="D10" s="48">
        <v>72</v>
      </c>
      <c r="E10" s="48">
        <v>96</v>
      </c>
      <c r="F10" s="48">
        <v>67</v>
      </c>
      <c r="G10" s="48">
        <v>235</v>
      </c>
      <c r="H10" s="48">
        <v>81.75</v>
      </c>
      <c r="I10" s="48">
        <v>12</v>
      </c>
      <c r="J10" s="49" t="s">
        <v>144</v>
      </c>
      <c r="L10"/>
      <c r="M10"/>
      <c r="N10"/>
      <c r="O10"/>
    </row>
    <row r="11" spans="1:15">
      <c r="A11" s="47">
        <v>161013</v>
      </c>
      <c r="B11" s="48" t="s">
        <v>151</v>
      </c>
      <c r="C11" s="48" t="s">
        <v>143</v>
      </c>
      <c r="D11" s="48">
        <v>77</v>
      </c>
      <c r="E11" s="48">
        <v>77</v>
      </c>
      <c r="F11" s="48">
        <v>50</v>
      </c>
      <c r="G11" s="48">
        <v>204</v>
      </c>
      <c r="H11" s="48">
        <v>68.7</v>
      </c>
      <c r="I11" s="48">
        <v>32</v>
      </c>
      <c r="J11" s="49" t="s">
        <v>152</v>
      </c>
      <c r="L11"/>
      <c r="M11"/>
      <c r="N11"/>
      <c r="O11"/>
    </row>
    <row r="12" spans="1:15">
      <c r="A12" s="47">
        <v>161014</v>
      </c>
      <c r="B12" s="48" t="s">
        <v>153</v>
      </c>
      <c r="C12" s="48" t="s">
        <v>139</v>
      </c>
      <c r="D12" s="48">
        <v>79</v>
      </c>
      <c r="E12" s="48">
        <v>94</v>
      </c>
      <c r="F12" s="48">
        <v>76</v>
      </c>
      <c r="G12" s="48">
        <v>249</v>
      </c>
      <c r="H12" s="48">
        <v>86.85</v>
      </c>
      <c r="I12" s="48">
        <v>6</v>
      </c>
      <c r="J12" s="49" t="s">
        <v>144</v>
      </c>
      <c r="L12"/>
      <c r="M12"/>
      <c r="N12"/>
      <c r="O12"/>
    </row>
    <row r="13" spans="1:15">
      <c r="A13" s="47">
        <v>161015</v>
      </c>
      <c r="B13" s="48" t="s">
        <v>154</v>
      </c>
      <c r="C13" s="48" t="s">
        <v>139</v>
      </c>
      <c r="D13" s="48">
        <v>65</v>
      </c>
      <c r="E13" s="48">
        <v>73</v>
      </c>
      <c r="F13" s="48">
        <v>67</v>
      </c>
      <c r="G13" s="48">
        <v>205</v>
      </c>
      <c r="H13" s="48">
        <v>71.95</v>
      </c>
      <c r="I13" s="48">
        <v>25</v>
      </c>
      <c r="J13" s="49" t="s">
        <v>140</v>
      </c>
      <c r="L13"/>
      <c r="M13"/>
      <c r="N13"/>
      <c r="O13"/>
    </row>
    <row r="14" spans="1:15">
      <c r="A14" s="47">
        <v>161017</v>
      </c>
      <c r="B14" s="48" t="s">
        <v>155</v>
      </c>
      <c r="C14" s="48" t="s">
        <v>143</v>
      </c>
      <c r="D14" s="48">
        <v>52</v>
      </c>
      <c r="E14" s="48">
        <v>78</v>
      </c>
      <c r="F14" s="48">
        <v>55</v>
      </c>
      <c r="G14" s="48">
        <v>185</v>
      </c>
      <c r="H14" s="48">
        <v>65.05</v>
      </c>
      <c r="I14" s="48">
        <v>36</v>
      </c>
      <c r="J14" s="49" t="s">
        <v>152</v>
      </c>
      <c r="L14"/>
      <c r="M14"/>
      <c r="N14"/>
      <c r="O14"/>
    </row>
    <row r="15" spans="1:15">
      <c r="A15" s="47">
        <v>161018</v>
      </c>
      <c r="B15" s="48" t="s">
        <v>156</v>
      </c>
      <c r="C15" s="48" t="s">
        <v>139</v>
      </c>
      <c r="D15" s="48">
        <v>76</v>
      </c>
      <c r="E15" s="48">
        <v>65</v>
      </c>
      <c r="F15" s="48">
        <v>87</v>
      </c>
      <c r="G15" s="48">
        <v>228</v>
      </c>
      <c r="H15" s="48">
        <v>80.900000000000006</v>
      </c>
      <c r="I15" s="48">
        <v>13</v>
      </c>
      <c r="J15" s="49" t="s">
        <v>144</v>
      </c>
      <c r="L15"/>
      <c r="M15"/>
      <c r="N15"/>
      <c r="O15"/>
    </row>
    <row r="16" spans="1:15">
      <c r="A16" s="47">
        <v>171020</v>
      </c>
      <c r="B16" s="48" t="s">
        <v>157</v>
      </c>
      <c r="C16" s="48" t="s">
        <v>143</v>
      </c>
      <c r="D16" s="48">
        <v>86</v>
      </c>
      <c r="E16" s="48">
        <v>66</v>
      </c>
      <c r="F16" s="48">
        <v>71</v>
      </c>
      <c r="G16" s="48">
        <v>223</v>
      </c>
      <c r="H16" s="48">
        <v>76.55</v>
      </c>
      <c r="I16" s="48">
        <v>20</v>
      </c>
      <c r="J16" s="49" t="s">
        <v>140</v>
      </c>
      <c r="L16"/>
      <c r="M16"/>
      <c r="N16"/>
      <c r="O16"/>
    </row>
    <row r="17" spans="1:15">
      <c r="A17" s="47">
        <v>171021</v>
      </c>
      <c r="B17" s="48" t="s">
        <v>158</v>
      </c>
      <c r="C17" s="48" t="s">
        <v>139</v>
      </c>
      <c r="D17" s="48">
        <v>84</v>
      </c>
      <c r="E17" s="48">
        <v>70</v>
      </c>
      <c r="F17" s="48">
        <v>69</v>
      </c>
      <c r="G17" s="48">
        <v>223</v>
      </c>
      <c r="H17" s="48">
        <v>76.55</v>
      </c>
      <c r="I17" s="48">
        <v>20</v>
      </c>
      <c r="J17" s="49" t="s">
        <v>140</v>
      </c>
      <c r="L17"/>
      <c r="M17"/>
      <c r="N17"/>
      <c r="O17"/>
    </row>
    <row r="18" spans="1:15">
      <c r="A18" s="47">
        <v>171023</v>
      </c>
      <c r="B18" s="48" t="s">
        <v>159</v>
      </c>
      <c r="C18" s="48" t="s">
        <v>143</v>
      </c>
      <c r="D18" s="48">
        <v>68</v>
      </c>
      <c r="E18" s="48">
        <v>50</v>
      </c>
      <c r="F18" s="48">
        <v>81</v>
      </c>
      <c r="G18" s="48">
        <v>199</v>
      </c>
      <c r="H18" s="48">
        <v>70.95</v>
      </c>
      <c r="I18" s="48">
        <v>26</v>
      </c>
      <c r="J18" s="49" t="s">
        <v>140</v>
      </c>
      <c r="L18"/>
      <c r="M18"/>
      <c r="N18"/>
      <c r="O18"/>
    </row>
    <row r="19" spans="1:15">
      <c r="A19" s="47">
        <v>171024</v>
      </c>
      <c r="B19" s="48" t="s">
        <v>160</v>
      </c>
      <c r="C19" s="48" t="s">
        <v>139</v>
      </c>
      <c r="D19" s="48">
        <v>64</v>
      </c>
      <c r="E19" s="48">
        <v>59</v>
      </c>
      <c r="F19" s="48">
        <v>97</v>
      </c>
      <c r="G19" s="48">
        <v>220</v>
      </c>
      <c r="H19" s="48">
        <v>80.3</v>
      </c>
      <c r="I19" s="48">
        <v>16</v>
      </c>
      <c r="J19" s="49" t="s">
        <v>144</v>
      </c>
      <c r="L19"/>
      <c r="M19"/>
      <c r="N19"/>
      <c r="O19"/>
    </row>
    <row r="20" spans="1:15">
      <c r="A20" s="47">
        <v>171026</v>
      </c>
      <c r="B20" s="48" t="s">
        <v>161</v>
      </c>
      <c r="C20" s="48" t="s">
        <v>143</v>
      </c>
      <c r="D20" s="48">
        <v>86</v>
      </c>
      <c r="E20" s="48">
        <v>68</v>
      </c>
      <c r="F20" s="48">
        <v>56</v>
      </c>
      <c r="G20" s="48">
        <v>210</v>
      </c>
      <c r="H20" s="48">
        <v>70.5</v>
      </c>
      <c r="I20" s="48">
        <v>28</v>
      </c>
      <c r="J20" s="49" t="s">
        <v>140</v>
      </c>
      <c r="L20"/>
      <c r="M20"/>
      <c r="N20"/>
      <c r="O20"/>
    </row>
    <row r="21" spans="1:15">
      <c r="A21" s="47">
        <v>171027</v>
      </c>
      <c r="B21" s="48" t="s">
        <v>162</v>
      </c>
      <c r="C21" s="48" t="s">
        <v>139</v>
      </c>
      <c r="D21" s="48">
        <v>82</v>
      </c>
      <c r="E21" s="48">
        <v>88</v>
      </c>
      <c r="F21" s="48">
        <v>62</v>
      </c>
      <c r="G21" s="48">
        <v>232</v>
      </c>
      <c r="H21" s="48">
        <v>79.2</v>
      </c>
      <c r="I21" s="48">
        <v>17</v>
      </c>
      <c r="J21" s="49" t="s">
        <v>140</v>
      </c>
      <c r="L21"/>
      <c r="M21"/>
      <c r="N21"/>
      <c r="O21"/>
    </row>
    <row r="22" spans="1:15">
      <c r="A22" s="47">
        <v>171028</v>
      </c>
      <c r="B22" s="48" t="s">
        <v>163</v>
      </c>
      <c r="C22" s="48" t="s">
        <v>143</v>
      </c>
      <c r="D22" s="48">
        <v>97</v>
      </c>
      <c r="E22" s="48">
        <v>68</v>
      </c>
      <c r="F22" s="48">
        <v>72</v>
      </c>
      <c r="G22" s="48">
        <v>237</v>
      </c>
      <c r="H22" s="48">
        <v>80.45</v>
      </c>
      <c r="I22" s="48">
        <v>15</v>
      </c>
      <c r="J22" s="49" t="s">
        <v>144</v>
      </c>
      <c r="L22"/>
      <c r="M22"/>
      <c r="N22"/>
      <c r="O22"/>
    </row>
    <row r="23" spans="1:15">
      <c r="A23" s="47">
        <v>171029</v>
      </c>
      <c r="B23" s="48" t="s">
        <v>164</v>
      </c>
      <c r="C23" s="48" t="s">
        <v>143</v>
      </c>
      <c r="D23" s="48">
        <v>55</v>
      </c>
      <c r="E23" s="48">
        <v>68</v>
      </c>
      <c r="F23" s="48">
        <v>73</v>
      </c>
      <c r="G23" s="48">
        <v>196</v>
      </c>
      <c r="H23" s="48">
        <v>70.400000000000006</v>
      </c>
      <c r="I23" s="48">
        <v>29</v>
      </c>
      <c r="J23" s="49" t="s">
        <v>140</v>
      </c>
      <c r="L23"/>
      <c r="M23"/>
      <c r="N23"/>
      <c r="O23"/>
    </row>
    <row r="24" spans="1:15">
      <c r="A24" s="47">
        <v>171030</v>
      </c>
      <c r="B24" s="48" t="s">
        <v>165</v>
      </c>
      <c r="C24" s="48" t="s">
        <v>143</v>
      </c>
      <c r="D24" s="48">
        <v>89</v>
      </c>
      <c r="E24" s="48">
        <v>66</v>
      </c>
      <c r="F24" s="48">
        <v>56</v>
      </c>
      <c r="G24" s="48">
        <v>211</v>
      </c>
      <c r="H24" s="48">
        <v>70.55</v>
      </c>
      <c r="I24" s="48">
        <v>27</v>
      </c>
      <c r="J24" s="49" t="s">
        <v>140</v>
      </c>
      <c r="L24"/>
      <c r="M24"/>
      <c r="N24"/>
      <c r="O24"/>
    </row>
    <row r="25" spans="1:15">
      <c r="A25" s="47">
        <v>171033</v>
      </c>
      <c r="B25" s="48" t="s">
        <v>166</v>
      </c>
      <c r="C25" s="48" t="s">
        <v>143</v>
      </c>
      <c r="D25" s="48">
        <v>76</v>
      </c>
      <c r="E25" s="48">
        <v>80</v>
      </c>
      <c r="F25" s="48">
        <v>91</v>
      </c>
      <c r="G25" s="48">
        <v>247</v>
      </c>
      <c r="H25" s="48">
        <v>87.95</v>
      </c>
      <c r="I25" s="48">
        <v>5</v>
      </c>
      <c r="J25" s="49" t="s">
        <v>144</v>
      </c>
      <c r="L25"/>
      <c r="M25"/>
      <c r="N25"/>
      <c r="O25"/>
    </row>
    <row r="26" spans="1:15">
      <c r="A26" s="47">
        <v>171034</v>
      </c>
      <c r="B26" s="48" t="s">
        <v>167</v>
      </c>
      <c r="C26" s="48" t="s">
        <v>139</v>
      </c>
      <c r="D26" s="48">
        <v>52</v>
      </c>
      <c r="E26" s="48">
        <v>56</v>
      </c>
      <c r="F26" s="48">
        <v>77</v>
      </c>
      <c r="G26" s="48">
        <v>185</v>
      </c>
      <c r="H26" s="48">
        <v>67.25</v>
      </c>
      <c r="I26" s="48">
        <v>34</v>
      </c>
      <c r="J26" s="49" t="s">
        <v>152</v>
      </c>
      <c r="L26"/>
      <c r="M26"/>
      <c r="N26"/>
      <c r="O26"/>
    </row>
    <row r="27" spans="1:15">
      <c r="A27" s="47">
        <v>171035</v>
      </c>
      <c r="B27" s="48" t="s">
        <v>168</v>
      </c>
      <c r="C27" s="48" t="s">
        <v>143</v>
      </c>
      <c r="D27" s="48">
        <v>87</v>
      </c>
      <c r="E27" s="48">
        <v>78</v>
      </c>
      <c r="F27" s="48">
        <v>56</v>
      </c>
      <c r="G27" s="48">
        <v>221</v>
      </c>
      <c r="H27" s="48">
        <v>74.25</v>
      </c>
      <c r="I27" s="48">
        <v>23</v>
      </c>
      <c r="J27" s="49" t="s">
        <v>140</v>
      </c>
      <c r="L27"/>
      <c r="M27"/>
      <c r="N27"/>
      <c r="O27"/>
    </row>
    <row r="28" spans="1:15">
      <c r="A28" s="50">
        <v>171036</v>
      </c>
      <c r="B28" s="51" t="s">
        <v>169</v>
      </c>
      <c r="C28" s="51" t="s">
        <v>143</v>
      </c>
      <c r="D28" s="51">
        <v>93</v>
      </c>
      <c r="E28" s="51">
        <v>59</v>
      </c>
      <c r="F28" s="51">
        <v>51</v>
      </c>
      <c r="G28" s="51">
        <v>203</v>
      </c>
      <c r="H28" s="51">
        <v>66.849999999999994</v>
      </c>
      <c r="I28" s="51">
        <v>35</v>
      </c>
      <c r="J28" s="52" t="s">
        <v>152</v>
      </c>
      <c r="L28"/>
      <c r="M28"/>
      <c r="N28"/>
      <c r="O28"/>
    </row>
    <row r="29" spans="1:15">
      <c r="L29"/>
      <c r="M29"/>
      <c r="N29"/>
      <c r="O29"/>
    </row>
    <row r="30" spans="1:15">
      <c r="L30"/>
      <c r="M30"/>
      <c r="N30"/>
      <c r="O30"/>
    </row>
  </sheetData>
  <phoneticPr fontId="4" type="noConversion"/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filterMode="1"/>
  <dimension ref="B6:I18"/>
  <sheetViews>
    <sheetView windowProtection="1" workbookViewId="0"/>
  </sheetViews>
  <sheetFormatPr defaultRowHeight="16.5"/>
  <cols>
    <col min="1" max="1" width="2.5" style="2" customWidth="1"/>
    <col min="2" max="2" width="9.875" style="2" customWidth="1"/>
    <col min="3" max="3" width="9.125" style="2" customWidth="1"/>
    <col min="4" max="4" width="8.375" style="2" customWidth="1"/>
    <col min="5" max="9" width="12.5" style="2" customWidth="1"/>
    <col min="10" max="16384" width="9" style="2"/>
  </cols>
  <sheetData>
    <row r="6" spans="2:9">
      <c r="B6" s="23" t="s">
        <v>65</v>
      </c>
      <c r="C6" s="23" t="s">
        <v>66</v>
      </c>
      <c r="D6" s="23" t="s">
        <v>67</v>
      </c>
      <c r="E6" s="23" t="s">
        <v>68</v>
      </c>
      <c r="F6" s="23" t="s">
        <v>69</v>
      </c>
      <c r="G6" s="23" t="s">
        <v>70</v>
      </c>
      <c r="H6" s="23" t="s">
        <v>71</v>
      </c>
      <c r="I6" s="23" t="s">
        <v>72</v>
      </c>
    </row>
    <row r="7" spans="2:9" hidden="1">
      <c r="B7" s="23" t="s">
        <v>73</v>
      </c>
      <c r="C7" s="23" t="s">
        <v>74</v>
      </c>
      <c r="D7" s="23" t="s">
        <v>75</v>
      </c>
      <c r="E7" s="37">
        <v>34</v>
      </c>
      <c r="F7" s="37">
        <v>38</v>
      </c>
      <c r="G7" s="37">
        <v>10</v>
      </c>
      <c r="H7" s="37">
        <v>7</v>
      </c>
      <c r="I7" s="37">
        <f>SUM(E7:H7)</f>
        <v>89</v>
      </c>
    </row>
    <row r="8" spans="2:9" hidden="1">
      <c r="B8" s="23" t="s">
        <v>76</v>
      </c>
      <c r="C8" s="23" t="s">
        <v>77</v>
      </c>
      <c r="D8" s="23" t="s">
        <v>75</v>
      </c>
      <c r="E8" s="37">
        <v>40</v>
      </c>
      <c r="F8" s="37">
        <v>36</v>
      </c>
      <c r="G8" s="37">
        <v>9</v>
      </c>
      <c r="H8" s="37">
        <v>7</v>
      </c>
      <c r="I8" s="37">
        <f t="shared" ref="I8:I18" si="0">SUM(E8:H8)</f>
        <v>92</v>
      </c>
    </row>
    <row r="9" spans="2:9">
      <c r="B9" s="23" t="s">
        <v>78</v>
      </c>
      <c r="C9" s="23" t="s">
        <v>74</v>
      </c>
      <c r="D9" s="23" t="s">
        <v>79</v>
      </c>
      <c r="E9" s="37">
        <v>39</v>
      </c>
      <c r="F9" s="37">
        <v>40</v>
      </c>
      <c r="G9" s="37">
        <v>10</v>
      </c>
      <c r="H9" s="37">
        <v>10</v>
      </c>
      <c r="I9" s="37">
        <f t="shared" ref="I9:I17" si="1">SUM(E9:H9)</f>
        <v>99</v>
      </c>
    </row>
    <row r="10" spans="2:9" hidden="1">
      <c r="B10" s="23" t="s">
        <v>80</v>
      </c>
      <c r="C10" s="23" t="s">
        <v>74</v>
      </c>
      <c r="D10" s="23" t="s">
        <v>81</v>
      </c>
      <c r="E10" s="37">
        <v>39</v>
      </c>
      <c r="F10" s="37">
        <v>35</v>
      </c>
      <c r="G10" s="37">
        <v>9</v>
      </c>
      <c r="H10" s="37">
        <v>9</v>
      </c>
      <c r="I10" s="37">
        <f t="shared" si="1"/>
        <v>92</v>
      </c>
    </row>
    <row r="11" spans="2:9" hidden="1">
      <c r="B11" s="23" t="s">
        <v>82</v>
      </c>
      <c r="C11" s="23" t="s">
        <v>77</v>
      </c>
      <c r="D11" s="23" t="s">
        <v>75</v>
      </c>
      <c r="E11" s="37">
        <v>33</v>
      </c>
      <c r="F11" s="37">
        <v>34</v>
      </c>
      <c r="G11" s="37">
        <v>8</v>
      </c>
      <c r="H11" s="37">
        <v>7</v>
      </c>
      <c r="I11" s="37">
        <f t="shared" si="1"/>
        <v>82</v>
      </c>
    </row>
    <row r="12" spans="2:9" hidden="1">
      <c r="B12" s="23" t="s">
        <v>83</v>
      </c>
      <c r="C12" s="23" t="s">
        <v>77</v>
      </c>
      <c r="D12" s="23" t="s">
        <v>81</v>
      </c>
      <c r="E12" s="37">
        <v>36</v>
      </c>
      <c r="F12" s="37">
        <v>40</v>
      </c>
      <c r="G12" s="37">
        <v>8</v>
      </c>
      <c r="H12" s="37">
        <v>9</v>
      </c>
      <c r="I12" s="37">
        <f t="shared" si="1"/>
        <v>93</v>
      </c>
    </row>
    <row r="13" spans="2:9" hidden="1">
      <c r="B13" s="23" t="s">
        <v>84</v>
      </c>
      <c r="C13" s="23" t="s">
        <v>85</v>
      </c>
      <c r="D13" s="23" t="s">
        <v>86</v>
      </c>
      <c r="E13" s="37">
        <v>36</v>
      </c>
      <c r="F13" s="37">
        <v>39</v>
      </c>
      <c r="G13" s="37">
        <v>10</v>
      </c>
      <c r="H13" s="37">
        <v>8</v>
      </c>
      <c r="I13" s="37">
        <f t="shared" si="1"/>
        <v>93</v>
      </c>
    </row>
    <row r="14" spans="2:9">
      <c r="B14" s="23" t="s">
        <v>87</v>
      </c>
      <c r="C14" s="23" t="s">
        <v>85</v>
      </c>
      <c r="D14" s="23" t="s">
        <v>79</v>
      </c>
      <c r="E14" s="37">
        <v>38</v>
      </c>
      <c r="F14" s="37">
        <v>39</v>
      </c>
      <c r="G14" s="37">
        <v>9</v>
      </c>
      <c r="H14" s="37">
        <v>10</v>
      </c>
      <c r="I14" s="37">
        <f t="shared" si="1"/>
        <v>96</v>
      </c>
    </row>
    <row r="15" spans="2:9" hidden="1">
      <c r="B15" s="23" t="s">
        <v>88</v>
      </c>
      <c r="C15" s="23" t="s">
        <v>77</v>
      </c>
      <c r="D15" s="23" t="s">
        <v>89</v>
      </c>
      <c r="E15" s="37">
        <v>29</v>
      </c>
      <c r="F15" s="37">
        <v>32</v>
      </c>
      <c r="G15" s="37">
        <v>10</v>
      </c>
      <c r="H15" s="37">
        <v>6</v>
      </c>
      <c r="I15" s="37">
        <f t="shared" si="1"/>
        <v>77</v>
      </c>
    </row>
    <row r="16" spans="2:9" hidden="1">
      <c r="B16" s="23" t="s">
        <v>90</v>
      </c>
      <c r="C16" s="23" t="s">
        <v>85</v>
      </c>
      <c r="D16" s="23" t="s">
        <v>81</v>
      </c>
      <c r="E16" s="37">
        <v>37</v>
      </c>
      <c r="F16" s="37">
        <v>39</v>
      </c>
      <c r="G16" s="37">
        <v>9</v>
      </c>
      <c r="H16" s="37">
        <v>9</v>
      </c>
      <c r="I16" s="37">
        <f t="shared" si="1"/>
        <v>94</v>
      </c>
    </row>
    <row r="17" spans="2:9">
      <c r="B17" s="23" t="s">
        <v>91</v>
      </c>
      <c r="C17" s="23" t="s">
        <v>74</v>
      </c>
      <c r="D17" s="23" t="s">
        <v>81</v>
      </c>
      <c r="E17" s="37">
        <v>39</v>
      </c>
      <c r="F17" s="37">
        <v>38</v>
      </c>
      <c r="G17" s="37">
        <v>10</v>
      </c>
      <c r="H17" s="37">
        <v>9</v>
      </c>
      <c r="I17" s="37">
        <f t="shared" si="1"/>
        <v>96</v>
      </c>
    </row>
    <row r="18" spans="2:9" hidden="1">
      <c r="B18" s="23" t="s">
        <v>92</v>
      </c>
      <c r="C18" s="23" t="s">
        <v>74</v>
      </c>
      <c r="D18" s="23" t="s">
        <v>89</v>
      </c>
      <c r="E18" s="37">
        <v>30</v>
      </c>
      <c r="F18" s="37">
        <v>25</v>
      </c>
      <c r="G18" s="37">
        <v>7</v>
      </c>
      <c r="H18" s="37">
        <v>6</v>
      </c>
      <c r="I18" s="37">
        <f t="shared" si="0"/>
        <v>68</v>
      </c>
    </row>
  </sheetData>
  <autoFilter ref="B6:I18">
    <filterColumn colId="7">
      <top10 percent="1" val="20" filterVal="96"/>
    </filterColumn>
    <sortState ref="B9:I17">
      <sortCondition descending="1" ref="I6:I18"/>
    </sortState>
  </autoFilter>
  <phoneticPr fontId="4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E11"/>
  <sheetViews>
    <sheetView windowProtection="1" workbookViewId="0"/>
  </sheetViews>
  <sheetFormatPr defaultRowHeight="16.5"/>
  <cols>
    <col min="1" max="1" width="12.5" style="2" customWidth="1"/>
    <col min="2" max="2" width="7.375" style="2" customWidth="1"/>
    <col min="3" max="3" width="10.875" style="2" bestFit="1" customWidth="1"/>
    <col min="4" max="4" width="10.625" style="2" bestFit="1" customWidth="1"/>
    <col min="5" max="5" width="9.25" style="2" customWidth="1"/>
    <col min="6" max="16384" width="9" style="2"/>
  </cols>
  <sheetData>
    <row r="1" spans="1:5" ht="20.25">
      <c r="B1" s="92" t="s">
        <v>93</v>
      </c>
      <c r="C1" s="92"/>
      <c r="D1" s="92"/>
      <c r="E1" s="92"/>
    </row>
    <row r="2" spans="1:5">
      <c r="A2" s="38"/>
      <c r="B2" s="38"/>
      <c r="D2" s="39"/>
    </row>
    <row r="3" spans="1:5">
      <c r="A3" s="23" t="s">
        <v>94</v>
      </c>
      <c r="B3" s="23" t="s">
        <v>95</v>
      </c>
      <c r="C3" s="23" t="s">
        <v>96</v>
      </c>
      <c r="D3" s="23" t="s">
        <v>97</v>
      </c>
      <c r="E3" s="23" t="s">
        <v>98</v>
      </c>
    </row>
    <row r="4" spans="1:5">
      <c r="A4" s="37" t="s">
        <v>99</v>
      </c>
      <c r="B4" s="37" t="s">
        <v>100</v>
      </c>
      <c r="C4" s="40">
        <v>356000</v>
      </c>
      <c r="D4" s="41">
        <v>37036</v>
      </c>
      <c r="E4" s="37">
        <v>23</v>
      </c>
    </row>
    <row r="5" spans="1:5">
      <c r="A5" s="37" t="s">
        <v>101</v>
      </c>
      <c r="B5" s="37" t="s">
        <v>102</v>
      </c>
      <c r="C5" s="40">
        <v>173000</v>
      </c>
      <c r="D5" s="41">
        <v>37064</v>
      </c>
      <c r="E5" s="37">
        <v>12</v>
      </c>
    </row>
    <row r="6" spans="1:5">
      <c r="A6" s="37" t="s">
        <v>103</v>
      </c>
      <c r="B6" s="37" t="s">
        <v>104</v>
      </c>
      <c r="C6" s="40">
        <v>498000</v>
      </c>
      <c r="D6" s="41">
        <v>37028</v>
      </c>
      <c r="E6" s="37">
        <v>28</v>
      </c>
    </row>
    <row r="7" spans="1:5">
      <c r="A7" s="37" t="s">
        <v>105</v>
      </c>
      <c r="B7" s="37" t="s">
        <v>106</v>
      </c>
      <c r="C7" s="40">
        <v>87000</v>
      </c>
      <c r="D7" s="41">
        <v>37034</v>
      </c>
      <c r="E7" s="37">
        <v>18</v>
      </c>
    </row>
    <row r="8" spans="1:5">
      <c r="A8" s="37" t="s">
        <v>101</v>
      </c>
      <c r="B8" s="37" t="s">
        <v>107</v>
      </c>
      <c r="C8" s="40">
        <v>1530000</v>
      </c>
      <c r="D8" s="41">
        <v>37068</v>
      </c>
      <c r="E8" s="37">
        <v>95</v>
      </c>
    </row>
    <row r="9" spans="1:5">
      <c r="A9" s="37" t="s">
        <v>103</v>
      </c>
      <c r="B9" s="37" t="s">
        <v>108</v>
      </c>
      <c r="C9" s="40">
        <v>1837000</v>
      </c>
      <c r="D9" s="41">
        <v>37031</v>
      </c>
      <c r="E9" s="37">
        <v>78</v>
      </c>
    </row>
    <row r="10" spans="1:5">
      <c r="A10" s="37" t="s">
        <v>105</v>
      </c>
      <c r="B10" s="37" t="s">
        <v>109</v>
      </c>
      <c r="C10" s="40">
        <v>732000</v>
      </c>
      <c r="D10" s="41">
        <v>37023</v>
      </c>
      <c r="E10" s="37">
        <v>42</v>
      </c>
    </row>
    <row r="11" spans="1:5">
      <c r="A11" s="37" t="s">
        <v>101</v>
      </c>
      <c r="B11" s="26" t="s">
        <v>110</v>
      </c>
      <c r="C11" s="42">
        <v>500000</v>
      </c>
      <c r="D11" s="41">
        <v>37024</v>
      </c>
      <c r="E11" s="26">
        <v>58</v>
      </c>
    </row>
  </sheetData>
  <mergeCells count="1">
    <mergeCell ref="B1:E1"/>
  </mergeCells>
  <phoneticPr fontId="4" type="noConversion"/>
  <pageMargins left="0.75" right="0.75" top="1" bottom="1" header="0.5" footer="0.5"/>
  <pageSetup paperSize="9" orientation="portrait" verticalDpi="0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I8"/>
  <sheetViews>
    <sheetView windowProtection="1" workbookViewId="0"/>
  </sheetViews>
  <sheetFormatPr defaultRowHeight="16.5"/>
  <cols>
    <col min="1" max="4" width="9" style="2"/>
    <col min="5" max="5" width="13.625" style="2" customWidth="1"/>
    <col min="6" max="6" width="9" style="2"/>
    <col min="7" max="8" width="11.125" style="2" bestFit="1" customWidth="1"/>
    <col min="9" max="16384" width="9" style="2"/>
  </cols>
  <sheetData>
    <row r="1" spans="1:9" ht="20.25">
      <c r="A1" s="43" t="s">
        <v>111</v>
      </c>
      <c r="D1" s="2" t="s">
        <v>210</v>
      </c>
    </row>
    <row r="3" spans="1:9">
      <c r="G3" s="2" t="s">
        <v>112</v>
      </c>
    </row>
    <row r="4" spans="1:9">
      <c r="A4" s="44" t="s">
        <v>113</v>
      </c>
      <c r="B4" s="44" t="s">
        <v>114</v>
      </c>
      <c r="C4" s="44" t="s">
        <v>115</v>
      </c>
      <c r="D4" s="44" t="s">
        <v>116</v>
      </c>
      <c r="E4" s="44" t="s">
        <v>117</v>
      </c>
      <c r="G4" s="44" t="s">
        <v>113</v>
      </c>
      <c r="H4" s="44" t="s">
        <v>115</v>
      </c>
      <c r="I4" s="44" t="s">
        <v>116</v>
      </c>
    </row>
    <row r="5" spans="1:9">
      <c r="A5" s="2" t="s">
        <v>118</v>
      </c>
      <c r="B5" s="45">
        <v>1</v>
      </c>
      <c r="C5" s="2">
        <v>850000</v>
      </c>
      <c r="D5" s="2" t="s">
        <v>119</v>
      </c>
      <c r="E5" s="2">
        <v>850000</v>
      </c>
      <c r="G5" s="2" t="s">
        <v>120</v>
      </c>
      <c r="H5" s="46">
        <v>850000</v>
      </c>
      <c r="I5" s="2" t="s">
        <v>121</v>
      </c>
    </row>
    <row r="6" spans="1:9">
      <c r="G6" s="2" t="s">
        <v>122</v>
      </c>
      <c r="H6" s="46">
        <v>350000</v>
      </c>
      <c r="I6" s="2" t="s">
        <v>123</v>
      </c>
    </row>
    <row r="7" spans="1:9">
      <c r="G7" s="2" t="s">
        <v>124</v>
      </c>
      <c r="H7" s="46">
        <v>700000</v>
      </c>
      <c r="I7" s="2" t="s">
        <v>125</v>
      </c>
    </row>
    <row r="8" spans="1:9">
      <c r="G8" s="2" t="s">
        <v>126</v>
      </c>
      <c r="H8" s="46">
        <v>550000</v>
      </c>
      <c r="I8" s="2" t="s">
        <v>127</v>
      </c>
    </row>
  </sheetData>
  <phoneticPr fontId="4" type="noConversion"/>
  <pageMargins left="0.75" right="0.75" top="1" bottom="1" header="0.5" footer="0.5"/>
  <headerFooter alignWithMargins="0"/>
  <drawing r:id="rId1"/>
  <legacyDrawing r:id="rId2"/>
  <controls>
    <mc:AlternateContent xmlns:mc="http://schemas.openxmlformats.org/markup-compatibility/2006">
      <mc:Choice Requires="x14">
        <control shapeId="3073" r:id="rId3" name="CommandButton1">
          <controlPr defaultSize="0" autoLine="0" r:id="rId4">
            <anchor moveWithCells="1">
              <from>
                <xdr:col>5</xdr:col>
                <xdr:colOff>9525</xdr:colOff>
                <xdr:row>0</xdr:row>
                <xdr:rowOff>0</xdr:rowOff>
              </from>
              <to>
                <xdr:col>6</xdr:col>
                <xdr:colOff>600075</xdr:colOff>
                <xdr:row>1</xdr:row>
                <xdr:rowOff>76200</xdr:rowOff>
              </to>
            </anchor>
          </controlPr>
        </control>
      </mc:Choice>
      <mc:Fallback>
        <control shapeId="3073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이름이 지정된 범위</vt:lpstr>
      </vt:variant>
      <vt:variant>
        <vt:i4>3</vt:i4>
      </vt:variant>
    </vt:vector>
  </HeadingPairs>
  <TitlesOfParts>
    <vt:vector size="11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기타작업-1</vt:lpstr>
      <vt:lpstr>기타작업-2</vt:lpstr>
      <vt:lpstr>'기본작업-2'!Criteria</vt:lpstr>
      <vt:lpstr>'기본작업-2'!Extract</vt:lpstr>
      <vt:lpstr>'기본작업-2'!종목코드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김우경</dc:creator>
  <cp:lastModifiedBy>김우경</cp:lastModifiedBy>
  <dcterms:created xsi:type="dcterms:W3CDTF">2017-08-30T07:48:33Z</dcterms:created>
  <dcterms:modified xsi:type="dcterms:W3CDTF">2018-09-04T10:22:57Z</dcterms:modified>
</cp:coreProperties>
</file>