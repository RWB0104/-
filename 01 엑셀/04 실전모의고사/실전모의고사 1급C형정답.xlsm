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95" yWindow="60" windowWidth="26955" windowHeight="13005"/>
  </bookViews>
  <sheets>
    <sheet name="기본작업-1" sheetId="1" r:id="rId1"/>
    <sheet name="기본작업-2" sheetId="2" r:id="rId2"/>
    <sheet name="기본작업-3" sheetId="8" r:id="rId3"/>
    <sheet name="계산작업" sheetId="3" r:id="rId4"/>
    <sheet name="분석작업-1" sheetId="4" r:id="rId5"/>
    <sheet name="분석작업-2" sheetId="5" r:id="rId6"/>
    <sheet name="기타작업-1" sheetId="6" r:id="rId7"/>
    <sheet name="기타작업-2" sheetId="7" r:id="rId8"/>
  </sheets>
  <functionGroups builtInGroupCount="17"/>
  <definedNames>
    <definedName name="_xlnm._FilterDatabase" localSheetId="1" hidden="1">'기본작업-2'!$B$2:$H$22</definedName>
    <definedName name="_xlnm.Criteria" localSheetId="1">'기본작업-2'!$B$24:$D$27</definedName>
    <definedName name="_xlnm.Extract" localSheetId="1">'기본작업-2'!$B$30:$E$30</definedName>
    <definedName name="MS_Access_Database_Query" localSheetId="0" hidden="1">'기본작업-1'!$A$3:$G$11</definedName>
    <definedName name="_xlnm.Print_Area" localSheetId="2">'기본작업-3'!$A$1:$I$16</definedName>
  </definedNames>
  <calcPr calcId="145621"/>
  <pivotCaches>
    <pivotCache cacheId="17" r:id="rId9"/>
  </pivotCaches>
</workbook>
</file>

<file path=xl/calcChain.xml><?xml version="1.0" encoding="utf-8"?>
<calcChain xmlns="http://schemas.openxmlformats.org/spreadsheetml/2006/main">
  <c r="G16" i="8" l="1"/>
  <c r="F16" i="8"/>
  <c r="D16" i="8"/>
  <c r="C16" i="8"/>
  <c r="H15" i="8"/>
  <c r="I15" i="8" s="1"/>
  <c r="E15" i="8"/>
  <c r="H14" i="8"/>
  <c r="E14" i="8"/>
  <c r="I14" i="8" s="1"/>
  <c r="H13" i="8"/>
  <c r="E13" i="8"/>
  <c r="I13" i="8" s="1"/>
  <c r="I12" i="8"/>
  <c r="H12" i="8"/>
  <c r="E12" i="8"/>
  <c r="H11" i="8"/>
  <c r="I11" i="8" s="1"/>
  <c r="E11" i="8"/>
  <c r="H10" i="8"/>
  <c r="E10" i="8"/>
  <c r="I10" i="8" s="1"/>
  <c r="H9" i="8"/>
  <c r="E9" i="8"/>
  <c r="I9" i="8" s="1"/>
  <c r="I8" i="8"/>
  <c r="H8" i="8"/>
  <c r="E8" i="8"/>
  <c r="H7" i="8"/>
  <c r="I7" i="8" s="1"/>
  <c r="E7" i="8"/>
  <c r="H6" i="8"/>
  <c r="E6" i="8"/>
  <c r="I6" i="8" s="1"/>
  <c r="H5" i="8"/>
  <c r="H16" i="8" s="1"/>
  <c r="E5" i="8"/>
  <c r="I5" i="8" s="1"/>
  <c r="I16" i="8" l="1"/>
  <c r="E16" i="8"/>
  <c r="C9" i="5"/>
  <c r="C6" i="5" l="1"/>
  <c r="G17" i="3"/>
  <c r="F17" i="3" a="1"/>
  <c r="F17" i="3" s="1"/>
  <c r="G16" i="3"/>
  <c r="F16" i="3" a="1"/>
  <c r="F16" i="3" s="1"/>
  <c r="G15" i="3"/>
  <c r="F15" i="3" a="1"/>
  <c r="F15" i="3" s="1"/>
  <c r="F11" i="3"/>
  <c r="F10" i="3"/>
  <c r="F9" i="3"/>
  <c r="F8" i="3"/>
  <c r="F7" i="3"/>
  <c r="F6" i="3"/>
  <c r="F5" i="3"/>
  <c r="F4" i="3"/>
  <c r="F3" i="3"/>
  <c r="G7" i="3"/>
  <c r="G8" i="3"/>
  <c r="G9" i="3"/>
  <c r="G10" i="3"/>
  <c r="G11" i="3"/>
  <c r="G3" i="3"/>
  <c r="G6" i="3"/>
  <c r="G4" i="3"/>
  <c r="G5" i="3"/>
  <c r="I6" i="3" l="1"/>
  <c r="I10" i="3"/>
  <c r="I5" i="3"/>
  <c r="I9" i="3"/>
  <c r="I4" i="3"/>
  <c r="I8" i="3"/>
  <c r="I3" i="3"/>
  <c r="I7" i="3"/>
  <c r="I11" i="3"/>
</calcChain>
</file>

<file path=xl/connections.xml><?xml version="1.0" encoding="utf-8"?>
<connections xmlns="http://schemas.openxmlformats.org/spreadsheetml/2006/main">
  <connection id="1" name="MS Access Database_Query" type="1" refreshedVersion="4" background="1" saveData="1">
    <dbPr connection="DSN=MS Access Database;DBQ=C:\길벗컴활1급\01 엑셀\04 실전모의고사\정보검색.accdb;DefaultDir=C:\길벗컴활1급\01 엑셀\04 실전모의고사;DriverId=25;FIL=MS Access;MaxBufferSize=2048;PageTimeout=5;" command="SELECT 정보검색결과.이름, 정보검색결과.학과, 정보검색결과.`중간(30%)`, 정보검색결과.`기말(40%)`, 정보검색결과.`출석(10%)`, 정보검색결과.`과제(20%)`, 정보검색결과.`총점(100%)`_x000d__x000a_FROM `C:\길벗컴활1급\01 엑셀\04 실전모의고사\정보검색.accdb`.정보검색결과 정보검색결과_x000d__x000a_WHERE (정보검색결과.이름 Like '김%') AND (정보검색결과.`총점(100%)`&gt;=80)_x000d__x000a_ORDER BY 정보검색결과.`총점(100%)` DESC, 정보검색결과.이름"/>
  </connection>
  <connection id="2" name="MS Access Database_Query1" type="1" refreshedVersion="4">
    <dbPr connection="DSN=MS Access Database;DBQ=C:\길벗컴활1급(2010)\01 엑셀\04 실전모의고사\게임대여.accdb;DefaultDir=C:\길벗컴활1급(2010)\01 엑셀\04 실전모의고사;DriverId=25;FIL=MS Access;MaxBufferSize=2048;PageTimeout=5;" command="SELECT 게임목록.제품명, 게임목록.등급, 게임목록.단가, 게임주문현황.수량_x000d__x000a_FROM `C:\길벗컴활1급(2010)\01 엑셀\04 실전모의고사\게임대여.accdb`.게임목록 게임목록, `C:\길벗컴활1급(2010)\01 엑셀\04 실전모의고사\게임대여.accdb`.게임주문현황 게임주문현황_x000d__x000a_WHERE 게임목록.제품번호 = 게임주문현황.제품번호"/>
  </connection>
</connections>
</file>

<file path=xl/sharedStrings.xml><?xml version="1.0" encoding="utf-8"?>
<sst xmlns="http://schemas.openxmlformats.org/spreadsheetml/2006/main" count="451" uniqueCount="219">
  <si>
    <t>정보관리과 성적정보</t>
    <phoneticPr fontId="4" type="noConversion"/>
  </si>
  <si>
    <t>사번</t>
  </si>
  <si>
    <t>이름</t>
  </si>
  <si>
    <t>부서</t>
  </si>
  <si>
    <t>성별</t>
  </si>
  <si>
    <t>직위</t>
  </si>
  <si>
    <t>TOEIC</t>
  </si>
  <si>
    <t>입사일</t>
  </si>
  <si>
    <t>J0001</t>
  </si>
  <si>
    <t>홍길동</t>
  </si>
  <si>
    <t>총무부</t>
  </si>
  <si>
    <t>남</t>
  </si>
  <si>
    <t>과장</t>
  </si>
  <si>
    <t>J0003</t>
  </si>
  <si>
    <t>이도현</t>
  </si>
  <si>
    <t>영업부</t>
  </si>
  <si>
    <t>J0008</t>
  </si>
  <si>
    <t>한미우</t>
  </si>
  <si>
    <t>인사부</t>
  </si>
  <si>
    <t>대리</t>
  </si>
  <si>
    <t>J0009</t>
  </si>
  <si>
    <t>박정진</t>
  </si>
  <si>
    <t>J0010</t>
  </si>
  <si>
    <t>윤보라</t>
  </si>
  <si>
    <t>여</t>
  </si>
  <si>
    <t>J0011</t>
  </si>
  <si>
    <t>이형태</t>
  </si>
  <si>
    <t>P0001</t>
  </si>
  <si>
    <t>최재석</t>
  </si>
  <si>
    <t>P0002</t>
  </si>
  <si>
    <t>김한응</t>
  </si>
  <si>
    <t>P0009</t>
  </si>
  <si>
    <t>이미라</t>
  </si>
  <si>
    <t>사원</t>
  </si>
  <si>
    <t>P0010</t>
  </si>
  <si>
    <t>백준걸</t>
  </si>
  <si>
    <t>P0011</t>
  </si>
  <si>
    <t>고수정</t>
  </si>
  <si>
    <t>P0012</t>
  </si>
  <si>
    <t>유응구</t>
  </si>
  <si>
    <t>P0013</t>
  </si>
  <si>
    <t>안은민</t>
  </si>
  <si>
    <t>P0014</t>
  </si>
  <si>
    <t>이병열</t>
  </si>
  <si>
    <t>P0015</t>
  </si>
  <si>
    <t>이충희</t>
  </si>
  <si>
    <t>I0008</t>
  </si>
  <si>
    <t>도경민</t>
  </si>
  <si>
    <t>I0009</t>
  </si>
  <si>
    <t>황선철</t>
  </si>
  <si>
    <t>I0010</t>
  </si>
  <si>
    <t>방극준</t>
  </si>
  <si>
    <t>I0011</t>
  </si>
  <si>
    <t>김주희</t>
  </si>
  <si>
    <t>I0012</t>
  </si>
  <si>
    <t>인정제</t>
  </si>
  <si>
    <t>사번</t>
    <phoneticPr fontId="3" type="noConversion"/>
  </si>
  <si>
    <t>부서</t>
    <phoneticPr fontId="3" type="noConversion"/>
  </si>
  <si>
    <t>직위</t>
    <phoneticPr fontId="3" type="noConversion"/>
  </si>
  <si>
    <t>P*</t>
    <phoneticPr fontId="3" type="noConversion"/>
  </si>
  <si>
    <t>영업부</t>
    <phoneticPr fontId="3" type="noConversion"/>
  </si>
  <si>
    <t>총무부</t>
    <phoneticPr fontId="3" type="noConversion"/>
  </si>
  <si>
    <t>J*</t>
    <phoneticPr fontId="3" type="noConversion"/>
  </si>
  <si>
    <t>과장</t>
    <phoneticPr fontId="3" type="noConversion"/>
  </si>
  <si>
    <t>이름</t>
    <phoneticPr fontId="3" type="noConversion"/>
  </si>
  <si>
    <t>성별</t>
    <phoneticPr fontId="3" type="noConversion"/>
  </si>
  <si>
    <t>[표1]</t>
    <phoneticPr fontId="4" type="noConversion"/>
  </si>
  <si>
    <t>부서별 급여 지급 내역서</t>
    <phoneticPr fontId="4" type="noConversion"/>
  </si>
  <si>
    <t>기준날짜</t>
    <phoneticPr fontId="4" type="noConversion"/>
  </si>
  <si>
    <t>사원코드</t>
    <phoneticPr fontId="4" type="noConversion"/>
  </si>
  <si>
    <t>성명</t>
    <phoneticPr fontId="4" type="noConversion"/>
  </si>
  <si>
    <t>부서명</t>
    <phoneticPr fontId="4" type="noConversion"/>
  </si>
  <si>
    <t>직위</t>
    <phoneticPr fontId="4" type="noConversion"/>
  </si>
  <si>
    <t>입사일</t>
    <phoneticPr fontId="4" type="noConversion"/>
  </si>
  <si>
    <t>근무년수</t>
    <phoneticPr fontId="4" type="noConversion"/>
  </si>
  <si>
    <t>기본급</t>
    <phoneticPr fontId="4" type="noConversion"/>
  </si>
  <si>
    <t>상여금</t>
    <phoneticPr fontId="4" type="noConversion"/>
  </si>
  <si>
    <t>수당</t>
    <phoneticPr fontId="4" type="noConversion"/>
  </si>
  <si>
    <t>G1</t>
    <phoneticPr fontId="4" type="noConversion"/>
  </si>
  <si>
    <t>홍기남</t>
    <phoneticPr fontId="4" type="noConversion"/>
  </si>
  <si>
    <t>기획부</t>
    <phoneticPr fontId="4" type="noConversion"/>
  </si>
  <si>
    <t>부장</t>
  </si>
  <si>
    <t>C2</t>
    <phoneticPr fontId="4" type="noConversion"/>
  </si>
  <si>
    <t>이기자</t>
    <phoneticPr fontId="4" type="noConversion"/>
  </si>
  <si>
    <t>총무부</t>
    <phoneticPr fontId="4" type="noConversion"/>
  </si>
  <si>
    <t>G3</t>
    <phoneticPr fontId="4" type="noConversion"/>
  </si>
  <si>
    <t>차후서</t>
    <phoneticPr fontId="4" type="noConversion"/>
  </si>
  <si>
    <t>기획부</t>
    <phoneticPr fontId="4" type="noConversion"/>
  </si>
  <si>
    <t>Y1</t>
    <phoneticPr fontId="4" type="noConversion"/>
  </si>
  <si>
    <t>허인기</t>
    <phoneticPr fontId="4" type="noConversion"/>
  </si>
  <si>
    <t>영업부</t>
    <phoneticPr fontId="4" type="noConversion"/>
  </si>
  <si>
    <t>C3</t>
    <phoneticPr fontId="4" type="noConversion"/>
  </si>
  <si>
    <t>김인자</t>
    <phoneticPr fontId="4" type="noConversion"/>
  </si>
  <si>
    <t>Y3</t>
    <phoneticPr fontId="4" type="noConversion"/>
  </si>
  <si>
    <t>박혁제</t>
    <phoneticPr fontId="4" type="noConversion"/>
  </si>
  <si>
    <t>G2</t>
    <phoneticPr fontId="4" type="noConversion"/>
  </si>
  <si>
    <t>김순례</t>
    <phoneticPr fontId="4" type="noConversion"/>
  </si>
  <si>
    <t>Y2</t>
    <phoneticPr fontId="4" type="noConversion"/>
  </si>
  <si>
    <t>우인철</t>
    <phoneticPr fontId="4" type="noConversion"/>
  </si>
  <si>
    <t>C1</t>
    <phoneticPr fontId="4" type="noConversion"/>
  </si>
  <si>
    <t>유철민</t>
    <phoneticPr fontId="4" type="noConversion"/>
  </si>
  <si>
    <t>급여증가분</t>
    <phoneticPr fontId="4" type="noConversion"/>
  </si>
  <si>
    <t>[표2]</t>
    <phoneticPr fontId="4" type="noConversion"/>
  </si>
  <si>
    <t>부서명</t>
    <phoneticPr fontId="4" type="noConversion"/>
  </si>
  <si>
    <t>상여금 합계</t>
    <phoneticPr fontId="4" type="noConversion"/>
  </si>
  <si>
    <t>상여금 평균</t>
    <phoneticPr fontId="4" type="noConversion"/>
  </si>
  <si>
    <t>수당지급율표</t>
    <phoneticPr fontId="4" type="noConversion"/>
  </si>
  <si>
    <t>근무년수</t>
    <phoneticPr fontId="4" type="noConversion"/>
  </si>
  <si>
    <t>수당비율</t>
    <phoneticPr fontId="4" type="noConversion"/>
  </si>
  <si>
    <t>등급</t>
  </si>
  <si>
    <t>18세이상</t>
  </si>
  <si>
    <t>제품명</t>
  </si>
  <si>
    <t>평균 : 수량</t>
  </si>
  <si>
    <t>평균 : 단가</t>
  </si>
  <si>
    <t>라나지</t>
  </si>
  <si>
    <t>용의 전설</t>
  </si>
  <si>
    <t>포가튼 왕국2</t>
  </si>
  <si>
    <t>한국 협객전</t>
  </si>
  <si>
    <t>총합계</t>
  </si>
  <si>
    <t>반영비율에 따른 가중평균</t>
    <phoneticPr fontId="4" type="noConversion"/>
  </si>
  <si>
    <t>면접</t>
    <phoneticPr fontId="4" type="noConversion"/>
  </si>
  <si>
    <t>필기</t>
    <phoneticPr fontId="4" type="noConversion"/>
  </si>
  <si>
    <t>항목별 반영비율</t>
    <phoneticPr fontId="4" type="noConversion"/>
  </si>
  <si>
    <t>실기</t>
    <phoneticPr fontId="4" type="noConversion"/>
  </si>
  <si>
    <t>기준</t>
    <phoneticPr fontId="4" type="noConversion"/>
  </si>
  <si>
    <t>가중평균</t>
    <phoneticPr fontId="4" type="noConversion"/>
  </si>
  <si>
    <t>비율</t>
    <phoneticPr fontId="4" type="noConversion"/>
  </si>
  <si>
    <t>면
접</t>
    <phoneticPr fontId="4" type="noConversion"/>
  </si>
  <si>
    <t>사원별 판매 현황</t>
    <phoneticPr fontId="4" type="noConversion"/>
  </si>
  <si>
    <t>성명</t>
    <phoneticPr fontId="4" type="noConversion"/>
  </si>
  <si>
    <t>영업소</t>
    <phoneticPr fontId="4" type="noConversion"/>
  </si>
  <si>
    <t>상반기 판매</t>
    <phoneticPr fontId="4" type="noConversion"/>
  </si>
  <si>
    <t>하반기 판매</t>
    <phoneticPr fontId="4" type="noConversion"/>
  </si>
  <si>
    <t>박성호</t>
    <phoneticPr fontId="4" type="noConversion"/>
  </si>
  <si>
    <t>경기</t>
    <phoneticPr fontId="4" type="noConversion"/>
  </si>
  <si>
    <t>김현승</t>
    <phoneticPr fontId="4" type="noConversion"/>
  </si>
  <si>
    <t>대구</t>
    <phoneticPr fontId="4" type="noConversion"/>
  </si>
  <si>
    <t>손정호</t>
    <phoneticPr fontId="4" type="noConversion"/>
  </si>
  <si>
    <t>인천</t>
    <phoneticPr fontId="4" type="noConversion"/>
  </si>
  <si>
    <t>강만식</t>
    <phoneticPr fontId="4" type="noConversion"/>
  </si>
  <si>
    <t>부산</t>
    <phoneticPr fontId="4" type="noConversion"/>
  </si>
  <si>
    <t>최기정</t>
    <phoneticPr fontId="4" type="noConversion"/>
  </si>
  <si>
    <t>하경희</t>
    <phoneticPr fontId="4" type="noConversion"/>
  </si>
  <si>
    <t>임정희</t>
    <phoneticPr fontId="4" type="noConversion"/>
  </si>
  <si>
    <t>안진국</t>
    <phoneticPr fontId="4" type="noConversion"/>
  </si>
  <si>
    <t>중간고사 성적표</t>
    <phoneticPr fontId="4" type="noConversion"/>
  </si>
  <si>
    <t>반</t>
    <phoneticPr fontId="4" type="noConversion"/>
  </si>
  <si>
    <t>이름</t>
    <phoneticPr fontId="4" type="noConversion"/>
  </si>
  <si>
    <t>1차</t>
    <phoneticPr fontId="4" type="noConversion"/>
  </si>
  <si>
    <t>2차</t>
    <phoneticPr fontId="4" type="noConversion"/>
  </si>
  <si>
    <t>반자료</t>
    <phoneticPr fontId="4" type="noConversion"/>
  </si>
  <si>
    <t>3-1반</t>
  </si>
  <si>
    <t>김일반</t>
  </si>
  <si>
    <t>3-1반</t>
    <phoneticPr fontId="4" type="noConversion"/>
  </si>
  <si>
    <t>3-2반</t>
  </si>
  <si>
    <t>이이반</t>
  </si>
  <si>
    <t>3-2반</t>
    <phoneticPr fontId="4" type="noConversion"/>
  </si>
  <si>
    <t>3-3반</t>
  </si>
  <si>
    <t>박삼반</t>
  </si>
  <si>
    <t>3-3반</t>
    <phoneticPr fontId="4" type="noConversion"/>
  </si>
  <si>
    <t>3-4반</t>
    <phoneticPr fontId="4" type="noConversion"/>
  </si>
  <si>
    <t>3-5반</t>
    <phoneticPr fontId="4" type="noConversion"/>
  </si>
  <si>
    <t>3-6반</t>
    <phoneticPr fontId="4" type="noConversion"/>
  </si>
  <si>
    <t>학과</t>
  </si>
  <si>
    <t>중간(30%)</t>
  </si>
  <si>
    <t>기말(40%)</t>
  </si>
  <si>
    <t>출석(10%)</t>
  </si>
  <si>
    <t>과제(20%)</t>
  </si>
  <si>
    <t>총점(100%)</t>
  </si>
  <si>
    <t>김재규</t>
  </si>
  <si>
    <t>컴퓨터공학과</t>
  </si>
  <si>
    <t>김종서</t>
  </si>
  <si>
    <t>김종택</t>
  </si>
  <si>
    <t>전자상거래과</t>
  </si>
  <si>
    <t>김민정</t>
  </si>
  <si>
    <t>경영전략과</t>
  </si>
  <si>
    <t>김구완</t>
  </si>
  <si>
    <t>김인순</t>
  </si>
  <si>
    <t>김영정</t>
  </si>
  <si>
    <t>김덕진</t>
  </si>
  <si>
    <t>eBusiness과</t>
  </si>
  <si>
    <t>단가</t>
  </si>
  <si>
    <t>수량</t>
  </si>
  <si>
    <t>만년</t>
  </si>
  <si>
    <t>14세이상</t>
  </si>
  <si>
    <t>어둠의 이야기</t>
  </si>
  <si>
    <t>17세이상</t>
  </si>
  <si>
    <t>블루문</t>
  </si>
  <si>
    <t>12세이상</t>
  </si>
  <si>
    <t>메딘</t>
  </si>
  <si>
    <t>무</t>
  </si>
  <si>
    <t>15세이상</t>
  </si>
  <si>
    <t>폭풍의 나라</t>
  </si>
  <si>
    <t>16세이상</t>
  </si>
  <si>
    <t>길벗고등학교</t>
    <phoneticPr fontId="3" type="noConversion"/>
  </si>
  <si>
    <t>상공전자 제품 판매 현황</t>
    <phoneticPr fontId="3" type="noConversion"/>
  </si>
  <si>
    <t>제품명</t>
    <phoneticPr fontId="3" type="noConversion"/>
  </si>
  <si>
    <t>단가</t>
    <phoneticPr fontId="3" type="noConversion"/>
  </si>
  <si>
    <t>회원</t>
    <phoneticPr fontId="3" type="noConversion"/>
  </si>
  <si>
    <t>비회원</t>
    <phoneticPr fontId="3" type="noConversion"/>
  </si>
  <si>
    <t>판매총액</t>
    <phoneticPr fontId="3" type="noConversion"/>
  </si>
  <si>
    <t>판매수량</t>
    <phoneticPr fontId="3" type="noConversion"/>
  </si>
  <si>
    <t>반품수량</t>
    <phoneticPr fontId="3" type="noConversion"/>
  </si>
  <si>
    <t>판매금액</t>
    <phoneticPr fontId="3" type="noConversion"/>
  </si>
  <si>
    <t>냉장고</t>
    <phoneticPr fontId="3" type="noConversion"/>
  </si>
  <si>
    <t>김치냉장고</t>
    <phoneticPr fontId="3" type="noConversion"/>
  </si>
  <si>
    <t>세탁기</t>
    <phoneticPr fontId="3" type="noConversion"/>
  </si>
  <si>
    <t>식기세척기</t>
    <phoneticPr fontId="3" type="noConversion"/>
  </si>
  <si>
    <t>전자레인지</t>
    <phoneticPr fontId="3" type="noConversion"/>
  </si>
  <si>
    <t>홈시어터</t>
    <phoneticPr fontId="3" type="noConversion"/>
  </si>
  <si>
    <t>TV</t>
    <phoneticPr fontId="3" type="noConversion"/>
  </si>
  <si>
    <t>에어컨</t>
    <phoneticPr fontId="3" type="noConversion"/>
  </si>
  <si>
    <t>공기청정기</t>
    <phoneticPr fontId="3" type="noConversion"/>
  </si>
  <si>
    <t>노트북</t>
    <phoneticPr fontId="3" type="noConversion"/>
  </si>
  <si>
    <t>컴퓨터</t>
    <phoneticPr fontId="3" type="noConversion"/>
  </si>
  <si>
    <t>합계</t>
    <phoneticPr fontId="3" type="noConversion"/>
  </si>
  <si>
    <t>구분별 할인율</t>
    <phoneticPr fontId="3" type="noConversion"/>
  </si>
  <si>
    <t>구분</t>
    <phoneticPr fontId="3" type="noConversion"/>
  </si>
  <si>
    <t>할인율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</si>
</sst>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yy&quot;-&quot;mm&quot;-&quot;dd"/>
  </numFmts>
  <fonts count="15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3"/>
      <name val="맑은 고딕"/>
      <family val="3"/>
      <charset val="129"/>
      <scheme val="major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22"/>
      </left>
      <right/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8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</borders>
  <cellStyleXfs count="6">
    <xf numFmtId="0" fontId="0" fillId="0" borderId="0">
      <alignment vertical="center"/>
    </xf>
    <xf numFmtId="0" fontId="1" fillId="0" borderId="0"/>
    <xf numFmtId="0" fontId="5" fillId="0" borderId="0"/>
    <xf numFmtId="41" fontId="1" fillId="0" borderId="0" applyFont="0" applyFill="0" applyBorder="0" applyAlignment="0" applyProtection="0"/>
    <xf numFmtId="0" fontId="10" fillId="0" borderId="0"/>
    <xf numFmtId="41" fontId="13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2" fillId="0" borderId="0" xfId="1" applyFont="1"/>
    <xf numFmtId="0" fontId="6" fillId="2" borderId="1" xfId="2" applyFont="1" applyFill="1" applyBorder="1" applyAlignment="1">
      <alignment horizontal="center"/>
    </xf>
    <xf numFmtId="0" fontId="6" fillId="0" borderId="2" xfId="2" applyFont="1" applyFill="1" applyBorder="1" applyAlignment="1">
      <alignment horizontal="center" wrapText="1"/>
    </xf>
    <xf numFmtId="14" fontId="2" fillId="0" borderId="0" xfId="1" applyNumberFormat="1" applyFont="1"/>
    <xf numFmtId="0" fontId="2" fillId="0" borderId="3" xfId="1" applyFont="1" applyBorder="1" applyAlignment="1">
      <alignment horizontal="center"/>
    </xf>
    <xf numFmtId="0" fontId="2" fillId="3" borderId="3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176" fontId="2" fillId="0" borderId="3" xfId="1" applyNumberFormat="1" applyFont="1" applyBorder="1" applyAlignment="1">
      <alignment horizontal="right"/>
    </xf>
    <xf numFmtId="0" fontId="2" fillId="0" borderId="3" xfId="1" applyNumberFormat="1" applyFont="1" applyBorder="1"/>
    <xf numFmtId="41" fontId="7" fillId="0" borderId="3" xfId="3" applyFont="1" applyBorder="1"/>
    <xf numFmtId="0" fontId="2" fillId="0" borderId="3" xfId="1" applyFont="1" applyBorder="1"/>
    <xf numFmtId="0" fontId="2" fillId="0" borderId="0" xfId="1" applyFont="1" applyAlignment="1">
      <alignment horizontal="center"/>
    </xf>
    <xf numFmtId="0" fontId="2" fillId="0" borderId="3" xfId="1" applyFont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0" fontId="0" fillId="0" borderId="0" xfId="0" applyNumberFormat="1">
      <alignment vertical="center"/>
    </xf>
    <xf numFmtId="9" fontId="2" fillId="0" borderId="3" xfId="1" applyNumberFormat="1" applyFont="1" applyBorder="1"/>
    <xf numFmtId="0" fontId="9" fillId="0" borderId="0" xfId="1" applyFont="1"/>
    <xf numFmtId="0" fontId="12" fillId="0" borderId="2" xfId="4" applyNumberFormat="1" applyFont="1" applyBorder="1" applyAlignment="1">
      <alignment horizontal="right" wrapText="1"/>
    </xf>
    <xf numFmtId="0" fontId="11" fillId="5" borderId="6" xfId="4" applyNumberFormat="1" applyFont="1" applyFill="1" applyBorder="1" applyAlignment="1">
      <alignment horizontal="center"/>
    </xf>
    <xf numFmtId="0" fontId="11" fillId="5" borderId="7" xfId="4" applyNumberFormat="1" applyFont="1" applyFill="1" applyBorder="1" applyAlignment="1">
      <alignment horizontal="center"/>
    </xf>
    <xf numFmtId="0" fontId="12" fillId="4" borderId="8" xfId="4" applyNumberFormat="1" applyFont="1" applyFill="1" applyBorder="1" applyAlignment="1">
      <alignment wrapText="1"/>
    </xf>
    <xf numFmtId="0" fontId="12" fillId="4" borderId="8" xfId="4" applyNumberFormat="1" applyFont="1" applyFill="1" applyBorder="1" applyAlignment="1">
      <alignment horizontal="right" wrapText="1"/>
    </xf>
    <xf numFmtId="0" fontId="12" fillId="4" borderId="9" xfId="4" applyNumberFormat="1" applyFont="1" applyFill="1" applyBorder="1" applyAlignment="1">
      <alignment horizontal="right" wrapText="1"/>
    </xf>
    <xf numFmtId="0" fontId="12" fillId="0" borderId="10" xfId="4" applyNumberFormat="1" applyFont="1" applyBorder="1" applyAlignment="1">
      <alignment wrapText="1"/>
    </xf>
    <xf numFmtId="0" fontId="12" fillId="0" borderId="10" xfId="4" applyNumberFormat="1" applyFont="1" applyBorder="1" applyAlignment="1">
      <alignment horizontal="right" wrapText="1"/>
    </xf>
    <xf numFmtId="0" fontId="12" fillId="0" borderId="5" xfId="4" applyNumberFormat="1" applyFont="1" applyBorder="1" applyAlignment="1">
      <alignment horizontal="right" wrapText="1"/>
    </xf>
    <xf numFmtId="0" fontId="12" fillId="4" borderId="10" xfId="4" applyNumberFormat="1" applyFont="1" applyFill="1" applyBorder="1" applyAlignment="1">
      <alignment wrapText="1"/>
    </xf>
    <xf numFmtId="0" fontId="12" fillId="4" borderId="10" xfId="4" applyNumberFormat="1" applyFont="1" applyFill="1" applyBorder="1" applyAlignment="1">
      <alignment horizontal="right" wrapText="1"/>
    </xf>
    <xf numFmtId="0" fontId="12" fillId="4" borderId="5" xfId="4" applyNumberFormat="1" applyFont="1" applyFill="1" applyBorder="1" applyAlignment="1">
      <alignment horizontal="right" wrapText="1"/>
    </xf>
    <xf numFmtId="0" fontId="12" fillId="0" borderId="11" xfId="4" applyNumberFormat="1" applyFont="1" applyBorder="1" applyAlignment="1">
      <alignment wrapText="1"/>
    </xf>
    <xf numFmtId="0" fontId="12" fillId="0" borderId="11" xfId="4" applyNumberFormat="1" applyFont="1" applyBorder="1" applyAlignment="1">
      <alignment horizontal="right" wrapText="1"/>
    </xf>
    <xf numFmtId="0" fontId="0" fillId="0" borderId="0" xfId="0" pivotButton="1">
      <alignment vertical="center"/>
    </xf>
    <xf numFmtId="0" fontId="0" fillId="0" borderId="0" xfId="0" pivotButton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3" xfId="5" applyFont="1" applyBorder="1">
      <alignment vertical="center"/>
    </xf>
    <xf numFmtId="9" fontId="0" fillId="0" borderId="3" xfId="0" applyNumberFormat="1" applyBorder="1" applyAlignment="1">
      <alignment horizontal="center" vertical="center"/>
    </xf>
    <xf numFmtId="14" fontId="6" fillId="0" borderId="2" xfId="2" applyNumberFormat="1" applyFont="1" applyFill="1" applyBorder="1" applyAlignment="1">
      <alignment horizontal="right" wrapText="1"/>
    </xf>
    <xf numFmtId="0" fontId="0" fillId="0" borderId="3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8" fillId="0" borderId="0" xfId="1" applyFont="1" applyAlignment="1">
      <alignment horizontal="center"/>
    </xf>
    <xf numFmtId="0" fontId="2" fillId="0" borderId="4" xfId="1" applyFont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2" fillId="0" borderId="3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/>
    </xf>
    <xf numFmtId="0" fontId="2" fillId="0" borderId="0" xfId="1" applyFont="1" applyAlignment="1">
      <alignment horizontal="center"/>
    </xf>
  </cellXfs>
  <cellStyles count="6">
    <cellStyle name="쉼표 [0]" xfId="5" builtinId="6"/>
    <cellStyle name="쉼표 [0] 2" xfId="3"/>
    <cellStyle name="표준" xfId="0" builtinId="0"/>
    <cellStyle name="표준 2" xfId="1"/>
    <cellStyle name="표준_분석작업-1" xfId="4"/>
    <cellStyle name="표준_해외연수-2" xfId="2"/>
  </cellStyles>
  <dxfs count="2"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사원별 상반기 판매현황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상반기 판매</c:v>
                </c:pt>
              </c:strCache>
            </c:strRef>
          </c:tx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('기타작업-1'!$A$6,'기타작업-1'!$A$8,'기타작업-1'!$A$10:$A$11)</c:f>
              <c:strCache>
                <c:ptCount val="4"/>
                <c:pt idx="0">
                  <c:v>손정호</c:v>
                </c:pt>
                <c:pt idx="1">
                  <c:v>최기정</c:v>
                </c:pt>
                <c:pt idx="2">
                  <c:v>임정희</c:v>
                </c:pt>
                <c:pt idx="3">
                  <c:v>안진국</c:v>
                </c:pt>
              </c:strCache>
            </c:strRef>
          </c:cat>
          <c:val>
            <c:numRef>
              <c:f>('기타작업-1'!$C$6,'기타작업-1'!$C$8,'기타작업-1'!$C$10:$C$11)</c:f>
              <c:numCache>
                <c:formatCode>General</c:formatCode>
                <c:ptCount val="4"/>
                <c:pt idx="0">
                  <c:v>120</c:v>
                </c:pt>
                <c:pt idx="1">
                  <c:v>120</c:v>
                </c:pt>
                <c:pt idx="2">
                  <c:v>160</c:v>
                </c:pt>
                <c:pt idx="3">
                  <c:v>245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  <c:holeSize val="40"/>
      </c:doughnutChart>
    </c:plotArea>
    <c:legend>
      <c:legendPos val="b"/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900">
              <a:latin typeface="굴림체" panose="020B0609000101010101" pitchFamily="49" charset="-127"/>
              <a:ea typeface="굴림체" panose="020B0609000101010101" pitchFamily="49" charset="-127"/>
            </a:defRPr>
          </a:pPr>
          <a:endParaRPr lang="ko-KR"/>
        </a:p>
      </c:txPr>
    </c:legend>
    <c:plotVisOnly val="1"/>
    <c:dispBlanksAs val="zero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7</xdr:col>
      <xdr:colOff>0</xdr:colOff>
      <xdr:row>2</xdr:row>
      <xdr:rowOff>0</xdr:rowOff>
    </xdr:to>
    <xdr:sp macro="[0]!가중평균" textlink="">
      <xdr:nvSpPr>
        <xdr:cNvPr id="2" name="타원 1"/>
        <xdr:cNvSpPr/>
      </xdr:nvSpPr>
      <xdr:spPr>
        <a:xfrm>
          <a:off x="2790825" y="0"/>
          <a:ext cx="2057400" cy="419100"/>
        </a:xfrm>
        <a:prstGeom prst="ellips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가중평균계산하기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838200</xdr:colOff>
      <xdr:row>0</xdr:row>
      <xdr:rowOff>0</xdr:rowOff>
    </xdr:to>
    <xdr:sp macro="[0]!합계" textlink="">
      <xdr:nvSpPr>
        <xdr:cNvPr id="2" name="AutoShape 1"/>
        <xdr:cNvSpPr>
          <a:spLocks noChangeArrowheads="1"/>
        </xdr:cNvSpPr>
      </xdr:nvSpPr>
      <xdr:spPr bwMode="auto">
        <a:xfrm>
          <a:off x="2419350" y="0"/>
          <a:ext cx="838200" cy="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합계</a:t>
          </a:r>
        </a:p>
      </xdr:txBody>
    </xdr:sp>
    <xdr:clientData/>
  </xdr:twoCellAnchor>
  <xdr:twoCellAnchor>
    <xdr:from>
      <xdr:col>4</xdr:col>
      <xdr:colOff>9525</xdr:colOff>
      <xdr:row>0</xdr:row>
      <xdr:rowOff>0</xdr:rowOff>
    </xdr:from>
    <xdr:to>
      <xdr:col>4</xdr:col>
      <xdr:colOff>762000</xdr:colOff>
      <xdr:row>0</xdr:row>
      <xdr:rowOff>0</xdr:rowOff>
    </xdr:to>
    <xdr:sp macro="[0]!정렬" textlink="">
      <xdr:nvSpPr>
        <xdr:cNvPr id="3" name="AutoShape 2"/>
        <xdr:cNvSpPr>
          <a:spLocks noChangeArrowheads="1"/>
        </xdr:cNvSpPr>
      </xdr:nvSpPr>
      <xdr:spPr bwMode="auto">
        <a:xfrm>
          <a:off x="3276600" y="0"/>
          <a:ext cx="752475" cy="0"/>
        </a:xfrm>
        <a:prstGeom prst="octagon">
          <a:avLst>
            <a:gd name="adj" fmla="val 2928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정렬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6</xdr:col>
      <xdr:colOff>0</xdr:colOff>
      <xdr:row>28</xdr:row>
      <xdr:rowOff>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</xdr:row>
          <xdr:rowOff>0</xdr:rowOff>
        </xdr:from>
        <xdr:to>
          <xdr:col>5</xdr:col>
          <xdr:colOff>571500</xdr:colOff>
          <xdr:row>8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7.73819895833" createdVersion="4" refreshedVersion="4" minRefreshableVersion="3" recordCount="60">
  <cacheSource type="worksheet">
    <worksheetSource ref="A1:D61" sheet="분석작업-1"/>
  </cacheSource>
  <cacheFields count="4">
    <cacheField name="제품명" numFmtId="0">
      <sharedItems count="10">
        <s v="만년"/>
        <s v="어둠의 이야기"/>
        <s v="블루문"/>
        <s v="용의 전설"/>
        <s v="라나지"/>
        <s v="포가튼 왕국2"/>
        <s v="메딘"/>
        <s v="무"/>
        <s v="폭풍의 나라"/>
        <s v="한국 협객전"/>
      </sharedItems>
    </cacheField>
    <cacheField name="등급" numFmtId="0">
      <sharedItems count="6">
        <s v="14세이상"/>
        <s v="17세이상"/>
        <s v="12세이상"/>
        <s v="18세이상"/>
        <s v="15세이상"/>
        <s v="16세이상"/>
      </sharedItems>
    </cacheField>
    <cacheField name="단가" numFmtId="0">
      <sharedItems containsSemiMixedTypes="0" containsString="0" containsNumber="1" containsInteger="1" minValue="10000" maxValue="30000"/>
    </cacheField>
    <cacheField name="수량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">
  <r>
    <x v="0"/>
    <x v="0"/>
    <n v="17000"/>
    <n v="5"/>
  </r>
  <r>
    <x v="0"/>
    <x v="0"/>
    <n v="17000"/>
    <n v="9"/>
  </r>
  <r>
    <x v="0"/>
    <x v="0"/>
    <n v="17000"/>
    <n v="9"/>
  </r>
  <r>
    <x v="0"/>
    <x v="0"/>
    <n v="17000"/>
    <n v="4"/>
  </r>
  <r>
    <x v="0"/>
    <x v="0"/>
    <n v="17000"/>
    <n v="7"/>
  </r>
  <r>
    <x v="0"/>
    <x v="0"/>
    <n v="17000"/>
    <n v="10"/>
  </r>
  <r>
    <x v="1"/>
    <x v="1"/>
    <n v="30000"/>
    <n v="5"/>
  </r>
  <r>
    <x v="1"/>
    <x v="1"/>
    <n v="30000"/>
    <n v="5"/>
  </r>
  <r>
    <x v="1"/>
    <x v="1"/>
    <n v="30000"/>
    <n v="9"/>
  </r>
  <r>
    <x v="1"/>
    <x v="1"/>
    <n v="30000"/>
    <n v="5"/>
  </r>
  <r>
    <x v="2"/>
    <x v="2"/>
    <n v="20000"/>
    <n v="4"/>
  </r>
  <r>
    <x v="2"/>
    <x v="2"/>
    <n v="20000"/>
    <n v="9"/>
  </r>
  <r>
    <x v="2"/>
    <x v="2"/>
    <n v="20000"/>
    <n v="2"/>
  </r>
  <r>
    <x v="2"/>
    <x v="2"/>
    <n v="20000"/>
    <n v="6"/>
  </r>
  <r>
    <x v="2"/>
    <x v="2"/>
    <n v="20000"/>
    <n v="1"/>
  </r>
  <r>
    <x v="2"/>
    <x v="2"/>
    <n v="20000"/>
    <n v="2"/>
  </r>
  <r>
    <x v="3"/>
    <x v="3"/>
    <n v="18000"/>
    <n v="9"/>
  </r>
  <r>
    <x v="3"/>
    <x v="3"/>
    <n v="18000"/>
    <n v="2"/>
  </r>
  <r>
    <x v="3"/>
    <x v="3"/>
    <n v="18000"/>
    <n v="5"/>
  </r>
  <r>
    <x v="3"/>
    <x v="3"/>
    <n v="18000"/>
    <n v="5"/>
  </r>
  <r>
    <x v="3"/>
    <x v="3"/>
    <n v="18000"/>
    <n v="4"/>
  </r>
  <r>
    <x v="3"/>
    <x v="3"/>
    <n v="18000"/>
    <n v="2"/>
  </r>
  <r>
    <x v="3"/>
    <x v="3"/>
    <n v="18000"/>
    <n v="3"/>
  </r>
  <r>
    <x v="3"/>
    <x v="3"/>
    <n v="18000"/>
    <n v="2"/>
  </r>
  <r>
    <x v="4"/>
    <x v="3"/>
    <n v="20000"/>
    <n v="10"/>
  </r>
  <r>
    <x v="4"/>
    <x v="3"/>
    <n v="20000"/>
    <n v="1"/>
  </r>
  <r>
    <x v="4"/>
    <x v="3"/>
    <n v="20000"/>
    <n v="1"/>
  </r>
  <r>
    <x v="4"/>
    <x v="3"/>
    <n v="20000"/>
    <n v="7"/>
  </r>
  <r>
    <x v="4"/>
    <x v="3"/>
    <n v="20000"/>
    <n v="7"/>
  </r>
  <r>
    <x v="4"/>
    <x v="3"/>
    <n v="20000"/>
    <n v="6"/>
  </r>
  <r>
    <x v="4"/>
    <x v="3"/>
    <n v="20000"/>
    <n v="2"/>
  </r>
  <r>
    <x v="4"/>
    <x v="3"/>
    <n v="20000"/>
    <n v="10"/>
  </r>
  <r>
    <x v="4"/>
    <x v="3"/>
    <n v="20000"/>
    <n v="1"/>
  </r>
  <r>
    <x v="4"/>
    <x v="3"/>
    <n v="20000"/>
    <n v="10"/>
  </r>
  <r>
    <x v="5"/>
    <x v="3"/>
    <n v="15000"/>
    <n v="4"/>
  </r>
  <r>
    <x v="5"/>
    <x v="3"/>
    <n v="15000"/>
    <n v="4"/>
  </r>
  <r>
    <x v="5"/>
    <x v="3"/>
    <n v="15000"/>
    <n v="6"/>
  </r>
  <r>
    <x v="5"/>
    <x v="3"/>
    <n v="15000"/>
    <n v="1"/>
  </r>
  <r>
    <x v="5"/>
    <x v="3"/>
    <n v="15000"/>
    <n v="8"/>
  </r>
  <r>
    <x v="5"/>
    <x v="3"/>
    <n v="15000"/>
    <n v="7"/>
  </r>
  <r>
    <x v="5"/>
    <x v="3"/>
    <n v="15000"/>
    <n v="4"/>
  </r>
  <r>
    <x v="6"/>
    <x v="0"/>
    <n v="10000"/>
    <n v="2"/>
  </r>
  <r>
    <x v="6"/>
    <x v="0"/>
    <n v="10000"/>
    <n v="3"/>
  </r>
  <r>
    <x v="6"/>
    <x v="0"/>
    <n v="10000"/>
    <n v="10"/>
  </r>
  <r>
    <x v="6"/>
    <x v="0"/>
    <n v="10000"/>
    <n v="9"/>
  </r>
  <r>
    <x v="6"/>
    <x v="0"/>
    <n v="10000"/>
    <n v="4"/>
  </r>
  <r>
    <x v="6"/>
    <x v="0"/>
    <n v="10000"/>
    <n v="9"/>
  </r>
  <r>
    <x v="6"/>
    <x v="0"/>
    <n v="10000"/>
    <n v="5"/>
  </r>
  <r>
    <x v="6"/>
    <x v="0"/>
    <n v="10000"/>
    <n v="3"/>
  </r>
  <r>
    <x v="7"/>
    <x v="4"/>
    <n v="15000"/>
    <n v="5"/>
  </r>
  <r>
    <x v="7"/>
    <x v="4"/>
    <n v="15000"/>
    <n v="7"/>
  </r>
  <r>
    <x v="8"/>
    <x v="5"/>
    <n v="13000"/>
    <n v="10"/>
  </r>
  <r>
    <x v="8"/>
    <x v="5"/>
    <n v="13000"/>
    <n v="3"/>
  </r>
  <r>
    <x v="8"/>
    <x v="5"/>
    <n v="13000"/>
    <n v="10"/>
  </r>
  <r>
    <x v="8"/>
    <x v="5"/>
    <n v="13000"/>
    <n v="7"/>
  </r>
  <r>
    <x v="8"/>
    <x v="5"/>
    <n v="13000"/>
    <n v="3"/>
  </r>
  <r>
    <x v="8"/>
    <x v="5"/>
    <n v="13000"/>
    <n v="5"/>
  </r>
  <r>
    <x v="8"/>
    <x v="5"/>
    <n v="13000"/>
    <n v="5"/>
  </r>
  <r>
    <x v="9"/>
    <x v="3"/>
    <n v="18000"/>
    <n v="8"/>
  </r>
  <r>
    <x v="9"/>
    <x v="3"/>
    <n v="180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7" applyNumberFormats="0" applyBorderFormats="0" applyFontFormats="0" applyPatternFormats="0" applyAlignmentFormats="0" applyWidthHeightFormats="1" dataCaption="값" updatedVersion="4" minRefreshableVersion="3" useAutoFormatting="1" itemPrintTitles="1" mergeItem="1" createdVersion="4" indent="0" outline="1" outlineData="1" multipleFieldFilters="0" rowHeaderCaption="제품명">
  <location ref="F3:H8" firstHeaderRow="0" firstDataRow="1" firstDataCol="1" rowPageCount="1" colPageCount="1"/>
  <pivotFields count="4">
    <pivotField axis="axisRow" showAll="0">
      <items count="11">
        <item x="7"/>
        <item x="4"/>
        <item x="0"/>
        <item x="6"/>
        <item x="2"/>
        <item x="1"/>
        <item x="3"/>
        <item x="5"/>
        <item x="8"/>
        <item x="9"/>
        <item t="default"/>
      </items>
    </pivotField>
    <pivotField axis="axisPage" showAll="0">
      <items count="7">
        <item x="2"/>
        <item x="0"/>
        <item x="4"/>
        <item x="5"/>
        <item x="1"/>
        <item x="3"/>
        <item t="default"/>
      </items>
    </pivotField>
    <pivotField dataField="1" showAll="0"/>
    <pivotField dataField="1" showAll="0"/>
  </pivotFields>
  <rowFields count="1">
    <field x="0"/>
  </rowFields>
  <rowItems count="5">
    <i>
      <x v="1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5" hier="-1"/>
  </pageFields>
  <dataFields count="2">
    <dataField name="평균 : 수량" fld="3" subtotal="average" showDataAs="percentOfCol" baseField="0" baseItem="0" numFmtId="10"/>
    <dataField name="평균 : 단가" fld="2" subtotal="average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0" applyPatternFormats="0" applyAlignmentFormats="0" applyWidthHeightFormats="0">
  <queryTableRefresh nextId="8">
    <queryTableFields count="7">
      <queryTableField id="1" name="이름" tableColumnId="1"/>
      <queryTableField id="2" name="학과" tableColumnId="2"/>
      <queryTableField id="3" name="중간(30%)" tableColumnId="3"/>
      <queryTableField id="4" name="기말(40%)" tableColumnId="4"/>
      <queryTableField id="5" name="출석(10%)" tableColumnId="5"/>
      <queryTableField id="6" name="과제(20%)" tableColumnId="6"/>
      <queryTableField id="7" name="총점(100%)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표_MS_Access_Database_Query" displayName="표_MS_Access_Database_Query" ref="A3:G11" tableType="queryTable" totalsRowShown="0">
  <autoFilter ref="A3:G11"/>
  <tableColumns count="7">
    <tableColumn id="1" uniqueName="1" name="이름" queryTableFieldId="1"/>
    <tableColumn id="2" uniqueName="2" name="학과" queryTableFieldId="2"/>
    <tableColumn id="3" uniqueName="3" name="중간(30%)" queryTableFieldId="3"/>
    <tableColumn id="4" uniqueName="4" name="기말(40%)" queryTableFieldId="4"/>
    <tableColumn id="5" uniqueName="5" name="출석(10%)" queryTableFieldId="5"/>
    <tableColumn id="6" uniqueName="6" name="과제(20%)" queryTableFieldId="6"/>
    <tableColumn id="7" uniqueName="7" name="총점(100%)" queryTableField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1"/>
  <sheetViews>
    <sheetView tabSelected="1" workbookViewId="0">
      <selection activeCell="D33" sqref="D33"/>
    </sheetView>
  </sheetViews>
  <sheetFormatPr defaultRowHeight="16.5"/>
  <cols>
    <col min="1" max="1" width="7.5" customWidth="1"/>
    <col min="2" max="2" width="13" customWidth="1"/>
    <col min="3" max="6" width="12.625" customWidth="1"/>
    <col min="7" max="7" width="13.875" customWidth="1"/>
  </cols>
  <sheetData>
    <row r="1" spans="1:7">
      <c r="A1" s="1" t="s">
        <v>0</v>
      </c>
    </row>
    <row r="3" spans="1:7">
      <c r="A3" t="s">
        <v>2</v>
      </c>
      <c r="B3" t="s">
        <v>163</v>
      </c>
      <c r="C3" t="s">
        <v>164</v>
      </c>
      <c r="D3" t="s">
        <v>165</v>
      </c>
      <c r="E3" t="s">
        <v>166</v>
      </c>
      <c r="F3" t="s">
        <v>167</v>
      </c>
      <c r="G3" t="s">
        <v>168</v>
      </c>
    </row>
    <row r="4" spans="1:7">
      <c r="A4" t="s">
        <v>169</v>
      </c>
      <c r="B4" t="s">
        <v>170</v>
      </c>
      <c r="C4">
        <v>29</v>
      </c>
      <c r="D4">
        <v>35</v>
      </c>
      <c r="E4">
        <v>10</v>
      </c>
      <c r="F4">
        <v>20</v>
      </c>
      <c r="G4">
        <v>94</v>
      </c>
    </row>
    <row r="5" spans="1:7">
      <c r="A5" t="s">
        <v>171</v>
      </c>
      <c r="B5" t="s">
        <v>170</v>
      </c>
      <c r="C5">
        <v>29</v>
      </c>
      <c r="D5">
        <v>33</v>
      </c>
      <c r="E5">
        <v>9</v>
      </c>
      <c r="F5">
        <v>20</v>
      </c>
      <c r="G5">
        <v>91</v>
      </c>
    </row>
    <row r="6" spans="1:7">
      <c r="A6" t="s">
        <v>172</v>
      </c>
      <c r="B6" t="s">
        <v>173</v>
      </c>
      <c r="C6">
        <v>27</v>
      </c>
      <c r="D6">
        <v>34</v>
      </c>
      <c r="E6">
        <v>10</v>
      </c>
      <c r="F6">
        <v>18</v>
      </c>
      <c r="G6">
        <v>89</v>
      </c>
    </row>
    <row r="7" spans="1:7">
      <c r="A7" t="s">
        <v>174</v>
      </c>
      <c r="B7" t="s">
        <v>175</v>
      </c>
      <c r="C7">
        <v>30</v>
      </c>
      <c r="D7">
        <v>32</v>
      </c>
      <c r="E7">
        <v>8</v>
      </c>
      <c r="F7">
        <v>16</v>
      </c>
      <c r="G7">
        <v>86</v>
      </c>
    </row>
    <row r="8" spans="1:7">
      <c r="A8" t="s">
        <v>176</v>
      </c>
      <c r="B8" t="s">
        <v>170</v>
      </c>
      <c r="C8">
        <v>29</v>
      </c>
      <c r="D8">
        <v>33</v>
      </c>
      <c r="E8">
        <v>6</v>
      </c>
      <c r="F8">
        <v>15</v>
      </c>
      <c r="G8">
        <v>83</v>
      </c>
    </row>
    <row r="9" spans="1:7">
      <c r="A9" t="s">
        <v>177</v>
      </c>
      <c r="B9" t="s">
        <v>175</v>
      </c>
      <c r="C9">
        <v>30</v>
      </c>
      <c r="D9">
        <v>27</v>
      </c>
      <c r="E9">
        <v>8</v>
      </c>
      <c r="F9">
        <v>18</v>
      </c>
      <c r="G9">
        <v>83</v>
      </c>
    </row>
    <row r="10" spans="1:7">
      <c r="A10" t="s">
        <v>178</v>
      </c>
      <c r="B10" t="s">
        <v>170</v>
      </c>
      <c r="C10">
        <v>29</v>
      </c>
      <c r="D10">
        <v>30</v>
      </c>
      <c r="E10">
        <v>7</v>
      </c>
      <c r="F10">
        <v>16</v>
      </c>
      <c r="G10">
        <v>82</v>
      </c>
    </row>
    <row r="11" spans="1:7">
      <c r="A11" t="s">
        <v>179</v>
      </c>
      <c r="B11" t="s">
        <v>180</v>
      </c>
      <c r="C11">
        <v>29</v>
      </c>
      <c r="D11">
        <v>26</v>
      </c>
      <c r="E11">
        <v>7</v>
      </c>
      <c r="F11">
        <v>19</v>
      </c>
      <c r="G11">
        <v>81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H38"/>
  <sheetViews>
    <sheetView workbookViewId="0">
      <selection activeCell="I16" sqref="I16"/>
    </sheetView>
  </sheetViews>
  <sheetFormatPr defaultRowHeight="16.5"/>
  <cols>
    <col min="1" max="1" width="3" style="1" customWidth="1"/>
    <col min="2" max="7" width="11" style="1" customWidth="1"/>
    <col min="8" max="8" width="13.25" style="1" customWidth="1"/>
    <col min="9" max="16384" width="9" style="1"/>
  </cols>
  <sheetData>
    <row r="2" spans="2:8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</row>
    <row r="3" spans="2:8"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>
        <v>920</v>
      </c>
      <c r="H3" s="38">
        <v>42065</v>
      </c>
    </row>
    <row r="4" spans="2:8">
      <c r="B4" s="3" t="s">
        <v>13</v>
      </c>
      <c r="C4" s="3" t="s">
        <v>14</v>
      </c>
      <c r="D4" s="3" t="s">
        <v>15</v>
      </c>
      <c r="E4" s="3" t="s">
        <v>11</v>
      </c>
      <c r="F4" s="3" t="s">
        <v>12</v>
      </c>
      <c r="G4" s="3">
        <v>900</v>
      </c>
      <c r="H4" s="38">
        <v>42065</v>
      </c>
    </row>
    <row r="5" spans="2:8">
      <c r="B5" s="3" t="s">
        <v>16</v>
      </c>
      <c r="C5" s="3" t="s">
        <v>17</v>
      </c>
      <c r="D5" s="3" t="s">
        <v>18</v>
      </c>
      <c r="E5" s="3" t="s">
        <v>11</v>
      </c>
      <c r="F5" s="3" t="s">
        <v>19</v>
      </c>
      <c r="G5" s="3">
        <v>850</v>
      </c>
      <c r="H5" s="38">
        <v>42156</v>
      </c>
    </row>
    <row r="6" spans="2:8">
      <c r="B6" s="3" t="s">
        <v>20</v>
      </c>
      <c r="C6" s="3" t="s">
        <v>21</v>
      </c>
      <c r="D6" s="3" t="s">
        <v>15</v>
      </c>
      <c r="E6" s="3" t="s">
        <v>11</v>
      </c>
      <c r="F6" s="3" t="s">
        <v>19</v>
      </c>
      <c r="G6" s="3">
        <v>840</v>
      </c>
      <c r="H6" s="38">
        <v>42156</v>
      </c>
    </row>
    <row r="7" spans="2:8">
      <c r="B7" s="3" t="s">
        <v>22</v>
      </c>
      <c r="C7" s="3" t="s">
        <v>23</v>
      </c>
      <c r="D7" s="3" t="s">
        <v>10</v>
      </c>
      <c r="E7" s="3" t="s">
        <v>24</v>
      </c>
      <c r="F7" s="3" t="s">
        <v>19</v>
      </c>
      <c r="G7" s="3">
        <v>830</v>
      </c>
      <c r="H7" s="38">
        <v>42156</v>
      </c>
    </row>
    <row r="8" spans="2:8">
      <c r="B8" s="3" t="s">
        <v>25</v>
      </c>
      <c r="C8" s="3" t="s">
        <v>26</v>
      </c>
      <c r="D8" s="3" t="s">
        <v>18</v>
      </c>
      <c r="E8" s="3" t="s">
        <v>11</v>
      </c>
      <c r="F8" s="3" t="s">
        <v>19</v>
      </c>
      <c r="G8" s="3">
        <v>820</v>
      </c>
      <c r="H8" s="38">
        <v>42431</v>
      </c>
    </row>
    <row r="9" spans="2:8">
      <c r="B9" s="3" t="s">
        <v>27</v>
      </c>
      <c r="C9" s="3" t="s">
        <v>28</v>
      </c>
      <c r="D9" s="3" t="s">
        <v>18</v>
      </c>
      <c r="E9" s="3" t="s">
        <v>11</v>
      </c>
      <c r="F9" s="3" t="s">
        <v>12</v>
      </c>
      <c r="G9" s="3">
        <v>770</v>
      </c>
      <c r="H9" s="38">
        <v>42431</v>
      </c>
    </row>
    <row r="10" spans="2:8">
      <c r="B10" s="3" t="s">
        <v>29</v>
      </c>
      <c r="C10" s="3" t="s">
        <v>30</v>
      </c>
      <c r="D10" s="3" t="s">
        <v>15</v>
      </c>
      <c r="E10" s="3" t="s">
        <v>11</v>
      </c>
      <c r="F10" s="3" t="s">
        <v>12</v>
      </c>
      <c r="G10" s="3">
        <v>760</v>
      </c>
      <c r="H10" s="38">
        <v>42431</v>
      </c>
    </row>
    <row r="11" spans="2:8">
      <c r="B11" s="3" t="s">
        <v>31</v>
      </c>
      <c r="C11" s="3" t="s">
        <v>32</v>
      </c>
      <c r="D11" s="3" t="s">
        <v>15</v>
      </c>
      <c r="E11" s="3" t="s">
        <v>24</v>
      </c>
      <c r="F11" s="3" t="s">
        <v>33</v>
      </c>
      <c r="G11" s="3">
        <v>900</v>
      </c>
      <c r="H11" s="38">
        <v>42522</v>
      </c>
    </row>
    <row r="12" spans="2:8">
      <c r="B12" s="3" t="s">
        <v>34</v>
      </c>
      <c r="C12" s="3" t="s">
        <v>35</v>
      </c>
      <c r="D12" s="3" t="s">
        <v>10</v>
      </c>
      <c r="E12" s="3" t="s">
        <v>11</v>
      </c>
      <c r="F12" s="3" t="s">
        <v>33</v>
      </c>
      <c r="G12" s="3">
        <v>580</v>
      </c>
      <c r="H12" s="38">
        <v>42856</v>
      </c>
    </row>
    <row r="13" spans="2:8">
      <c r="B13" s="3" t="s">
        <v>36</v>
      </c>
      <c r="C13" s="3" t="s">
        <v>37</v>
      </c>
      <c r="D13" s="3" t="s">
        <v>18</v>
      </c>
      <c r="E13" s="3" t="s">
        <v>24</v>
      </c>
      <c r="F13" s="3" t="s">
        <v>33</v>
      </c>
      <c r="G13" s="3">
        <v>560</v>
      </c>
      <c r="H13" s="38">
        <v>42917</v>
      </c>
    </row>
    <row r="14" spans="2:8">
      <c r="B14" s="3" t="s">
        <v>38</v>
      </c>
      <c r="C14" s="3" t="s">
        <v>39</v>
      </c>
      <c r="D14" s="3" t="s">
        <v>15</v>
      </c>
      <c r="E14" s="3" t="s">
        <v>24</v>
      </c>
      <c r="F14" s="3" t="s">
        <v>33</v>
      </c>
      <c r="G14" s="3">
        <v>540</v>
      </c>
      <c r="H14" s="38">
        <v>42948</v>
      </c>
    </row>
    <row r="15" spans="2:8">
      <c r="B15" s="3" t="s">
        <v>40</v>
      </c>
      <c r="C15" s="3" t="s">
        <v>41</v>
      </c>
      <c r="D15" s="3" t="s">
        <v>10</v>
      </c>
      <c r="E15" s="3" t="s">
        <v>24</v>
      </c>
      <c r="F15" s="3" t="s">
        <v>33</v>
      </c>
      <c r="G15" s="3">
        <v>520</v>
      </c>
      <c r="H15" s="38">
        <v>42948</v>
      </c>
    </row>
    <row r="16" spans="2:8">
      <c r="B16" s="3" t="s">
        <v>42</v>
      </c>
      <c r="C16" s="3" t="s">
        <v>43</v>
      </c>
      <c r="D16" s="3" t="s">
        <v>18</v>
      </c>
      <c r="E16" s="3" t="s">
        <v>11</v>
      </c>
      <c r="F16" s="3" t="s">
        <v>33</v>
      </c>
      <c r="G16" s="3">
        <v>500</v>
      </c>
      <c r="H16" s="38">
        <v>42979</v>
      </c>
    </row>
    <row r="17" spans="2:8">
      <c r="B17" s="3" t="s">
        <v>44</v>
      </c>
      <c r="C17" s="3" t="s">
        <v>45</v>
      </c>
      <c r="D17" s="3" t="s">
        <v>15</v>
      </c>
      <c r="E17" s="3" t="s">
        <v>11</v>
      </c>
      <c r="F17" s="3" t="s">
        <v>33</v>
      </c>
      <c r="G17" s="3">
        <v>480</v>
      </c>
      <c r="H17" s="38">
        <v>42979</v>
      </c>
    </row>
    <row r="18" spans="2:8">
      <c r="B18" s="3" t="s">
        <v>46</v>
      </c>
      <c r="C18" s="3" t="s">
        <v>47</v>
      </c>
      <c r="D18" s="3" t="s">
        <v>15</v>
      </c>
      <c r="E18" s="3" t="s">
        <v>11</v>
      </c>
      <c r="F18" s="3" t="s">
        <v>19</v>
      </c>
      <c r="G18" s="3">
        <v>970</v>
      </c>
      <c r="H18" s="38">
        <v>43161</v>
      </c>
    </row>
    <row r="19" spans="2:8">
      <c r="B19" s="3" t="s">
        <v>48</v>
      </c>
      <c r="C19" s="3" t="s">
        <v>49</v>
      </c>
      <c r="D19" s="3" t="s">
        <v>10</v>
      </c>
      <c r="E19" s="3" t="s">
        <v>11</v>
      </c>
      <c r="F19" s="3" t="s">
        <v>19</v>
      </c>
      <c r="G19" s="3">
        <v>920</v>
      </c>
      <c r="H19" s="38">
        <v>43191</v>
      </c>
    </row>
    <row r="20" spans="2:8">
      <c r="B20" s="3" t="s">
        <v>50</v>
      </c>
      <c r="C20" s="3" t="s">
        <v>51</v>
      </c>
      <c r="D20" s="3" t="s">
        <v>18</v>
      </c>
      <c r="E20" s="3" t="s">
        <v>11</v>
      </c>
      <c r="F20" s="3" t="s">
        <v>19</v>
      </c>
      <c r="G20" s="3">
        <v>910</v>
      </c>
      <c r="H20" s="38">
        <v>43191</v>
      </c>
    </row>
    <row r="21" spans="2:8">
      <c r="B21" s="3" t="s">
        <v>52</v>
      </c>
      <c r="C21" s="3" t="s">
        <v>53</v>
      </c>
      <c r="D21" s="3" t="s">
        <v>15</v>
      </c>
      <c r="E21" s="3" t="s">
        <v>24</v>
      </c>
      <c r="F21" s="3" t="s">
        <v>19</v>
      </c>
      <c r="G21" s="3">
        <v>900</v>
      </c>
      <c r="H21" s="38">
        <v>43709</v>
      </c>
    </row>
    <row r="22" spans="2:8">
      <c r="B22" s="3" t="s">
        <v>54</v>
      </c>
      <c r="C22" s="3" t="s">
        <v>55</v>
      </c>
      <c r="D22" s="3" t="s">
        <v>10</v>
      </c>
      <c r="E22" s="3" t="s">
        <v>11</v>
      </c>
      <c r="F22" s="3" t="s">
        <v>19</v>
      </c>
      <c r="G22" s="3">
        <v>890</v>
      </c>
      <c r="H22" s="38">
        <v>42614</v>
      </c>
    </row>
    <row r="24" spans="2:8">
      <c r="B24" s="1" t="s">
        <v>56</v>
      </c>
      <c r="C24" s="1" t="s">
        <v>57</v>
      </c>
      <c r="D24" s="1" t="s">
        <v>58</v>
      </c>
    </row>
    <row r="25" spans="2:8">
      <c r="B25" s="1" t="s">
        <v>59</v>
      </c>
      <c r="C25" s="1" t="s">
        <v>60</v>
      </c>
    </row>
    <row r="26" spans="2:8">
      <c r="B26" s="1" t="s">
        <v>59</v>
      </c>
      <c r="C26" s="1" t="s">
        <v>61</v>
      </c>
    </row>
    <row r="27" spans="2:8">
      <c r="B27" s="1" t="s">
        <v>62</v>
      </c>
      <c r="D27" s="1" t="s">
        <v>63</v>
      </c>
    </row>
    <row r="30" spans="2:8">
      <c r="B30" s="1" t="s">
        <v>64</v>
      </c>
      <c r="C30" s="1" t="s">
        <v>57</v>
      </c>
      <c r="D30" s="1" t="s">
        <v>65</v>
      </c>
      <c r="E30" s="1" t="s">
        <v>58</v>
      </c>
    </row>
    <row r="31" spans="2:8">
      <c r="B31" s="3" t="s">
        <v>9</v>
      </c>
      <c r="C31" s="3" t="s">
        <v>10</v>
      </c>
      <c r="D31" s="3" t="s">
        <v>11</v>
      </c>
      <c r="E31" s="3" t="s">
        <v>12</v>
      </c>
    </row>
    <row r="32" spans="2:8">
      <c r="B32" s="3" t="s">
        <v>14</v>
      </c>
      <c r="C32" s="3" t="s">
        <v>15</v>
      </c>
      <c r="D32" s="3" t="s">
        <v>11</v>
      </c>
      <c r="E32" s="3" t="s">
        <v>12</v>
      </c>
    </row>
    <row r="33" spans="2:5">
      <c r="B33" s="3" t="s">
        <v>30</v>
      </c>
      <c r="C33" s="3" t="s">
        <v>15</v>
      </c>
      <c r="D33" s="3" t="s">
        <v>11</v>
      </c>
      <c r="E33" s="3" t="s">
        <v>12</v>
      </c>
    </row>
    <row r="34" spans="2:5">
      <c r="B34" s="3" t="s">
        <v>32</v>
      </c>
      <c r="C34" s="3" t="s">
        <v>15</v>
      </c>
      <c r="D34" s="3" t="s">
        <v>24</v>
      </c>
      <c r="E34" s="3" t="s">
        <v>33</v>
      </c>
    </row>
    <row r="35" spans="2:5">
      <c r="B35" s="3" t="s">
        <v>35</v>
      </c>
      <c r="C35" s="3" t="s">
        <v>10</v>
      </c>
      <c r="D35" s="3" t="s">
        <v>11</v>
      </c>
      <c r="E35" s="3" t="s">
        <v>33</v>
      </c>
    </row>
    <row r="36" spans="2:5">
      <c r="B36" s="3" t="s">
        <v>39</v>
      </c>
      <c r="C36" s="3" t="s">
        <v>15</v>
      </c>
      <c r="D36" s="3" t="s">
        <v>24</v>
      </c>
      <c r="E36" s="3" t="s">
        <v>33</v>
      </c>
    </row>
    <row r="37" spans="2:5">
      <c r="B37" s="3" t="s">
        <v>41</v>
      </c>
      <c r="C37" s="3" t="s">
        <v>10</v>
      </c>
      <c r="D37" s="3" t="s">
        <v>24</v>
      </c>
      <c r="E37" s="3" t="s">
        <v>33</v>
      </c>
    </row>
    <row r="38" spans="2:5">
      <c r="B38" s="3" t="s">
        <v>45</v>
      </c>
      <c r="C38" s="3" t="s">
        <v>15</v>
      </c>
      <c r="D38" s="3" t="s">
        <v>11</v>
      </c>
      <c r="E38" s="3" t="s">
        <v>33</v>
      </c>
    </row>
  </sheetData>
  <phoneticPr fontId="3" type="noConversion"/>
  <conditionalFormatting sqref="B3:H22">
    <cfRule type="expression" dxfId="1" priority="1">
      <formula>AND(ISEVEN(MONTH($H3)),$H3&gt;=DATE(2016,1,1))</formula>
    </cfRule>
  </conditionalFormatting>
  <pageMargins left="0.74803149606299213" right="0.74803149606299213" top="0.98425196850393704" bottom="0.98425196850393704" header="0.51181102362204722" footer="0.51181102362204722"/>
  <pageSetup paperSize="9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I20"/>
  <sheetViews>
    <sheetView workbookViewId="0">
      <selection activeCell="D11" sqref="D11"/>
    </sheetView>
  </sheetViews>
  <sheetFormatPr defaultRowHeight="16.5"/>
  <cols>
    <col min="1" max="1" width="11" bestFit="1" customWidth="1"/>
    <col min="2" max="2" width="10.875" bestFit="1" customWidth="1"/>
    <col min="5" max="5" width="14.625" bestFit="1" customWidth="1"/>
    <col min="8" max="9" width="14.625" bestFit="1" customWidth="1"/>
  </cols>
  <sheetData>
    <row r="1" spans="1:9" ht="20.25">
      <c r="A1" s="40" t="s">
        <v>195</v>
      </c>
      <c r="B1" s="40"/>
      <c r="C1" s="40"/>
      <c r="D1" s="40"/>
      <c r="E1" s="40"/>
      <c r="F1" s="40"/>
      <c r="G1" s="40"/>
      <c r="H1" s="40"/>
      <c r="I1" s="40"/>
    </row>
    <row r="3" spans="1:9">
      <c r="A3" s="39" t="s">
        <v>196</v>
      </c>
      <c r="B3" s="39" t="s">
        <v>197</v>
      </c>
      <c r="C3" s="39" t="s">
        <v>198</v>
      </c>
      <c r="D3" s="39"/>
      <c r="E3" s="39"/>
      <c r="F3" s="39" t="s">
        <v>199</v>
      </c>
      <c r="G3" s="39"/>
      <c r="H3" s="39"/>
      <c r="I3" s="39" t="s">
        <v>200</v>
      </c>
    </row>
    <row r="4" spans="1:9">
      <c r="A4" s="39"/>
      <c r="B4" s="39"/>
      <c r="C4" s="35" t="s">
        <v>201</v>
      </c>
      <c r="D4" s="35" t="s">
        <v>202</v>
      </c>
      <c r="E4" s="35" t="s">
        <v>203</v>
      </c>
      <c r="F4" s="35" t="s">
        <v>201</v>
      </c>
      <c r="G4" s="35" t="s">
        <v>202</v>
      </c>
      <c r="H4" s="35" t="s">
        <v>203</v>
      </c>
      <c r="I4" s="39"/>
    </row>
    <row r="5" spans="1:9">
      <c r="A5" s="35" t="s">
        <v>204</v>
      </c>
      <c r="B5" s="36">
        <v>3000000</v>
      </c>
      <c r="C5" s="36">
        <v>125</v>
      </c>
      <c r="D5" s="36">
        <v>5</v>
      </c>
      <c r="E5" s="36">
        <f>ROUND(B5*(C5-D5)-B5*(C5-D5)*$B$20,-4)</f>
        <v>306000000</v>
      </c>
      <c r="F5" s="36">
        <v>103</v>
      </c>
      <c r="G5" s="36">
        <v>4</v>
      </c>
      <c r="H5" s="36">
        <f>ROUND(B5*(F5-G5)-B5*(F5-G5)*$C$20,-4)</f>
        <v>267300000</v>
      </c>
      <c r="I5" s="36">
        <f>E5+H5</f>
        <v>573300000</v>
      </c>
    </row>
    <row r="6" spans="1:9">
      <c r="A6" s="35" t="s">
        <v>205</v>
      </c>
      <c r="B6" s="36">
        <v>1800000</v>
      </c>
      <c r="C6" s="36">
        <v>95</v>
      </c>
      <c r="D6" s="36">
        <v>4</v>
      </c>
      <c r="E6" s="36">
        <f t="shared" ref="E6:E15" si="0">ROUND(B6*(C6-D6)-B6*(C6-D6)*$B$20,-4)</f>
        <v>139230000</v>
      </c>
      <c r="F6" s="36">
        <v>75</v>
      </c>
      <c r="G6" s="36">
        <v>5</v>
      </c>
      <c r="H6" s="36">
        <f t="shared" ref="H6:H15" si="1">ROUND(B6*(F6-G6)-B6*(F6-G6)*$C$20,-4)</f>
        <v>113400000</v>
      </c>
      <c r="I6" s="36">
        <f t="shared" ref="I6:I15" si="2">E6+H6</f>
        <v>252630000</v>
      </c>
    </row>
    <row r="7" spans="1:9">
      <c r="A7" s="35" t="s">
        <v>206</v>
      </c>
      <c r="B7" s="36">
        <v>950000</v>
      </c>
      <c r="C7" s="36">
        <v>132</v>
      </c>
      <c r="D7" s="36">
        <v>9</v>
      </c>
      <c r="E7" s="36">
        <f t="shared" si="0"/>
        <v>99320000</v>
      </c>
      <c r="F7" s="36">
        <v>112</v>
      </c>
      <c r="G7" s="36">
        <v>3</v>
      </c>
      <c r="H7" s="36">
        <f t="shared" si="1"/>
        <v>93200000</v>
      </c>
      <c r="I7" s="36">
        <f t="shared" si="2"/>
        <v>192520000</v>
      </c>
    </row>
    <row r="8" spans="1:9">
      <c r="A8" s="35" t="s">
        <v>207</v>
      </c>
      <c r="B8" s="36">
        <v>680000</v>
      </c>
      <c r="C8" s="36">
        <v>75</v>
      </c>
      <c r="D8" s="36">
        <v>2</v>
      </c>
      <c r="E8" s="36">
        <f t="shared" si="0"/>
        <v>42190000</v>
      </c>
      <c r="F8" s="36">
        <v>34</v>
      </c>
      <c r="G8" s="36">
        <v>2</v>
      </c>
      <c r="H8" s="36">
        <f t="shared" si="1"/>
        <v>19580000</v>
      </c>
      <c r="I8" s="36">
        <f t="shared" si="2"/>
        <v>61770000</v>
      </c>
    </row>
    <row r="9" spans="1:9">
      <c r="A9" s="35" t="s">
        <v>208</v>
      </c>
      <c r="B9" s="36">
        <v>260000</v>
      </c>
      <c r="C9" s="36">
        <v>245</v>
      </c>
      <c r="D9" s="36">
        <v>8</v>
      </c>
      <c r="E9" s="36">
        <f t="shared" si="0"/>
        <v>52380000</v>
      </c>
      <c r="F9" s="36">
        <v>152</v>
      </c>
      <c r="G9" s="36">
        <v>8</v>
      </c>
      <c r="H9" s="36">
        <f t="shared" si="1"/>
        <v>33700000</v>
      </c>
      <c r="I9" s="36">
        <f t="shared" si="2"/>
        <v>86080000</v>
      </c>
    </row>
    <row r="10" spans="1:9">
      <c r="A10" s="35" t="s">
        <v>209</v>
      </c>
      <c r="B10" s="36">
        <v>680000</v>
      </c>
      <c r="C10" s="36">
        <v>49</v>
      </c>
      <c r="D10" s="36">
        <v>6</v>
      </c>
      <c r="E10" s="36">
        <f t="shared" si="0"/>
        <v>24850000</v>
      </c>
      <c r="F10" s="36">
        <v>39</v>
      </c>
      <c r="G10" s="36">
        <v>7</v>
      </c>
      <c r="H10" s="36">
        <f t="shared" si="1"/>
        <v>19580000</v>
      </c>
      <c r="I10" s="36">
        <f t="shared" si="2"/>
        <v>44430000</v>
      </c>
    </row>
    <row r="11" spans="1:9">
      <c r="A11" s="35" t="s">
        <v>210</v>
      </c>
      <c r="B11" s="36">
        <v>2500000</v>
      </c>
      <c r="C11" s="36">
        <v>168</v>
      </c>
      <c r="D11" s="36">
        <v>4</v>
      </c>
      <c r="E11" s="36">
        <f t="shared" si="0"/>
        <v>348500000</v>
      </c>
      <c r="F11" s="36">
        <v>132</v>
      </c>
      <c r="G11" s="36">
        <v>6</v>
      </c>
      <c r="H11" s="36">
        <f t="shared" si="1"/>
        <v>283500000</v>
      </c>
      <c r="I11" s="36">
        <f t="shared" si="2"/>
        <v>632000000</v>
      </c>
    </row>
    <row r="12" spans="1:9">
      <c r="A12" s="35" t="s">
        <v>211</v>
      </c>
      <c r="B12" s="36">
        <v>2200000</v>
      </c>
      <c r="C12" s="36">
        <v>111</v>
      </c>
      <c r="D12" s="36">
        <v>4</v>
      </c>
      <c r="E12" s="36">
        <f t="shared" si="0"/>
        <v>200090000</v>
      </c>
      <c r="F12" s="36">
        <v>67</v>
      </c>
      <c r="G12" s="36">
        <v>2</v>
      </c>
      <c r="H12" s="36">
        <f t="shared" si="1"/>
        <v>128700000</v>
      </c>
      <c r="I12" s="36">
        <f t="shared" si="2"/>
        <v>328790000</v>
      </c>
    </row>
    <row r="13" spans="1:9">
      <c r="A13" s="35" t="s">
        <v>212</v>
      </c>
      <c r="B13" s="36">
        <v>1200000</v>
      </c>
      <c r="C13" s="36">
        <v>59</v>
      </c>
      <c r="D13" s="36">
        <v>8</v>
      </c>
      <c r="E13" s="36">
        <f t="shared" si="0"/>
        <v>52020000</v>
      </c>
      <c r="F13" s="36">
        <v>32</v>
      </c>
      <c r="G13" s="36">
        <v>6</v>
      </c>
      <c r="H13" s="36">
        <f t="shared" si="1"/>
        <v>28080000</v>
      </c>
      <c r="I13" s="36">
        <f t="shared" si="2"/>
        <v>80100000</v>
      </c>
    </row>
    <row r="14" spans="1:9">
      <c r="A14" s="35" t="s">
        <v>213</v>
      </c>
      <c r="B14" s="36">
        <v>990000</v>
      </c>
      <c r="C14" s="36">
        <v>241</v>
      </c>
      <c r="D14" s="36">
        <v>3</v>
      </c>
      <c r="E14" s="36">
        <f t="shared" si="0"/>
        <v>200280000</v>
      </c>
      <c r="F14" s="36">
        <v>186</v>
      </c>
      <c r="G14" s="36">
        <v>5</v>
      </c>
      <c r="H14" s="36">
        <f t="shared" si="1"/>
        <v>161270000</v>
      </c>
      <c r="I14" s="36">
        <f t="shared" si="2"/>
        <v>361550000</v>
      </c>
    </row>
    <row r="15" spans="1:9">
      <c r="A15" s="35" t="s">
        <v>214</v>
      </c>
      <c r="B15" s="36">
        <v>800000</v>
      </c>
      <c r="C15" s="36">
        <v>229</v>
      </c>
      <c r="D15" s="36">
        <v>7</v>
      </c>
      <c r="E15" s="36">
        <f t="shared" si="0"/>
        <v>150960000</v>
      </c>
      <c r="F15" s="36">
        <v>137</v>
      </c>
      <c r="G15" s="36">
        <v>3</v>
      </c>
      <c r="H15" s="36">
        <f t="shared" si="1"/>
        <v>96480000</v>
      </c>
      <c r="I15" s="36">
        <f t="shared" si="2"/>
        <v>247440000</v>
      </c>
    </row>
    <row r="16" spans="1:9">
      <c r="A16" s="39" t="s">
        <v>215</v>
      </c>
      <c r="B16" s="39"/>
      <c r="C16" s="36">
        <f>SUM(C5:C15)</f>
        <v>1529</v>
      </c>
      <c r="D16" s="36">
        <f t="shared" ref="D16:I16" si="3">SUM(D5:D15)</f>
        <v>60</v>
      </c>
      <c r="E16" s="36">
        <f t="shared" si="3"/>
        <v>1615820000</v>
      </c>
      <c r="F16" s="36">
        <f t="shared" si="3"/>
        <v>1069</v>
      </c>
      <c r="G16" s="36">
        <f t="shared" si="3"/>
        <v>51</v>
      </c>
      <c r="H16" s="36">
        <f t="shared" si="3"/>
        <v>1244790000</v>
      </c>
      <c r="I16" s="36">
        <f t="shared" si="3"/>
        <v>2860610000</v>
      </c>
    </row>
    <row r="18" spans="1:3">
      <c r="A18" s="39" t="s">
        <v>216</v>
      </c>
      <c r="B18" s="39"/>
      <c r="C18" s="39"/>
    </row>
    <row r="19" spans="1:3">
      <c r="A19" s="35" t="s">
        <v>217</v>
      </c>
      <c r="B19" s="35" t="s">
        <v>198</v>
      </c>
      <c r="C19" s="35" t="s">
        <v>199</v>
      </c>
    </row>
    <row r="20" spans="1:3">
      <c r="A20" s="35" t="s">
        <v>218</v>
      </c>
      <c r="B20" s="37">
        <v>0.15</v>
      </c>
      <c r="C20" s="37">
        <v>0.1</v>
      </c>
    </row>
  </sheetData>
  <mergeCells count="8">
    <mergeCell ref="A16:B16"/>
    <mergeCell ref="A18:C18"/>
    <mergeCell ref="A1:I1"/>
    <mergeCell ref="A3:A4"/>
    <mergeCell ref="B3:B4"/>
    <mergeCell ref="C3:E3"/>
    <mergeCell ref="F3:H3"/>
    <mergeCell ref="I3:I4"/>
  </mergeCells>
  <phoneticPr fontId="3" type="noConversion"/>
  <printOptions headings="1"/>
  <pageMargins left="0.70866141732283472" right="0.70866141732283472" top="0.74803149606299213" bottom="0.74803149606299213" header="0.31496062992125984" footer="0.31496062992125984"/>
  <pageSetup paperSize="9" scale="76" orientation="portrait" verticalDpi="0" r:id="rId1"/>
  <headerFooter>
    <oddFooter>&amp;L작성일 :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0"/>
  <sheetViews>
    <sheetView workbookViewId="0">
      <selection activeCell="K17" sqref="K17"/>
    </sheetView>
  </sheetViews>
  <sheetFormatPr defaultRowHeight="16.5"/>
  <cols>
    <col min="1" max="1" width="10.375" style="1" customWidth="1"/>
    <col min="2" max="2" width="9.125" style="1" customWidth="1"/>
    <col min="3" max="3" width="9" style="1" customWidth="1"/>
    <col min="4" max="4" width="6.25" style="1" customWidth="1"/>
    <col min="5" max="5" width="10.5" style="1" customWidth="1"/>
    <col min="6" max="6" width="11.75" style="1" bestFit="1" customWidth="1"/>
    <col min="7" max="7" width="13.75" style="1" bestFit="1" customWidth="1"/>
    <col min="8" max="8" width="12.875" style="1" customWidth="1"/>
    <col min="9" max="9" width="12.875" style="1" bestFit="1" customWidth="1"/>
    <col min="10" max="10" width="9" style="1"/>
    <col min="11" max="11" width="11.125" style="1" bestFit="1" customWidth="1"/>
    <col min="12" max="16384" width="9" style="1"/>
  </cols>
  <sheetData>
    <row r="1" spans="1:11">
      <c r="A1" s="1" t="s">
        <v>66</v>
      </c>
      <c r="B1" s="1" t="s">
        <v>67</v>
      </c>
      <c r="H1" s="1" t="s">
        <v>68</v>
      </c>
      <c r="I1" s="4">
        <v>42569</v>
      </c>
    </row>
    <row r="2" spans="1:11">
      <c r="A2" s="5" t="s">
        <v>69</v>
      </c>
      <c r="B2" s="5" t="s">
        <v>70</v>
      </c>
      <c r="C2" s="5" t="s">
        <v>71</v>
      </c>
      <c r="D2" s="6" t="s">
        <v>72</v>
      </c>
      <c r="E2" s="5" t="s">
        <v>73</v>
      </c>
      <c r="F2" s="7" t="s">
        <v>74</v>
      </c>
      <c r="G2" s="7" t="s">
        <v>75</v>
      </c>
      <c r="H2" s="6" t="s">
        <v>76</v>
      </c>
      <c r="I2" s="7" t="s">
        <v>77</v>
      </c>
    </row>
    <row r="3" spans="1:11">
      <c r="A3" s="5" t="s">
        <v>78</v>
      </c>
      <c r="B3" s="5" t="s">
        <v>79</v>
      </c>
      <c r="C3" s="5" t="s">
        <v>80</v>
      </c>
      <c r="D3" s="5" t="s">
        <v>81</v>
      </c>
      <c r="E3" s="8">
        <v>38122</v>
      </c>
      <c r="F3" s="9">
        <f>INT(DAYS360(E3,$I$1)/360)</f>
        <v>12</v>
      </c>
      <c r="G3" s="10">
        <f>kb기본급(E3,F3,$B$13)</f>
        <v>1600000</v>
      </c>
      <c r="H3" s="10">
        <v>640000</v>
      </c>
      <c r="I3" s="10">
        <f>G3*(VLOOKUP(F3,$A$17:$B$20,2)+IF(OR(F3&gt;=10,D3="과장"),5%,0))</f>
        <v>208000</v>
      </c>
      <c r="K3" s="4"/>
    </row>
    <row r="4" spans="1:11">
      <c r="A4" s="5" t="s">
        <v>82</v>
      </c>
      <c r="B4" s="5" t="s">
        <v>83</v>
      </c>
      <c r="C4" s="5" t="s">
        <v>84</v>
      </c>
      <c r="D4" s="5" t="s">
        <v>12</v>
      </c>
      <c r="E4" s="8">
        <v>40339</v>
      </c>
      <c r="F4" s="9">
        <f t="shared" ref="F4:F11" si="0">INT(DAYS360(E4,$I$1)/360)</f>
        <v>6</v>
      </c>
      <c r="G4" s="10">
        <f t="shared" ref="G4:G11" si="1">kb기본급(E4,F4,$B$13)</f>
        <v>1100000</v>
      </c>
      <c r="H4" s="10">
        <v>375000</v>
      </c>
      <c r="I4" s="10">
        <f t="shared" ref="I4:I11" si="2">G4*(VLOOKUP(F4,$A$17:$B$20,2)+IF(OR(F4&gt;=10,D4="과장"),5%,0))</f>
        <v>110000</v>
      </c>
      <c r="K4" s="4"/>
    </row>
    <row r="5" spans="1:11">
      <c r="A5" s="5" t="s">
        <v>85</v>
      </c>
      <c r="B5" s="5" t="s">
        <v>86</v>
      </c>
      <c r="C5" s="5" t="s">
        <v>87</v>
      </c>
      <c r="D5" s="5" t="s">
        <v>19</v>
      </c>
      <c r="E5" s="8">
        <v>40471</v>
      </c>
      <c r="F5" s="9">
        <f t="shared" si="0"/>
        <v>5</v>
      </c>
      <c r="G5" s="10">
        <f t="shared" si="1"/>
        <v>1050000</v>
      </c>
      <c r="H5" s="10">
        <v>200000</v>
      </c>
      <c r="I5" s="10">
        <f t="shared" si="2"/>
        <v>52500</v>
      </c>
      <c r="K5" s="4"/>
    </row>
    <row r="6" spans="1:11">
      <c r="A6" s="5" t="s">
        <v>88</v>
      </c>
      <c r="B6" s="5" t="s">
        <v>89</v>
      </c>
      <c r="C6" s="5" t="s">
        <v>90</v>
      </c>
      <c r="D6" s="5" t="s">
        <v>81</v>
      </c>
      <c r="E6" s="8">
        <v>38794</v>
      </c>
      <c r="F6" s="9">
        <f t="shared" si="0"/>
        <v>10</v>
      </c>
      <c r="G6" s="10">
        <f t="shared" si="1"/>
        <v>1500000</v>
      </c>
      <c r="H6" s="10">
        <v>560000</v>
      </c>
      <c r="I6" s="10">
        <f t="shared" si="2"/>
        <v>195000</v>
      </c>
      <c r="K6" s="4"/>
    </row>
    <row r="7" spans="1:11">
      <c r="A7" s="5" t="s">
        <v>91</v>
      </c>
      <c r="B7" s="5" t="s">
        <v>92</v>
      </c>
      <c r="C7" s="5" t="s">
        <v>84</v>
      </c>
      <c r="D7" s="5" t="s">
        <v>19</v>
      </c>
      <c r="E7" s="8">
        <v>40322</v>
      </c>
      <c r="F7" s="9">
        <f t="shared" si="0"/>
        <v>6</v>
      </c>
      <c r="G7" s="10">
        <f t="shared" si="1"/>
        <v>1100000</v>
      </c>
      <c r="H7" s="10">
        <v>190000</v>
      </c>
      <c r="I7" s="10">
        <f t="shared" si="2"/>
        <v>55000</v>
      </c>
      <c r="K7" s="4"/>
    </row>
    <row r="8" spans="1:11">
      <c r="A8" s="5" t="s">
        <v>93</v>
      </c>
      <c r="B8" s="5" t="s">
        <v>94</v>
      </c>
      <c r="C8" s="5" t="s">
        <v>90</v>
      </c>
      <c r="D8" s="5" t="s">
        <v>19</v>
      </c>
      <c r="E8" s="8">
        <v>39741</v>
      </c>
      <c r="F8" s="9">
        <f t="shared" si="0"/>
        <v>7</v>
      </c>
      <c r="G8" s="10">
        <f t="shared" si="1"/>
        <v>1350000</v>
      </c>
      <c r="H8" s="10">
        <v>200000</v>
      </c>
      <c r="I8" s="10">
        <f t="shared" si="2"/>
        <v>67500</v>
      </c>
      <c r="K8" s="4"/>
    </row>
    <row r="9" spans="1:11">
      <c r="A9" s="5" t="s">
        <v>95</v>
      </c>
      <c r="B9" s="5" t="s">
        <v>96</v>
      </c>
      <c r="C9" s="5" t="s">
        <v>87</v>
      </c>
      <c r="D9" s="5" t="s">
        <v>12</v>
      </c>
      <c r="E9" s="8">
        <v>40313</v>
      </c>
      <c r="F9" s="9">
        <f t="shared" si="0"/>
        <v>6</v>
      </c>
      <c r="G9" s="10">
        <f t="shared" si="1"/>
        <v>1100000</v>
      </c>
      <c r="H9" s="10">
        <v>360000</v>
      </c>
      <c r="I9" s="10">
        <f t="shared" si="2"/>
        <v>110000</v>
      </c>
      <c r="K9" s="4"/>
    </row>
    <row r="10" spans="1:11">
      <c r="A10" s="5" t="s">
        <v>97</v>
      </c>
      <c r="B10" s="5" t="s">
        <v>98</v>
      </c>
      <c r="C10" s="5" t="s">
        <v>90</v>
      </c>
      <c r="D10" s="5" t="s">
        <v>12</v>
      </c>
      <c r="E10" s="8">
        <v>41070</v>
      </c>
      <c r="F10" s="9">
        <f t="shared" si="0"/>
        <v>4</v>
      </c>
      <c r="G10" s="10">
        <f t="shared" si="1"/>
        <v>1000000</v>
      </c>
      <c r="H10" s="10">
        <v>375000</v>
      </c>
      <c r="I10" s="10">
        <f t="shared" si="2"/>
        <v>70000</v>
      </c>
      <c r="K10" s="4"/>
    </row>
    <row r="11" spans="1:11">
      <c r="A11" s="5" t="s">
        <v>99</v>
      </c>
      <c r="B11" s="5" t="s">
        <v>100</v>
      </c>
      <c r="C11" s="5" t="s">
        <v>84</v>
      </c>
      <c r="D11" s="5" t="s">
        <v>81</v>
      </c>
      <c r="E11" s="8">
        <v>39693</v>
      </c>
      <c r="F11" s="9">
        <f t="shared" si="0"/>
        <v>7</v>
      </c>
      <c r="G11" s="10">
        <f t="shared" si="1"/>
        <v>1350000</v>
      </c>
      <c r="H11" s="10">
        <v>520000</v>
      </c>
      <c r="I11" s="10">
        <f t="shared" si="2"/>
        <v>67500</v>
      </c>
      <c r="K11" s="4"/>
    </row>
    <row r="13" spans="1:11">
      <c r="A13" s="11" t="s">
        <v>101</v>
      </c>
      <c r="B13" s="10">
        <v>50000</v>
      </c>
      <c r="E13" s="1" t="s">
        <v>102</v>
      </c>
      <c r="F13" s="12"/>
    </row>
    <row r="14" spans="1:11">
      <c r="E14" s="5" t="s">
        <v>103</v>
      </c>
      <c r="F14" s="7" t="s">
        <v>104</v>
      </c>
      <c r="G14" s="7" t="s">
        <v>105</v>
      </c>
    </row>
    <row r="15" spans="1:11">
      <c r="A15" s="1" t="s">
        <v>106</v>
      </c>
      <c r="E15" s="5" t="s">
        <v>87</v>
      </c>
      <c r="F15" s="11">
        <f t="array" ref="F15">SUM(($C$3:$C$11=E15)*$H$3:$H$11)</f>
        <v>1200000</v>
      </c>
      <c r="G15" s="11">
        <f>AVERAGEIF($C$3:$C$11,E15,$H$3:$H$11)</f>
        <v>400000</v>
      </c>
    </row>
    <row r="16" spans="1:11">
      <c r="A16" s="5" t="s">
        <v>107</v>
      </c>
      <c r="B16" s="5" t="s">
        <v>108</v>
      </c>
      <c r="E16" s="5" t="s">
        <v>84</v>
      </c>
      <c r="F16" s="11">
        <f t="array" ref="F16">SUM(($C$3:$C$11=E16)*$H$3:$H$11)</f>
        <v>1085000</v>
      </c>
      <c r="G16" s="11">
        <f t="shared" ref="G16:G17" si="3">AVERAGEIF($C$3:$C$11,E16,$H$3:$H$11)</f>
        <v>361666.66666666669</v>
      </c>
    </row>
    <row r="17" spans="1:7">
      <c r="A17" s="13">
        <v>1</v>
      </c>
      <c r="B17" s="11">
        <v>0.02</v>
      </c>
      <c r="E17" s="5" t="s">
        <v>90</v>
      </c>
      <c r="F17" s="11">
        <f t="array" ref="F17">SUM(($C$3:$C$11=E17)*$H$3:$H$11)</f>
        <v>1135000</v>
      </c>
      <c r="G17" s="11">
        <f t="shared" si="3"/>
        <v>378333.33333333331</v>
      </c>
    </row>
    <row r="18" spans="1:7">
      <c r="A18" s="13">
        <v>5</v>
      </c>
      <c r="B18" s="11">
        <v>0.05</v>
      </c>
    </row>
    <row r="19" spans="1:7">
      <c r="A19" s="13">
        <v>10</v>
      </c>
      <c r="B19" s="11">
        <v>0.08</v>
      </c>
    </row>
    <row r="20" spans="1:7">
      <c r="A20" s="13">
        <v>15</v>
      </c>
      <c r="B20" s="11">
        <v>0.13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1"/>
  <sheetViews>
    <sheetView workbookViewId="0"/>
  </sheetViews>
  <sheetFormatPr defaultRowHeight="16.5"/>
  <cols>
    <col min="1" max="1" width="13.75" style="1" bestFit="1" customWidth="1"/>
    <col min="2" max="2" width="14.125" style="1" customWidth="1"/>
    <col min="3" max="3" width="9" style="1"/>
    <col min="4" max="4" width="10" style="1" customWidth="1"/>
    <col min="5" max="5" width="9" style="1"/>
    <col min="6" max="6" width="12.75" style="1" customWidth="1"/>
    <col min="7" max="8" width="11.125" style="1" bestFit="1" customWidth="1"/>
    <col min="9" max="16384" width="9" style="1"/>
  </cols>
  <sheetData>
    <row r="1" spans="1:8">
      <c r="A1" s="20" t="s">
        <v>111</v>
      </c>
      <c r="B1" s="20" t="s">
        <v>109</v>
      </c>
      <c r="C1" s="20" t="s">
        <v>181</v>
      </c>
      <c r="D1" s="21" t="s">
        <v>182</v>
      </c>
      <c r="F1" s="33" t="s">
        <v>109</v>
      </c>
      <c r="G1" t="s">
        <v>110</v>
      </c>
    </row>
    <row r="2" spans="1:8">
      <c r="A2" s="22" t="s">
        <v>183</v>
      </c>
      <c r="B2" s="22" t="s">
        <v>184</v>
      </c>
      <c r="C2" s="23">
        <v>17000</v>
      </c>
      <c r="D2" s="24">
        <v>5</v>
      </c>
    </row>
    <row r="3" spans="1:8">
      <c r="A3" s="25" t="s">
        <v>183</v>
      </c>
      <c r="B3" s="25" t="s">
        <v>184</v>
      </c>
      <c r="C3" s="26">
        <v>17000</v>
      </c>
      <c r="D3" s="27">
        <v>9</v>
      </c>
      <c r="F3" s="34" t="s">
        <v>111</v>
      </c>
      <c r="G3" s="14" t="s">
        <v>112</v>
      </c>
      <c r="H3" s="14" t="s">
        <v>113</v>
      </c>
    </row>
    <row r="4" spans="1:8">
      <c r="A4" s="28" t="s">
        <v>183</v>
      </c>
      <c r="B4" s="28" t="s">
        <v>184</v>
      </c>
      <c r="C4" s="29">
        <v>17000</v>
      </c>
      <c r="D4" s="30">
        <v>9</v>
      </c>
      <c r="F4" s="15" t="s">
        <v>114</v>
      </c>
      <c r="G4" s="16">
        <v>1.133587786259542</v>
      </c>
      <c r="H4" s="16">
        <v>1.1134020618556701</v>
      </c>
    </row>
    <row r="5" spans="1:8">
      <c r="A5" s="25" t="s">
        <v>183</v>
      </c>
      <c r="B5" s="25" t="s">
        <v>184</v>
      </c>
      <c r="C5" s="26">
        <v>17000</v>
      </c>
      <c r="D5" s="27">
        <v>4</v>
      </c>
      <c r="F5" s="15" t="s">
        <v>115</v>
      </c>
      <c r="G5" s="16">
        <v>0.82442748091603046</v>
      </c>
      <c r="H5" s="16">
        <v>1.0020618556701031</v>
      </c>
    </row>
    <row r="6" spans="1:8">
      <c r="A6" s="28" t="s">
        <v>183</v>
      </c>
      <c r="B6" s="28" t="s">
        <v>184</v>
      </c>
      <c r="C6" s="29">
        <v>17000</v>
      </c>
      <c r="D6" s="30">
        <v>7</v>
      </c>
      <c r="F6" s="15" t="s">
        <v>116</v>
      </c>
      <c r="G6" s="16">
        <v>1.001090512540894</v>
      </c>
      <c r="H6" s="16">
        <v>0.8350515463917525</v>
      </c>
    </row>
    <row r="7" spans="1:8">
      <c r="A7" s="25" t="s">
        <v>183</v>
      </c>
      <c r="B7" s="25" t="s">
        <v>184</v>
      </c>
      <c r="C7" s="26">
        <v>17000</v>
      </c>
      <c r="D7" s="27">
        <v>10</v>
      </c>
      <c r="F7" s="15" t="s">
        <v>117</v>
      </c>
      <c r="G7" s="16">
        <v>1.0305343511450382</v>
      </c>
      <c r="H7" s="16">
        <v>1.0020618556701031</v>
      </c>
    </row>
    <row r="8" spans="1:8">
      <c r="A8" s="28" t="s">
        <v>185</v>
      </c>
      <c r="B8" s="28" t="s">
        <v>186</v>
      </c>
      <c r="C8" s="29">
        <v>30000</v>
      </c>
      <c r="D8" s="30">
        <v>5</v>
      </c>
      <c r="F8" s="15" t="s">
        <v>118</v>
      </c>
      <c r="G8" s="16">
        <v>1</v>
      </c>
      <c r="H8" s="16">
        <v>1</v>
      </c>
    </row>
    <row r="9" spans="1:8">
      <c r="A9" s="25" t="s">
        <v>185</v>
      </c>
      <c r="B9" s="25" t="s">
        <v>186</v>
      </c>
      <c r="C9" s="26">
        <v>30000</v>
      </c>
      <c r="D9" s="27">
        <v>5</v>
      </c>
      <c r="F9"/>
      <c r="G9"/>
      <c r="H9"/>
    </row>
    <row r="10" spans="1:8">
      <c r="A10" s="28" t="s">
        <v>185</v>
      </c>
      <c r="B10" s="28" t="s">
        <v>186</v>
      </c>
      <c r="C10" s="29">
        <v>30000</v>
      </c>
      <c r="D10" s="30">
        <v>9</v>
      </c>
      <c r="F10"/>
      <c r="G10"/>
      <c r="H10"/>
    </row>
    <row r="11" spans="1:8">
      <c r="A11" s="25" t="s">
        <v>185</v>
      </c>
      <c r="B11" s="25" t="s">
        <v>186</v>
      </c>
      <c r="C11" s="26">
        <v>30000</v>
      </c>
      <c r="D11" s="27">
        <v>5</v>
      </c>
      <c r="F11"/>
      <c r="G11"/>
      <c r="H11"/>
    </row>
    <row r="12" spans="1:8">
      <c r="A12" s="28" t="s">
        <v>187</v>
      </c>
      <c r="B12" s="28" t="s">
        <v>188</v>
      </c>
      <c r="C12" s="29">
        <v>20000</v>
      </c>
      <c r="D12" s="30">
        <v>4</v>
      </c>
      <c r="F12"/>
      <c r="G12"/>
      <c r="H12"/>
    </row>
    <row r="13" spans="1:8">
      <c r="A13" s="25" t="s">
        <v>187</v>
      </c>
      <c r="B13" s="25" t="s">
        <v>188</v>
      </c>
      <c r="C13" s="26">
        <v>20000</v>
      </c>
      <c r="D13" s="27">
        <v>9</v>
      </c>
      <c r="F13"/>
      <c r="G13"/>
      <c r="H13"/>
    </row>
    <row r="14" spans="1:8">
      <c r="A14" s="28" t="s">
        <v>187</v>
      </c>
      <c r="B14" s="28" t="s">
        <v>188</v>
      </c>
      <c r="C14" s="29">
        <v>20000</v>
      </c>
      <c r="D14" s="30">
        <v>2</v>
      </c>
      <c r="F14"/>
      <c r="G14"/>
      <c r="H14"/>
    </row>
    <row r="15" spans="1:8">
      <c r="A15" s="25" t="s">
        <v>187</v>
      </c>
      <c r="B15" s="25" t="s">
        <v>188</v>
      </c>
      <c r="C15" s="26">
        <v>20000</v>
      </c>
      <c r="D15" s="27">
        <v>6</v>
      </c>
      <c r="F15"/>
      <c r="G15"/>
      <c r="H15"/>
    </row>
    <row r="16" spans="1:8">
      <c r="A16" s="28" t="s">
        <v>187</v>
      </c>
      <c r="B16" s="28" t="s">
        <v>188</v>
      </c>
      <c r="C16" s="29">
        <v>20000</v>
      </c>
      <c r="D16" s="30">
        <v>1</v>
      </c>
      <c r="F16"/>
      <c r="G16"/>
      <c r="H16"/>
    </row>
    <row r="17" spans="1:8">
      <c r="A17" s="25" t="s">
        <v>187</v>
      </c>
      <c r="B17" s="25" t="s">
        <v>188</v>
      </c>
      <c r="C17" s="26">
        <v>20000</v>
      </c>
      <c r="D17" s="27">
        <v>2</v>
      </c>
      <c r="F17"/>
      <c r="G17"/>
      <c r="H17"/>
    </row>
    <row r="18" spans="1:8">
      <c r="A18" s="28" t="s">
        <v>115</v>
      </c>
      <c r="B18" s="28" t="s">
        <v>110</v>
      </c>
      <c r="C18" s="29">
        <v>18000</v>
      </c>
      <c r="D18" s="30">
        <v>9</v>
      </c>
      <c r="F18"/>
      <c r="G18"/>
      <c r="H18"/>
    </row>
    <row r="19" spans="1:8">
      <c r="A19" s="25" t="s">
        <v>115</v>
      </c>
      <c r="B19" s="25" t="s">
        <v>110</v>
      </c>
      <c r="C19" s="26">
        <v>18000</v>
      </c>
      <c r="D19" s="27">
        <v>2</v>
      </c>
      <c r="F19"/>
      <c r="G19"/>
      <c r="H19"/>
    </row>
    <row r="20" spans="1:8">
      <c r="A20" s="28" t="s">
        <v>115</v>
      </c>
      <c r="B20" s="28" t="s">
        <v>110</v>
      </c>
      <c r="C20" s="29">
        <v>18000</v>
      </c>
      <c r="D20" s="30">
        <v>5</v>
      </c>
      <c r="F20"/>
      <c r="G20"/>
      <c r="H20"/>
    </row>
    <row r="21" spans="1:8">
      <c r="A21" s="25" t="s">
        <v>115</v>
      </c>
      <c r="B21" s="25" t="s">
        <v>110</v>
      </c>
      <c r="C21" s="26">
        <v>18000</v>
      </c>
      <c r="D21" s="27">
        <v>5</v>
      </c>
    </row>
    <row r="22" spans="1:8">
      <c r="A22" s="28" t="s">
        <v>115</v>
      </c>
      <c r="B22" s="28" t="s">
        <v>110</v>
      </c>
      <c r="C22" s="29">
        <v>18000</v>
      </c>
      <c r="D22" s="30">
        <v>4</v>
      </c>
    </row>
    <row r="23" spans="1:8">
      <c r="A23" s="25" t="s">
        <v>115</v>
      </c>
      <c r="B23" s="25" t="s">
        <v>110</v>
      </c>
      <c r="C23" s="26">
        <v>18000</v>
      </c>
      <c r="D23" s="27">
        <v>2</v>
      </c>
    </row>
    <row r="24" spans="1:8">
      <c r="A24" s="28" t="s">
        <v>115</v>
      </c>
      <c r="B24" s="28" t="s">
        <v>110</v>
      </c>
      <c r="C24" s="29">
        <v>18000</v>
      </c>
      <c r="D24" s="30">
        <v>3</v>
      </c>
    </row>
    <row r="25" spans="1:8">
      <c r="A25" s="25" t="s">
        <v>115</v>
      </c>
      <c r="B25" s="25" t="s">
        <v>110</v>
      </c>
      <c r="C25" s="26">
        <v>18000</v>
      </c>
      <c r="D25" s="27">
        <v>2</v>
      </c>
    </row>
    <row r="26" spans="1:8">
      <c r="A26" s="28" t="s">
        <v>114</v>
      </c>
      <c r="B26" s="28" t="s">
        <v>110</v>
      </c>
      <c r="C26" s="29">
        <v>20000</v>
      </c>
      <c r="D26" s="30">
        <v>10</v>
      </c>
    </row>
    <row r="27" spans="1:8">
      <c r="A27" s="25" t="s">
        <v>114</v>
      </c>
      <c r="B27" s="25" t="s">
        <v>110</v>
      </c>
      <c r="C27" s="26">
        <v>20000</v>
      </c>
      <c r="D27" s="27">
        <v>1</v>
      </c>
    </row>
    <row r="28" spans="1:8">
      <c r="A28" s="28" t="s">
        <v>114</v>
      </c>
      <c r="B28" s="28" t="s">
        <v>110</v>
      </c>
      <c r="C28" s="29">
        <v>20000</v>
      </c>
      <c r="D28" s="30">
        <v>1</v>
      </c>
    </row>
    <row r="29" spans="1:8">
      <c r="A29" s="25" t="s">
        <v>114</v>
      </c>
      <c r="B29" s="25" t="s">
        <v>110</v>
      </c>
      <c r="C29" s="26">
        <v>20000</v>
      </c>
      <c r="D29" s="27">
        <v>7</v>
      </c>
    </row>
    <row r="30" spans="1:8">
      <c r="A30" s="28" t="s">
        <v>114</v>
      </c>
      <c r="B30" s="28" t="s">
        <v>110</v>
      </c>
      <c r="C30" s="29">
        <v>20000</v>
      </c>
      <c r="D30" s="30">
        <v>7</v>
      </c>
    </row>
    <row r="31" spans="1:8">
      <c r="A31" s="25" t="s">
        <v>114</v>
      </c>
      <c r="B31" s="25" t="s">
        <v>110</v>
      </c>
      <c r="C31" s="26">
        <v>20000</v>
      </c>
      <c r="D31" s="27">
        <v>6</v>
      </c>
    </row>
    <row r="32" spans="1:8">
      <c r="A32" s="28" t="s">
        <v>114</v>
      </c>
      <c r="B32" s="28" t="s">
        <v>110</v>
      </c>
      <c r="C32" s="29">
        <v>20000</v>
      </c>
      <c r="D32" s="30">
        <v>2</v>
      </c>
    </row>
    <row r="33" spans="1:4">
      <c r="A33" s="25" t="s">
        <v>114</v>
      </c>
      <c r="B33" s="25" t="s">
        <v>110</v>
      </c>
      <c r="C33" s="26">
        <v>20000</v>
      </c>
      <c r="D33" s="27">
        <v>10</v>
      </c>
    </row>
    <row r="34" spans="1:4">
      <c r="A34" s="28" t="s">
        <v>114</v>
      </c>
      <c r="B34" s="28" t="s">
        <v>110</v>
      </c>
      <c r="C34" s="29">
        <v>20000</v>
      </c>
      <c r="D34" s="30">
        <v>1</v>
      </c>
    </row>
    <row r="35" spans="1:4">
      <c r="A35" s="25" t="s">
        <v>114</v>
      </c>
      <c r="B35" s="25" t="s">
        <v>110</v>
      </c>
      <c r="C35" s="26">
        <v>20000</v>
      </c>
      <c r="D35" s="27">
        <v>10</v>
      </c>
    </row>
    <row r="36" spans="1:4">
      <c r="A36" s="28" t="s">
        <v>116</v>
      </c>
      <c r="B36" s="28" t="s">
        <v>110</v>
      </c>
      <c r="C36" s="29">
        <v>15000</v>
      </c>
      <c r="D36" s="30">
        <v>4</v>
      </c>
    </row>
    <row r="37" spans="1:4">
      <c r="A37" s="25" t="s">
        <v>116</v>
      </c>
      <c r="B37" s="25" t="s">
        <v>110</v>
      </c>
      <c r="C37" s="26">
        <v>15000</v>
      </c>
      <c r="D37" s="27">
        <v>4</v>
      </c>
    </row>
    <row r="38" spans="1:4">
      <c r="A38" s="28" t="s">
        <v>116</v>
      </c>
      <c r="B38" s="28" t="s">
        <v>110</v>
      </c>
      <c r="C38" s="29">
        <v>15000</v>
      </c>
      <c r="D38" s="30">
        <v>6</v>
      </c>
    </row>
    <row r="39" spans="1:4">
      <c r="A39" s="25" t="s">
        <v>116</v>
      </c>
      <c r="B39" s="25" t="s">
        <v>110</v>
      </c>
      <c r="C39" s="26">
        <v>15000</v>
      </c>
      <c r="D39" s="27">
        <v>1</v>
      </c>
    </row>
    <row r="40" spans="1:4">
      <c r="A40" s="28" t="s">
        <v>116</v>
      </c>
      <c r="B40" s="28" t="s">
        <v>110</v>
      </c>
      <c r="C40" s="29">
        <v>15000</v>
      </c>
      <c r="D40" s="30">
        <v>8</v>
      </c>
    </row>
    <row r="41" spans="1:4">
      <c r="A41" s="25" t="s">
        <v>116</v>
      </c>
      <c r="B41" s="25" t="s">
        <v>110</v>
      </c>
      <c r="C41" s="26">
        <v>15000</v>
      </c>
      <c r="D41" s="27">
        <v>7</v>
      </c>
    </row>
    <row r="42" spans="1:4">
      <c r="A42" s="28" t="s">
        <v>116</v>
      </c>
      <c r="B42" s="28" t="s">
        <v>110</v>
      </c>
      <c r="C42" s="29">
        <v>15000</v>
      </c>
      <c r="D42" s="30">
        <v>4</v>
      </c>
    </row>
    <row r="43" spans="1:4">
      <c r="A43" s="25" t="s">
        <v>189</v>
      </c>
      <c r="B43" s="25" t="s">
        <v>184</v>
      </c>
      <c r="C43" s="26">
        <v>10000</v>
      </c>
      <c r="D43" s="27">
        <v>2</v>
      </c>
    </row>
    <row r="44" spans="1:4">
      <c r="A44" s="28" t="s">
        <v>189</v>
      </c>
      <c r="B44" s="28" t="s">
        <v>184</v>
      </c>
      <c r="C44" s="29">
        <v>10000</v>
      </c>
      <c r="D44" s="30">
        <v>3</v>
      </c>
    </row>
    <row r="45" spans="1:4">
      <c r="A45" s="25" t="s">
        <v>189</v>
      </c>
      <c r="B45" s="25" t="s">
        <v>184</v>
      </c>
      <c r="C45" s="26">
        <v>10000</v>
      </c>
      <c r="D45" s="27">
        <v>10</v>
      </c>
    </row>
    <row r="46" spans="1:4">
      <c r="A46" s="28" t="s">
        <v>189</v>
      </c>
      <c r="B46" s="28" t="s">
        <v>184</v>
      </c>
      <c r="C46" s="29">
        <v>10000</v>
      </c>
      <c r="D46" s="30">
        <v>9</v>
      </c>
    </row>
    <row r="47" spans="1:4">
      <c r="A47" s="25" t="s">
        <v>189</v>
      </c>
      <c r="B47" s="25" t="s">
        <v>184</v>
      </c>
      <c r="C47" s="26">
        <v>10000</v>
      </c>
      <c r="D47" s="27">
        <v>4</v>
      </c>
    </row>
    <row r="48" spans="1:4">
      <c r="A48" s="28" t="s">
        <v>189</v>
      </c>
      <c r="B48" s="28" t="s">
        <v>184</v>
      </c>
      <c r="C48" s="29">
        <v>10000</v>
      </c>
      <c r="D48" s="30">
        <v>9</v>
      </c>
    </row>
    <row r="49" spans="1:4">
      <c r="A49" s="25" t="s">
        <v>189</v>
      </c>
      <c r="B49" s="25" t="s">
        <v>184</v>
      </c>
      <c r="C49" s="26">
        <v>10000</v>
      </c>
      <c r="D49" s="27">
        <v>5</v>
      </c>
    </row>
    <row r="50" spans="1:4">
      <c r="A50" s="28" t="s">
        <v>189</v>
      </c>
      <c r="B50" s="28" t="s">
        <v>184</v>
      </c>
      <c r="C50" s="29">
        <v>10000</v>
      </c>
      <c r="D50" s="30">
        <v>3</v>
      </c>
    </row>
    <row r="51" spans="1:4">
      <c r="A51" s="25" t="s">
        <v>190</v>
      </c>
      <c r="B51" s="25" t="s">
        <v>191</v>
      </c>
      <c r="C51" s="26">
        <v>15000</v>
      </c>
      <c r="D51" s="27">
        <v>5</v>
      </c>
    </row>
    <row r="52" spans="1:4">
      <c r="A52" s="28" t="s">
        <v>190</v>
      </c>
      <c r="B52" s="28" t="s">
        <v>191</v>
      </c>
      <c r="C52" s="29">
        <v>15000</v>
      </c>
      <c r="D52" s="30">
        <v>7</v>
      </c>
    </row>
    <row r="53" spans="1:4">
      <c r="A53" s="25" t="s">
        <v>192</v>
      </c>
      <c r="B53" s="25" t="s">
        <v>193</v>
      </c>
      <c r="C53" s="26">
        <v>13000</v>
      </c>
      <c r="D53" s="27">
        <v>10</v>
      </c>
    </row>
    <row r="54" spans="1:4">
      <c r="A54" s="28" t="s">
        <v>192</v>
      </c>
      <c r="B54" s="28" t="s">
        <v>193</v>
      </c>
      <c r="C54" s="29">
        <v>13000</v>
      </c>
      <c r="D54" s="30">
        <v>3</v>
      </c>
    </row>
    <row r="55" spans="1:4">
      <c r="A55" s="25" t="s">
        <v>192</v>
      </c>
      <c r="B55" s="25" t="s">
        <v>193</v>
      </c>
      <c r="C55" s="26">
        <v>13000</v>
      </c>
      <c r="D55" s="27">
        <v>10</v>
      </c>
    </row>
    <row r="56" spans="1:4">
      <c r="A56" s="28" t="s">
        <v>192</v>
      </c>
      <c r="B56" s="28" t="s">
        <v>193</v>
      </c>
      <c r="C56" s="29">
        <v>13000</v>
      </c>
      <c r="D56" s="30">
        <v>7</v>
      </c>
    </row>
    <row r="57" spans="1:4">
      <c r="A57" s="25" t="s">
        <v>192</v>
      </c>
      <c r="B57" s="25" t="s">
        <v>193</v>
      </c>
      <c r="C57" s="26">
        <v>13000</v>
      </c>
      <c r="D57" s="27">
        <v>3</v>
      </c>
    </row>
    <row r="58" spans="1:4">
      <c r="A58" s="28" t="s">
        <v>192</v>
      </c>
      <c r="B58" s="28" t="s">
        <v>193</v>
      </c>
      <c r="C58" s="29">
        <v>13000</v>
      </c>
      <c r="D58" s="30">
        <v>5</v>
      </c>
    </row>
    <row r="59" spans="1:4">
      <c r="A59" s="25" t="s">
        <v>192</v>
      </c>
      <c r="B59" s="25" t="s">
        <v>193</v>
      </c>
      <c r="C59" s="26">
        <v>13000</v>
      </c>
      <c r="D59" s="27">
        <v>5</v>
      </c>
    </row>
    <row r="60" spans="1:4">
      <c r="A60" s="28" t="s">
        <v>117</v>
      </c>
      <c r="B60" s="28" t="s">
        <v>110</v>
      </c>
      <c r="C60" s="29">
        <v>18000</v>
      </c>
      <c r="D60" s="30">
        <v>8</v>
      </c>
    </row>
    <row r="61" spans="1:4">
      <c r="A61" s="31" t="s">
        <v>117</v>
      </c>
      <c r="B61" s="31" t="s">
        <v>110</v>
      </c>
      <c r="C61" s="32">
        <v>18000</v>
      </c>
      <c r="D61" s="19">
        <v>2</v>
      </c>
    </row>
  </sheetData>
  <phoneticPr fontId="3" type="noConversion"/>
  <pageMargins left="0.75" right="0.75" top="1" bottom="1" header="0.5" footer="0.5"/>
  <pageSetup paperSize="9" orientation="portrait" verticalDpi="0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J14"/>
  <sheetViews>
    <sheetView workbookViewId="0"/>
  </sheetViews>
  <sheetFormatPr defaultRowHeight="16.5"/>
  <cols>
    <col min="1" max="1" width="3.25" style="1" customWidth="1"/>
    <col min="2" max="2" width="12.375" style="1" customWidth="1"/>
    <col min="3" max="3" width="12" style="1" customWidth="1"/>
    <col min="4" max="256" width="9" style="1"/>
    <col min="257" max="257" width="3.25" style="1" customWidth="1"/>
    <col min="258" max="258" width="12.375" style="1" customWidth="1"/>
    <col min="259" max="259" width="12" style="1" customWidth="1"/>
    <col min="260" max="512" width="9" style="1"/>
    <col min="513" max="513" width="3.25" style="1" customWidth="1"/>
    <col min="514" max="514" width="12.375" style="1" customWidth="1"/>
    <col min="515" max="515" width="12" style="1" customWidth="1"/>
    <col min="516" max="768" width="9" style="1"/>
    <col min="769" max="769" width="3.25" style="1" customWidth="1"/>
    <col min="770" max="770" width="12.375" style="1" customWidth="1"/>
    <col min="771" max="771" width="12" style="1" customWidth="1"/>
    <col min="772" max="1024" width="9" style="1"/>
    <col min="1025" max="1025" width="3.25" style="1" customWidth="1"/>
    <col min="1026" max="1026" width="12.375" style="1" customWidth="1"/>
    <col min="1027" max="1027" width="12" style="1" customWidth="1"/>
    <col min="1028" max="1280" width="9" style="1"/>
    <col min="1281" max="1281" width="3.25" style="1" customWidth="1"/>
    <col min="1282" max="1282" width="12.375" style="1" customWidth="1"/>
    <col min="1283" max="1283" width="12" style="1" customWidth="1"/>
    <col min="1284" max="1536" width="9" style="1"/>
    <col min="1537" max="1537" width="3.25" style="1" customWidth="1"/>
    <col min="1538" max="1538" width="12.375" style="1" customWidth="1"/>
    <col min="1539" max="1539" width="12" style="1" customWidth="1"/>
    <col min="1540" max="1792" width="9" style="1"/>
    <col min="1793" max="1793" width="3.25" style="1" customWidth="1"/>
    <col min="1794" max="1794" width="12.375" style="1" customWidth="1"/>
    <col min="1795" max="1795" width="12" style="1" customWidth="1"/>
    <col min="1796" max="2048" width="9" style="1"/>
    <col min="2049" max="2049" width="3.25" style="1" customWidth="1"/>
    <col min="2050" max="2050" width="12.375" style="1" customWidth="1"/>
    <col min="2051" max="2051" width="12" style="1" customWidth="1"/>
    <col min="2052" max="2304" width="9" style="1"/>
    <col min="2305" max="2305" width="3.25" style="1" customWidth="1"/>
    <col min="2306" max="2306" width="12.375" style="1" customWidth="1"/>
    <col min="2307" max="2307" width="12" style="1" customWidth="1"/>
    <col min="2308" max="2560" width="9" style="1"/>
    <col min="2561" max="2561" width="3.25" style="1" customWidth="1"/>
    <col min="2562" max="2562" width="12.375" style="1" customWidth="1"/>
    <col min="2563" max="2563" width="12" style="1" customWidth="1"/>
    <col min="2564" max="2816" width="9" style="1"/>
    <col min="2817" max="2817" width="3.25" style="1" customWidth="1"/>
    <col min="2818" max="2818" width="12.375" style="1" customWidth="1"/>
    <col min="2819" max="2819" width="12" style="1" customWidth="1"/>
    <col min="2820" max="3072" width="9" style="1"/>
    <col min="3073" max="3073" width="3.25" style="1" customWidth="1"/>
    <col min="3074" max="3074" width="12.375" style="1" customWidth="1"/>
    <col min="3075" max="3075" width="12" style="1" customWidth="1"/>
    <col min="3076" max="3328" width="9" style="1"/>
    <col min="3329" max="3329" width="3.25" style="1" customWidth="1"/>
    <col min="3330" max="3330" width="12.375" style="1" customWidth="1"/>
    <col min="3331" max="3331" width="12" style="1" customWidth="1"/>
    <col min="3332" max="3584" width="9" style="1"/>
    <col min="3585" max="3585" width="3.25" style="1" customWidth="1"/>
    <col min="3586" max="3586" width="12.375" style="1" customWidth="1"/>
    <col min="3587" max="3587" width="12" style="1" customWidth="1"/>
    <col min="3588" max="3840" width="9" style="1"/>
    <col min="3841" max="3841" width="3.25" style="1" customWidth="1"/>
    <col min="3842" max="3842" width="12.375" style="1" customWidth="1"/>
    <col min="3843" max="3843" width="12" style="1" customWidth="1"/>
    <col min="3844" max="4096" width="9" style="1"/>
    <col min="4097" max="4097" width="3.25" style="1" customWidth="1"/>
    <col min="4098" max="4098" width="12.375" style="1" customWidth="1"/>
    <col min="4099" max="4099" width="12" style="1" customWidth="1"/>
    <col min="4100" max="4352" width="9" style="1"/>
    <col min="4353" max="4353" width="3.25" style="1" customWidth="1"/>
    <col min="4354" max="4354" width="12.375" style="1" customWidth="1"/>
    <col min="4355" max="4355" width="12" style="1" customWidth="1"/>
    <col min="4356" max="4608" width="9" style="1"/>
    <col min="4609" max="4609" width="3.25" style="1" customWidth="1"/>
    <col min="4610" max="4610" width="12.375" style="1" customWidth="1"/>
    <col min="4611" max="4611" width="12" style="1" customWidth="1"/>
    <col min="4612" max="4864" width="9" style="1"/>
    <col min="4865" max="4865" width="3.25" style="1" customWidth="1"/>
    <col min="4866" max="4866" width="12.375" style="1" customWidth="1"/>
    <col min="4867" max="4867" width="12" style="1" customWidth="1"/>
    <col min="4868" max="5120" width="9" style="1"/>
    <col min="5121" max="5121" width="3.25" style="1" customWidth="1"/>
    <col min="5122" max="5122" width="12.375" style="1" customWidth="1"/>
    <col min="5123" max="5123" width="12" style="1" customWidth="1"/>
    <col min="5124" max="5376" width="9" style="1"/>
    <col min="5377" max="5377" width="3.25" style="1" customWidth="1"/>
    <col min="5378" max="5378" width="12.375" style="1" customWidth="1"/>
    <col min="5379" max="5379" width="12" style="1" customWidth="1"/>
    <col min="5380" max="5632" width="9" style="1"/>
    <col min="5633" max="5633" width="3.25" style="1" customWidth="1"/>
    <col min="5634" max="5634" width="12.375" style="1" customWidth="1"/>
    <col min="5635" max="5635" width="12" style="1" customWidth="1"/>
    <col min="5636" max="5888" width="9" style="1"/>
    <col min="5889" max="5889" width="3.25" style="1" customWidth="1"/>
    <col min="5890" max="5890" width="12.375" style="1" customWidth="1"/>
    <col min="5891" max="5891" width="12" style="1" customWidth="1"/>
    <col min="5892" max="6144" width="9" style="1"/>
    <col min="6145" max="6145" width="3.25" style="1" customWidth="1"/>
    <col min="6146" max="6146" width="12.375" style="1" customWidth="1"/>
    <col min="6147" max="6147" width="12" style="1" customWidth="1"/>
    <col min="6148" max="6400" width="9" style="1"/>
    <col min="6401" max="6401" width="3.25" style="1" customWidth="1"/>
    <col min="6402" max="6402" width="12.375" style="1" customWidth="1"/>
    <col min="6403" max="6403" width="12" style="1" customWidth="1"/>
    <col min="6404" max="6656" width="9" style="1"/>
    <col min="6657" max="6657" width="3.25" style="1" customWidth="1"/>
    <col min="6658" max="6658" width="12.375" style="1" customWidth="1"/>
    <col min="6659" max="6659" width="12" style="1" customWidth="1"/>
    <col min="6660" max="6912" width="9" style="1"/>
    <col min="6913" max="6913" width="3.25" style="1" customWidth="1"/>
    <col min="6914" max="6914" width="12.375" style="1" customWidth="1"/>
    <col min="6915" max="6915" width="12" style="1" customWidth="1"/>
    <col min="6916" max="7168" width="9" style="1"/>
    <col min="7169" max="7169" width="3.25" style="1" customWidth="1"/>
    <col min="7170" max="7170" width="12.375" style="1" customWidth="1"/>
    <col min="7171" max="7171" width="12" style="1" customWidth="1"/>
    <col min="7172" max="7424" width="9" style="1"/>
    <col min="7425" max="7425" width="3.25" style="1" customWidth="1"/>
    <col min="7426" max="7426" width="12.375" style="1" customWidth="1"/>
    <col min="7427" max="7427" width="12" style="1" customWidth="1"/>
    <col min="7428" max="7680" width="9" style="1"/>
    <col min="7681" max="7681" width="3.25" style="1" customWidth="1"/>
    <col min="7682" max="7682" width="12.375" style="1" customWidth="1"/>
    <col min="7683" max="7683" width="12" style="1" customWidth="1"/>
    <col min="7684" max="7936" width="9" style="1"/>
    <col min="7937" max="7937" width="3.25" style="1" customWidth="1"/>
    <col min="7938" max="7938" width="12.375" style="1" customWidth="1"/>
    <col min="7939" max="7939" width="12" style="1" customWidth="1"/>
    <col min="7940" max="8192" width="9" style="1"/>
    <col min="8193" max="8193" width="3.25" style="1" customWidth="1"/>
    <col min="8194" max="8194" width="12.375" style="1" customWidth="1"/>
    <col min="8195" max="8195" width="12" style="1" customWidth="1"/>
    <col min="8196" max="8448" width="9" style="1"/>
    <col min="8449" max="8449" width="3.25" style="1" customWidth="1"/>
    <col min="8450" max="8450" width="12.375" style="1" customWidth="1"/>
    <col min="8451" max="8451" width="12" style="1" customWidth="1"/>
    <col min="8452" max="8704" width="9" style="1"/>
    <col min="8705" max="8705" width="3.25" style="1" customWidth="1"/>
    <col min="8706" max="8706" width="12.375" style="1" customWidth="1"/>
    <col min="8707" max="8707" width="12" style="1" customWidth="1"/>
    <col min="8708" max="8960" width="9" style="1"/>
    <col min="8961" max="8961" width="3.25" style="1" customWidth="1"/>
    <col min="8962" max="8962" width="12.375" style="1" customWidth="1"/>
    <col min="8963" max="8963" width="12" style="1" customWidth="1"/>
    <col min="8964" max="9216" width="9" style="1"/>
    <col min="9217" max="9217" width="3.25" style="1" customWidth="1"/>
    <col min="9218" max="9218" width="12.375" style="1" customWidth="1"/>
    <col min="9219" max="9219" width="12" style="1" customWidth="1"/>
    <col min="9220" max="9472" width="9" style="1"/>
    <col min="9473" max="9473" width="3.25" style="1" customWidth="1"/>
    <col min="9474" max="9474" width="12.375" style="1" customWidth="1"/>
    <col min="9475" max="9475" width="12" style="1" customWidth="1"/>
    <col min="9476" max="9728" width="9" style="1"/>
    <col min="9729" max="9729" width="3.25" style="1" customWidth="1"/>
    <col min="9730" max="9730" width="12.375" style="1" customWidth="1"/>
    <col min="9731" max="9731" width="12" style="1" customWidth="1"/>
    <col min="9732" max="9984" width="9" style="1"/>
    <col min="9985" max="9985" width="3.25" style="1" customWidth="1"/>
    <col min="9986" max="9986" width="12.375" style="1" customWidth="1"/>
    <col min="9987" max="9987" width="12" style="1" customWidth="1"/>
    <col min="9988" max="10240" width="9" style="1"/>
    <col min="10241" max="10241" width="3.25" style="1" customWidth="1"/>
    <col min="10242" max="10242" width="12.375" style="1" customWidth="1"/>
    <col min="10243" max="10243" width="12" style="1" customWidth="1"/>
    <col min="10244" max="10496" width="9" style="1"/>
    <col min="10497" max="10497" width="3.25" style="1" customWidth="1"/>
    <col min="10498" max="10498" width="12.375" style="1" customWidth="1"/>
    <col min="10499" max="10499" width="12" style="1" customWidth="1"/>
    <col min="10500" max="10752" width="9" style="1"/>
    <col min="10753" max="10753" width="3.25" style="1" customWidth="1"/>
    <col min="10754" max="10754" width="12.375" style="1" customWidth="1"/>
    <col min="10755" max="10755" width="12" style="1" customWidth="1"/>
    <col min="10756" max="11008" width="9" style="1"/>
    <col min="11009" max="11009" width="3.25" style="1" customWidth="1"/>
    <col min="11010" max="11010" width="12.375" style="1" customWidth="1"/>
    <col min="11011" max="11011" width="12" style="1" customWidth="1"/>
    <col min="11012" max="11264" width="9" style="1"/>
    <col min="11265" max="11265" width="3.25" style="1" customWidth="1"/>
    <col min="11266" max="11266" width="12.375" style="1" customWidth="1"/>
    <col min="11267" max="11267" width="12" style="1" customWidth="1"/>
    <col min="11268" max="11520" width="9" style="1"/>
    <col min="11521" max="11521" width="3.25" style="1" customWidth="1"/>
    <col min="11522" max="11522" width="12.375" style="1" customWidth="1"/>
    <col min="11523" max="11523" width="12" style="1" customWidth="1"/>
    <col min="11524" max="11776" width="9" style="1"/>
    <col min="11777" max="11777" width="3.25" style="1" customWidth="1"/>
    <col min="11778" max="11778" width="12.375" style="1" customWidth="1"/>
    <col min="11779" max="11779" width="12" style="1" customWidth="1"/>
    <col min="11780" max="12032" width="9" style="1"/>
    <col min="12033" max="12033" width="3.25" style="1" customWidth="1"/>
    <col min="12034" max="12034" width="12.375" style="1" customWidth="1"/>
    <col min="12035" max="12035" width="12" style="1" customWidth="1"/>
    <col min="12036" max="12288" width="9" style="1"/>
    <col min="12289" max="12289" width="3.25" style="1" customWidth="1"/>
    <col min="12290" max="12290" width="12.375" style="1" customWidth="1"/>
    <col min="12291" max="12291" width="12" style="1" customWidth="1"/>
    <col min="12292" max="12544" width="9" style="1"/>
    <col min="12545" max="12545" width="3.25" style="1" customWidth="1"/>
    <col min="12546" max="12546" width="12.375" style="1" customWidth="1"/>
    <col min="12547" max="12547" width="12" style="1" customWidth="1"/>
    <col min="12548" max="12800" width="9" style="1"/>
    <col min="12801" max="12801" width="3.25" style="1" customWidth="1"/>
    <col min="12802" max="12802" width="12.375" style="1" customWidth="1"/>
    <col min="12803" max="12803" width="12" style="1" customWidth="1"/>
    <col min="12804" max="13056" width="9" style="1"/>
    <col min="13057" max="13057" width="3.25" style="1" customWidth="1"/>
    <col min="13058" max="13058" width="12.375" style="1" customWidth="1"/>
    <col min="13059" max="13059" width="12" style="1" customWidth="1"/>
    <col min="13060" max="13312" width="9" style="1"/>
    <col min="13313" max="13313" width="3.25" style="1" customWidth="1"/>
    <col min="13314" max="13314" width="12.375" style="1" customWidth="1"/>
    <col min="13315" max="13315" width="12" style="1" customWidth="1"/>
    <col min="13316" max="13568" width="9" style="1"/>
    <col min="13569" max="13569" width="3.25" style="1" customWidth="1"/>
    <col min="13570" max="13570" width="12.375" style="1" customWidth="1"/>
    <col min="13571" max="13571" width="12" style="1" customWidth="1"/>
    <col min="13572" max="13824" width="9" style="1"/>
    <col min="13825" max="13825" width="3.25" style="1" customWidth="1"/>
    <col min="13826" max="13826" width="12.375" style="1" customWidth="1"/>
    <col min="13827" max="13827" width="12" style="1" customWidth="1"/>
    <col min="13828" max="14080" width="9" style="1"/>
    <col min="14081" max="14081" width="3.25" style="1" customWidth="1"/>
    <col min="14082" max="14082" width="12.375" style="1" customWidth="1"/>
    <col min="14083" max="14083" width="12" style="1" customWidth="1"/>
    <col min="14084" max="14336" width="9" style="1"/>
    <col min="14337" max="14337" width="3.25" style="1" customWidth="1"/>
    <col min="14338" max="14338" width="12.375" style="1" customWidth="1"/>
    <col min="14339" max="14339" width="12" style="1" customWidth="1"/>
    <col min="14340" max="14592" width="9" style="1"/>
    <col min="14593" max="14593" width="3.25" style="1" customWidth="1"/>
    <col min="14594" max="14594" width="12.375" style="1" customWidth="1"/>
    <col min="14595" max="14595" width="12" style="1" customWidth="1"/>
    <col min="14596" max="14848" width="9" style="1"/>
    <col min="14849" max="14849" width="3.25" style="1" customWidth="1"/>
    <col min="14850" max="14850" width="12.375" style="1" customWidth="1"/>
    <col min="14851" max="14851" width="12" style="1" customWidth="1"/>
    <col min="14852" max="15104" width="9" style="1"/>
    <col min="15105" max="15105" width="3.25" style="1" customWidth="1"/>
    <col min="15106" max="15106" width="12.375" style="1" customWidth="1"/>
    <col min="15107" max="15107" width="12" style="1" customWidth="1"/>
    <col min="15108" max="15360" width="9" style="1"/>
    <col min="15361" max="15361" width="3.25" style="1" customWidth="1"/>
    <col min="15362" max="15362" width="12.375" style="1" customWidth="1"/>
    <col min="15363" max="15363" width="12" style="1" customWidth="1"/>
    <col min="15364" max="15616" width="9" style="1"/>
    <col min="15617" max="15617" width="3.25" style="1" customWidth="1"/>
    <col min="15618" max="15618" width="12.375" style="1" customWidth="1"/>
    <col min="15619" max="15619" width="12" style="1" customWidth="1"/>
    <col min="15620" max="15872" width="9" style="1"/>
    <col min="15873" max="15873" width="3.25" style="1" customWidth="1"/>
    <col min="15874" max="15874" width="12.375" style="1" customWidth="1"/>
    <col min="15875" max="15875" width="12" style="1" customWidth="1"/>
    <col min="15876" max="16128" width="9" style="1"/>
    <col min="16129" max="16129" width="3.25" style="1" customWidth="1"/>
    <col min="16130" max="16130" width="12.375" style="1" customWidth="1"/>
    <col min="16131" max="16131" width="12" style="1" customWidth="1"/>
    <col min="16132" max="16384" width="9" style="1"/>
  </cols>
  <sheetData>
    <row r="1" spans="2:10">
      <c r="B1" s="41" t="s">
        <v>119</v>
      </c>
      <c r="C1" s="41"/>
    </row>
    <row r="3" spans="2:10">
      <c r="B3" s="5" t="s">
        <v>120</v>
      </c>
      <c r="C3" s="11">
        <v>8.6</v>
      </c>
    </row>
    <row r="4" spans="2:10">
      <c r="B4" s="5" t="s">
        <v>121</v>
      </c>
      <c r="C4" s="11">
        <v>6.2</v>
      </c>
      <c r="E4" s="42" t="s">
        <v>122</v>
      </c>
      <c r="F4" s="42"/>
      <c r="G4" s="42"/>
      <c r="H4" s="42"/>
    </row>
    <row r="5" spans="2:10">
      <c r="B5" s="5" t="s">
        <v>123</v>
      </c>
      <c r="C5" s="11">
        <v>9</v>
      </c>
      <c r="E5" s="5" t="s">
        <v>124</v>
      </c>
      <c r="F5" s="5" t="s">
        <v>120</v>
      </c>
      <c r="G5" s="5" t="s">
        <v>121</v>
      </c>
      <c r="H5" s="5" t="s">
        <v>123</v>
      </c>
    </row>
    <row r="6" spans="2:10">
      <c r="B6" s="7" t="s">
        <v>125</v>
      </c>
      <c r="C6" s="11">
        <f>C3*F6+C4*G6+C5*H6</f>
        <v>7.8000000000000007</v>
      </c>
      <c r="E6" s="5" t="s">
        <v>126</v>
      </c>
      <c r="F6" s="17">
        <v>0.2</v>
      </c>
      <c r="G6" s="17">
        <v>0.4</v>
      </c>
      <c r="H6" s="17">
        <v>0.4</v>
      </c>
    </row>
    <row r="8" spans="2:10">
      <c r="D8" s="43" t="s">
        <v>121</v>
      </c>
      <c r="E8" s="43"/>
      <c r="F8" s="43"/>
      <c r="G8" s="43"/>
      <c r="H8" s="43"/>
      <c r="I8" s="43"/>
      <c r="J8" s="43"/>
    </row>
    <row r="9" spans="2:10">
      <c r="C9" s="1">
        <f>C3*F6+C4*G6+C5*H6</f>
        <v>7.8000000000000007</v>
      </c>
      <c r="D9" s="17">
        <v>0.05</v>
      </c>
      <c r="E9" s="17">
        <v>0.1</v>
      </c>
      <c r="F9" s="17">
        <v>0.15</v>
      </c>
      <c r="G9" s="17">
        <v>0.2</v>
      </c>
      <c r="H9" s="17">
        <v>0.25</v>
      </c>
      <c r="I9" s="17">
        <v>0.3</v>
      </c>
      <c r="J9" s="17">
        <v>0.35</v>
      </c>
    </row>
    <row r="10" spans="2:10">
      <c r="B10" s="44" t="s">
        <v>127</v>
      </c>
      <c r="C10" s="17">
        <v>0.05</v>
      </c>
      <c r="D10" s="11">
        <f t="dataTable" ref="D10:J14" dt2D="1" dtr="1" r1="G6" r2="F6"/>
        <v>4.34</v>
      </c>
      <c r="E10" s="11">
        <v>4.6500000000000004</v>
      </c>
      <c r="F10" s="11">
        <v>4.96</v>
      </c>
      <c r="G10" s="11">
        <v>5.2700000000000005</v>
      </c>
      <c r="H10" s="11">
        <v>5.58</v>
      </c>
      <c r="I10" s="11">
        <v>5.8900000000000006</v>
      </c>
      <c r="J10" s="11">
        <v>6.2</v>
      </c>
    </row>
    <row r="11" spans="2:10">
      <c r="B11" s="45"/>
      <c r="C11" s="17">
        <v>0.1</v>
      </c>
      <c r="D11" s="11">
        <v>4.7699999999999996</v>
      </c>
      <c r="E11" s="11">
        <v>5.08</v>
      </c>
      <c r="F11" s="11">
        <v>5.3900000000000006</v>
      </c>
      <c r="G11" s="11">
        <v>5.7</v>
      </c>
      <c r="H11" s="11">
        <v>6.01</v>
      </c>
      <c r="I11" s="11">
        <v>6.32</v>
      </c>
      <c r="J11" s="11">
        <v>6.63</v>
      </c>
    </row>
    <row r="12" spans="2:10">
      <c r="B12" s="45"/>
      <c r="C12" s="17">
        <v>0.15</v>
      </c>
      <c r="D12" s="11">
        <v>5.2</v>
      </c>
      <c r="E12" s="11">
        <v>5.51</v>
      </c>
      <c r="F12" s="11">
        <v>5.82</v>
      </c>
      <c r="G12" s="11">
        <v>6.1300000000000008</v>
      </c>
      <c r="H12" s="11">
        <v>6.4399999999999995</v>
      </c>
      <c r="I12" s="11">
        <v>6.75</v>
      </c>
      <c r="J12" s="11">
        <v>7.0600000000000005</v>
      </c>
    </row>
    <row r="13" spans="2:10">
      <c r="B13" s="45"/>
      <c r="C13" s="17">
        <v>0.2</v>
      </c>
      <c r="D13" s="11">
        <v>5.6300000000000008</v>
      </c>
      <c r="E13" s="11">
        <v>5.9399999999999995</v>
      </c>
      <c r="F13" s="11">
        <v>6.25</v>
      </c>
      <c r="G13" s="11">
        <v>6.5600000000000005</v>
      </c>
      <c r="H13" s="11">
        <v>6.87</v>
      </c>
      <c r="I13" s="11">
        <v>7.18</v>
      </c>
      <c r="J13" s="11">
        <v>7.49</v>
      </c>
    </row>
    <row r="14" spans="2:10">
      <c r="B14" s="45"/>
      <c r="C14" s="17">
        <v>0.25</v>
      </c>
      <c r="D14" s="11">
        <v>6.0600000000000005</v>
      </c>
      <c r="E14" s="11">
        <v>6.37</v>
      </c>
      <c r="F14" s="11">
        <v>6.68</v>
      </c>
      <c r="G14" s="11">
        <v>6.99</v>
      </c>
      <c r="H14" s="11">
        <v>7.3000000000000007</v>
      </c>
      <c r="I14" s="11">
        <v>7.6099999999999994</v>
      </c>
      <c r="J14" s="11">
        <v>7.92</v>
      </c>
    </row>
  </sheetData>
  <dataConsolidate topLabels="1"/>
  <mergeCells count="4">
    <mergeCell ref="B1:C1"/>
    <mergeCell ref="E4:H4"/>
    <mergeCell ref="D8:J8"/>
    <mergeCell ref="B10:B14"/>
  </mergeCells>
  <phoneticPr fontId="3" type="noConversion"/>
  <pageMargins left="0.75" right="0.75" top="1" bottom="1" header="0.5" footer="0.5"/>
  <pageSetup paperSize="9" orientation="portrait" verticalDpi="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1"/>
  <sheetViews>
    <sheetView workbookViewId="0"/>
  </sheetViews>
  <sheetFormatPr defaultRowHeight="16.5"/>
  <cols>
    <col min="1" max="1" width="7.125" style="1" customWidth="1"/>
    <col min="2" max="2" width="11.625" style="1" customWidth="1"/>
    <col min="3" max="3" width="13" style="1" bestFit="1" customWidth="1"/>
    <col min="4" max="4" width="11.125" style="1" bestFit="1" customWidth="1"/>
    <col min="5" max="5" width="10.125" style="1" bestFit="1" customWidth="1"/>
    <col min="6" max="6" width="12.25" style="1" customWidth="1"/>
    <col min="7" max="16384" width="9" style="1"/>
  </cols>
  <sheetData>
    <row r="1" spans="1:4">
      <c r="B1" s="46" t="s">
        <v>128</v>
      </c>
      <c r="C1" s="46"/>
      <c r="D1" s="46"/>
    </row>
    <row r="3" spans="1:4">
      <c r="A3" s="5" t="s">
        <v>129</v>
      </c>
      <c r="B3" s="5" t="s">
        <v>130</v>
      </c>
      <c r="C3" s="5" t="s">
        <v>131</v>
      </c>
      <c r="D3" s="5" t="s">
        <v>132</v>
      </c>
    </row>
    <row r="4" spans="1:4">
      <c r="A4" s="5" t="s">
        <v>133</v>
      </c>
      <c r="B4" s="5" t="s">
        <v>134</v>
      </c>
      <c r="C4" s="5">
        <v>540</v>
      </c>
      <c r="D4" s="5">
        <v>230</v>
      </c>
    </row>
    <row r="5" spans="1:4">
      <c r="A5" s="5" t="s">
        <v>135</v>
      </c>
      <c r="B5" s="5" t="s">
        <v>136</v>
      </c>
      <c r="C5" s="5">
        <v>430</v>
      </c>
      <c r="D5" s="5">
        <v>210</v>
      </c>
    </row>
    <row r="6" spans="1:4">
      <c r="A6" s="5" t="s">
        <v>137</v>
      </c>
      <c r="B6" s="5" t="s">
        <v>138</v>
      </c>
      <c r="C6" s="5">
        <v>120</v>
      </c>
      <c r="D6" s="5">
        <v>180</v>
      </c>
    </row>
    <row r="7" spans="1:4">
      <c r="A7" s="5" t="s">
        <v>139</v>
      </c>
      <c r="B7" s="5" t="s">
        <v>140</v>
      </c>
      <c r="C7" s="5">
        <v>500</v>
      </c>
      <c r="D7" s="5">
        <v>310</v>
      </c>
    </row>
    <row r="8" spans="1:4">
      <c r="A8" s="5" t="s">
        <v>141</v>
      </c>
      <c r="B8" s="5" t="s">
        <v>138</v>
      </c>
      <c r="C8" s="5">
        <v>120</v>
      </c>
      <c r="D8" s="5">
        <v>110</v>
      </c>
    </row>
    <row r="9" spans="1:4">
      <c r="A9" s="5" t="s">
        <v>142</v>
      </c>
      <c r="B9" s="5" t="s">
        <v>136</v>
      </c>
      <c r="C9" s="5">
        <v>480</v>
      </c>
      <c r="D9" s="5">
        <v>310</v>
      </c>
    </row>
    <row r="10" spans="1:4">
      <c r="A10" s="5" t="s">
        <v>143</v>
      </c>
      <c r="B10" s="5" t="s">
        <v>138</v>
      </c>
      <c r="C10" s="5">
        <v>160</v>
      </c>
      <c r="D10" s="5">
        <v>172</v>
      </c>
    </row>
    <row r="11" spans="1:4">
      <c r="A11" s="5" t="s">
        <v>144</v>
      </c>
      <c r="B11" s="5" t="s">
        <v>138</v>
      </c>
      <c r="C11" s="5">
        <v>245</v>
      </c>
      <c r="D11" s="5">
        <v>112</v>
      </c>
    </row>
  </sheetData>
  <mergeCells count="1">
    <mergeCell ref="B1:D1"/>
  </mergeCells>
  <phoneticPr fontId="3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9"/>
  <sheetViews>
    <sheetView workbookViewId="0">
      <selection activeCell="G15" sqref="G15:G16"/>
    </sheetView>
  </sheetViews>
  <sheetFormatPr defaultRowHeight="16.5"/>
  <cols>
    <col min="1" max="16384" width="9" style="1"/>
  </cols>
  <sheetData>
    <row r="1" spans="1:7" ht="19.5">
      <c r="A1" s="18" t="s">
        <v>145</v>
      </c>
      <c r="F1" s="1" t="s">
        <v>194</v>
      </c>
    </row>
    <row r="3" spans="1:7">
      <c r="A3" s="12" t="s">
        <v>146</v>
      </c>
      <c r="B3" s="12" t="s">
        <v>147</v>
      </c>
      <c r="C3" s="12" t="s">
        <v>148</v>
      </c>
      <c r="D3" s="12" t="s">
        <v>149</v>
      </c>
      <c r="E3" s="12"/>
      <c r="G3" s="1" t="s">
        <v>150</v>
      </c>
    </row>
    <row r="4" spans="1:7">
      <c r="A4" s="1" t="s">
        <v>151</v>
      </c>
      <c r="B4" s="1" t="s">
        <v>152</v>
      </c>
      <c r="C4" s="1">
        <v>100</v>
      </c>
      <c r="D4" s="1">
        <v>100</v>
      </c>
      <c r="G4" s="1" t="s">
        <v>153</v>
      </c>
    </row>
    <row r="5" spans="1:7">
      <c r="A5" s="1" t="s">
        <v>154</v>
      </c>
      <c r="B5" s="1" t="s">
        <v>155</v>
      </c>
      <c r="C5" s="1">
        <v>80</v>
      </c>
      <c r="D5" s="1">
        <v>90</v>
      </c>
      <c r="G5" s="1" t="s">
        <v>156</v>
      </c>
    </row>
    <row r="6" spans="1:7">
      <c r="A6" s="1" t="s">
        <v>157</v>
      </c>
      <c r="B6" s="1" t="s">
        <v>158</v>
      </c>
      <c r="C6" s="1">
        <v>88</v>
      </c>
      <c r="D6" s="1">
        <v>92</v>
      </c>
      <c r="G6" s="1" t="s">
        <v>159</v>
      </c>
    </row>
    <row r="7" spans="1:7">
      <c r="G7" s="1" t="s">
        <v>160</v>
      </c>
    </row>
    <row r="8" spans="1:7">
      <c r="G8" s="1" t="s">
        <v>161</v>
      </c>
    </row>
    <row r="9" spans="1:7">
      <c r="G9" s="1" t="s">
        <v>162</v>
      </c>
    </row>
  </sheetData>
  <phoneticPr fontId="3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5</xdr:col>
                <xdr:colOff>171450</xdr:colOff>
                <xdr:row>2</xdr:row>
                <xdr:rowOff>0</xdr:rowOff>
              </from>
              <to>
                <xdr:col>5</xdr:col>
                <xdr:colOff>571500</xdr:colOff>
                <xdr:row>8</xdr:row>
                <xdr:rowOff>114300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'기본작업-3'!Print_Area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2018-08-22T05:02:14Z</cp:lastPrinted>
  <dcterms:created xsi:type="dcterms:W3CDTF">2017-08-30T08:25:00Z</dcterms:created>
  <dcterms:modified xsi:type="dcterms:W3CDTF">2019-09-09T04:36:20Z</dcterms:modified>
</cp:coreProperties>
</file>