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720" yWindow="420" windowWidth="26715" windowHeight="12720"/>
  </bookViews>
  <sheets>
    <sheet name="기본작업-1" sheetId="1" r:id="rId1"/>
    <sheet name="기본작업-2" sheetId="2" r:id="rId2"/>
    <sheet name="기본작업-3" sheetId="8" r:id="rId3"/>
    <sheet name="계산작업" sheetId="3" r:id="rId4"/>
    <sheet name="분석작업-1" sheetId="4" r:id="rId5"/>
    <sheet name="분석작업-2" sheetId="5" r:id="rId6"/>
    <sheet name="기타작업-1" sheetId="6" r:id="rId7"/>
    <sheet name="기타작업-2" sheetId="7" r:id="rId8"/>
  </sheets>
  <functionGroups builtInGroupCount="17"/>
  <definedNames>
    <definedName name="_xlnm._FilterDatabase" localSheetId="1" hidden="1">'기본작업-2'!$A$1:$E$24</definedName>
    <definedName name="_xlnm._FilterDatabase" localSheetId="5" hidden="1">'분석작업-2'!$B$6:$I$31</definedName>
    <definedName name="_xlnm.Criteria" localSheetId="1">'기본작업-2'!$G$15:$H$17</definedName>
    <definedName name="_xlnm.Extract" localSheetId="1">'기본작업-2'!$G$20:$I$20</definedName>
    <definedName name="MS_Access_Database_Query" localSheetId="1">'기본작업-2'!#REF!</definedName>
    <definedName name="_xlnm.Print_Area" localSheetId="1">'기본작업-2'!$A$1:$E$24</definedName>
    <definedName name="_xlnm.Print_Area" localSheetId="2">'기본작업-3'!$A$1:$E$23,'기본작업-3'!$G$1:$J$8</definedName>
    <definedName name="_xlnm.Print_Titles" localSheetId="1">'기본작업-2'!$1:$1</definedName>
  </definedNames>
  <calcPr calcId="145621"/>
  <pivotCaches>
    <pivotCache cacheId="32" r:id="rId9"/>
  </pivotCaches>
</workbook>
</file>

<file path=xl/calcChain.xml><?xml version="1.0" encoding="utf-8"?>
<calcChain xmlns="http://schemas.openxmlformats.org/spreadsheetml/2006/main">
  <c r="F9" i="6" l="1"/>
  <c r="F8" i="6"/>
  <c r="F7" i="6"/>
  <c r="F6" i="6"/>
  <c r="F5" i="6"/>
  <c r="F4" i="6"/>
  <c r="A39" i="3"/>
  <c r="H36" i="3"/>
  <c r="H35" i="3"/>
  <c r="H34" i="3"/>
  <c r="H33" i="3"/>
  <c r="H32" i="3"/>
  <c r="H31" i="3"/>
  <c r="H30" i="3"/>
  <c r="H29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6" i="3" s="1" a="1"/>
  <c r="B6" i="3" s="1"/>
  <c r="B10" i="3"/>
  <c r="C6" i="3" a="1"/>
  <c r="C6" i="3" s="1"/>
  <c r="C5" i="3" a="1"/>
  <c r="C5" i="3" s="1"/>
  <c r="C4" i="3" a="1"/>
  <c r="C4" i="3" s="1"/>
  <c r="I23" i="3"/>
  <c r="I21" i="3"/>
  <c r="I19" i="3"/>
  <c r="I17" i="3"/>
  <c r="I15" i="3"/>
  <c r="I13" i="3"/>
  <c r="I11" i="3"/>
  <c r="I24" i="3"/>
  <c r="I22" i="3"/>
  <c r="I20" i="3"/>
  <c r="I18" i="3"/>
  <c r="I16" i="3"/>
  <c r="I14" i="3"/>
  <c r="I12" i="3"/>
  <c r="I10" i="3"/>
  <c r="B4" i="3" l="1" a="1"/>
  <c r="B4" i="3" s="1"/>
  <c r="B5" i="3" a="1"/>
  <c r="B5" i="3" s="1"/>
</calcChain>
</file>

<file path=xl/sharedStrings.xml><?xml version="1.0" encoding="utf-8"?>
<sst xmlns="http://schemas.openxmlformats.org/spreadsheetml/2006/main" count="629" uniqueCount="328">
  <si>
    <t>제품별 판매현황</t>
    <phoneticPr fontId="5" type="noConversion"/>
  </si>
  <si>
    <t>성명</t>
  </si>
  <si>
    <t>학과명</t>
  </si>
  <si>
    <t>과목명</t>
  </si>
  <si>
    <t>담당교수</t>
  </si>
  <si>
    <t>성적</t>
  </si>
  <si>
    <t>장충태</t>
  </si>
  <si>
    <t>전자공학과</t>
  </si>
  <si>
    <t>전자회로</t>
  </si>
  <si>
    <t>이진철</t>
  </si>
  <si>
    <t>진명훈</t>
  </si>
  <si>
    <t>논리회로</t>
  </si>
  <si>
    <t>박충일</t>
  </si>
  <si>
    <t>최종민</t>
  </si>
  <si>
    <t>심학철</t>
  </si>
  <si>
    <t>박호태</t>
  </si>
  <si>
    <t>물리</t>
  </si>
  <si>
    <t>민병현</t>
  </si>
  <si>
    <t>한가영</t>
  </si>
  <si>
    <t>조인희</t>
  </si>
  <si>
    <t>성명</t>
    <phoneticPr fontId="4" type="noConversion"/>
  </si>
  <si>
    <t>성적</t>
    <phoneticPr fontId="4" type="noConversion"/>
  </si>
  <si>
    <t>김상천</t>
  </si>
  <si>
    <t>김상천</t>
    <phoneticPr fontId="4" type="noConversion"/>
  </si>
  <si>
    <t>장석훈</t>
  </si>
  <si>
    <t>조인희</t>
    <phoneticPr fontId="4" type="noConversion"/>
  </si>
  <si>
    <t>&gt;=90</t>
    <phoneticPr fontId="4" type="noConversion"/>
  </si>
  <si>
    <t>학과명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</si>
  <si>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</si>
  <si>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</si>
  <si>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</si>
  <si>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</si>
  <si>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</si>
  <si>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</si>
  <si>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</si>
  <si>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</si>
  <si>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</si>
  <si>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</si>
  <si>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</si>
  <si>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</si>
  <si>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</si>
  <si>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</si>
  <si>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</si>
  <si>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</si>
  <si>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실적포인트</t>
    <phoneticPr fontId="5" type="noConversion"/>
  </si>
  <si>
    <t>거래빈도</t>
    <phoneticPr fontId="5" type="noConversion"/>
  </si>
  <si>
    <t>비고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</si>
  <si>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</si>
  <si>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</si>
  <si>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</si>
  <si>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</si>
  <si>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</si>
  <si>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</si>
  <si>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</si>
  <si>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</si>
  <si>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강남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</si>
  <si>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</si>
  <si>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</si>
  <si>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</si>
  <si>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</si>
  <si>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서초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</si>
  <si>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</si>
  <si>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</si>
  <si>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</si>
  <si>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</si>
  <si>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종로</t>
    <phoneticPr fontId="5" type="noConversion"/>
  </si>
  <si>
    <t>C118</t>
    <phoneticPr fontId="5" type="noConversion"/>
  </si>
  <si>
    <t>한우규</t>
    <phoneticPr fontId="5" type="noConversion"/>
  </si>
  <si>
    <t>종로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</si>
  <si>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</si>
  <si>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</si>
  <si>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</si>
  <si>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</si>
  <si>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서초</t>
    <phoneticPr fontId="5" type="noConversion"/>
  </si>
  <si>
    <t>C121</t>
  </si>
  <si>
    <t>성유희</t>
    <phoneticPr fontId="5" type="noConversion"/>
  </si>
  <si>
    <t>종로</t>
    <phoneticPr fontId="5" type="noConversion"/>
  </si>
  <si>
    <t>C122</t>
  </si>
  <si>
    <t>강진미</t>
    <phoneticPr fontId="5" type="noConversion"/>
  </si>
  <si>
    <t>서초</t>
    <phoneticPr fontId="5" type="noConversion"/>
  </si>
  <si>
    <t>C123</t>
  </si>
  <si>
    <t>이성범</t>
    <phoneticPr fontId="5" type="noConversion"/>
  </si>
  <si>
    <t>강남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</si>
  <si>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</si>
  <si>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</si>
  <si>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</si>
  <si>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</si>
  <si>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</si>
  <si>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</si>
  <si>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</si>
  <si>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</si>
  <si>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기본급</t>
    <phoneticPr fontId="5" type="noConversion"/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</si>
  <si>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</si>
  <si>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</si>
  <si>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</si>
  <si>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</si>
  <si>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</si>
  <si>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</si>
  <si>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</si>
  <si>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</si>
  <si>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</si>
  <si>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</si>
  <si>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</si>
  <si>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</si>
  <si>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</si>
  <si>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</si>
  <si>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</si>
  <si>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</si>
  <si>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</si>
  <si>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</si>
  <si>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</si>
  <si>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</si>
  <si>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</si>
  <si>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</si>
  <si>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</si>
  <si>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</si>
  <si>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</si>
  <si>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</si>
  <si>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</si>
  <si>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등급</t>
    <phoneticPr fontId="4" type="noConversion"/>
  </si>
  <si>
    <t>경력점수</t>
    <phoneticPr fontId="4" type="noConversion"/>
  </si>
  <si>
    <t>고급반</t>
    <phoneticPr fontId="4" type="noConversion"/>
  </si>
  <si>
    <t>&gt;=5</t>
    <phoneticPr fontId="4" type="noConversion"/>
  </si>
  <si>
    <t>부서</t>
  </si>
  <si>
    <t>이름</t>
  </si>
  <si>
    <t>직위</t>
  </si>
  <si>
    <t>연습1</t>
  </si>
  <si>
    <t>연습2</t>
  </si>
  <si>
    <t>연습3</t>
  </si>
  <si>
    <t>연습4</t>
  </si>
  <si>
    <t>평균점수</t>
  </si>
  <si>
    <t>기획실</t>
  </si>
  <si>
    <t>김세환</t>
  </si>
  <si>
    <t>사원</t>
  </si>
  <si>
    <t>홍보팀</t>
  </si>
  <si>
    <t>황선철</t>
  </si>
  <si>
    <t>유제관</t>
  </si>
  <si>
    <t>과장</t>
  </si>
  <si>
    <t>관리과</t>
  </si>
  <si>
    <t>고수정</t>
  </si>
  <si>
    <t>도경민</t>
  </si>
  <si>
    <t>대리</t>
  </si>
  <si>
    <t>사무처</t>
  </si>
  <si>
    <t>방극준</t>
  </si>
  <si>
    <t>팀장</t>
  </si>
  <si>
    <t>유근선</t>
  </si>
  <si>
    <t>김형섭</t>
  </si>
  <si>
    <t>백준걸</t>
  </si>
  <si>
    <t>김환식</t>
  </si>
  <si>
    <t>노창용</t>
  </si>
  <si>
    <t>이기상</t>
  </si>
  <si>
    <t>이정은</t>
  </si>
  <si>
    <t>김태정</t>
  </si>
  <si>
    <t>구현서</t>
  </si>
  <si>
    <t>양정회</t>
  </si>
  <si>
    <t>박영훈</t>
  </si>
  <si>
    <t>유응구</t>
  </si>
  <si>
    <t>최연화</t>
  </si>
  <si>
    <t>정태은</t>
  </si>
  <si>
    <t>전광일</t>
  </si>
  <si>
    <t>강문상</t>
  </si>
  <si>
    <t>김경화</t>
  </si>
  <si>
    <t>최준기</t>
  </si>
  <si>
    <t>이나영</t>
  </si>
  <si>
    <t>아시안게임 메달집계</t>
    <phoneticPr fontId="5" type="noConversion"/>
  </si>
  <si>
    <t>순위</t>
    <phoneticPr fontId="5" type="noConversion"/>
  </si>
  <si>
    <t>국가명</t>
    <phoneticPr fontId="5" type="noConversion"/>
  </si>
  <si>
    <t>금메달</t>
    <phoneticPr fontId="5" type="noConversion"/>
  </si>
  <si>
    <t>은메달</t>
    <phoneticPr fontId="5" type="noConversion"/>
  </si>
  <si>
    <t>동메달</t>
    <phoneticPr fontId="5" type="noConversion"/>
  </si>
  <si>
    <t>합계</t>
    <phoneticPr fontId="5" type="noConversion"/>
  </si>
  <si>
    <t>중국</t>
    <phoneticPr fontId="5" type="noConversion"/>
  </si>
  <si>
    <t>한국</t>
    <phoneticPr fontId="5" type="noConversion"/>
  </si>
  <si>
    <t>일본</t>
    <phoneticPr fontId="5" type="noConversion"/>
  </si>
  <si>
    <t>싱가포르</t>
    <phoneticPr fontId="5" type="noConversion"/>
  </si>
  <si>
    <t>북한</t>
    <phoneticPr fontId="5" type="noConversion"/>
  </si>
  <si>
    <t>인도네시아</t>
    <phoneticPr fontId="5" type="noConversion"/>
  </si>
  <si>
    <t>회원명부</t>
    <phoneticPr fontId="5" type="noConversion"/>
  </si>
  <si>
    <t>회원명</t>
    <phoneticPr fontId="5" type="noConversion"/>
  </si>
  <si>
    <t>주소</t>
    <phoneticPr fontId="5" type="noConversion"/>
  </si>
  <si>
    <t>전화번호</t>
    <phoneticPr fontId="5" type="noConversion"/>
  </si>
  <si>
    <t>등급</t>
    <phoneticPr fontId="5" type="noConversion"/>
  </si>
  <si>
    <t>김일번</t>
  </si>
  <si>
    <t>안양</t>
    <phoneticPr fontId="5" type="noConversion"/>
  </si>
  <si>
    <t>111-1111</t>
  </si>
  <si>
    <t>정회원</t>
  </si>
  <si>
    <t>김일번</t>
    <phoneticPr fontId="5" type="noConversion"/>
  </si>
  <si>
    <t>박이번</t>
  </si>
  <si>
    <t>서울</t>
    <phoneticPr fontId="5" type="noConversion"/>
  </si>
  <si>
    <t>222-2222</t>
  </si>
  <si>
    <t>준회원</t>
  </si>
  <si>
    <t>박이번</t>
    <phoneticPr fontId="5" type="noConversion"/>
  </si>
  <si>
    <t>최삼번</t>
  </si>
  <si>
    <t>수원</t>
    <phoneticPr fontId="5" type="noConversion"/>
  </si>
  <si>
    <t>333-3333</t>
  </si>
  <si>
    <t>최삼번</t>
    <phoneticPr fontId="5" type="noConversion"/>
  </si>
  <si>
    <t>이사번</t>
  </si>
  <si>
    <t>시흥</t>
    <phoneticPr fontId="5" type="noConversion"/>
  </si>
  <si>
    <t>444-4444</t>
  </si>
  <si>
    <t>이사번</t>
    <phoneticPr fontId="5" type="noConversion"/>
  </si>
  <si>
    <t>고오번</t>
    <phoneticPr fontId="5" type="noConversion"/>
  </si>
  <si>
    <t>성남</t>
    <phoneticPr fontId="5" type="noConversion"/>
  </si>
  <si>
    <t>순번</t>
  </si>
  <si>
    <t>제품명</t>
  </si>
  <si>
    <t>대리점</t>
  </si>
  <si>
    <t>판매요일</t>
  </si>
  <si>
    <t>단가</t>
  </si>
  <si>
    <t>판매량</t>
  </si>
  <si>
    <t>총매출</t>
  </si>
  <si>
    <t>2003-053</t>
  </si>
  <si>
    <t>TV</t>
  </si>
  <si>
    <t>동대문구</t>
  </si>
  <si>
    <t>수요일</t>
  </si>
  <si>
    <t>2003-045</t>
  </si>
  <si>
    <t>AUD</t>
  </si>
  <si>
    <t>화요일</t>
  </si>
  <si>
    <t>2003-017</t>
  </si>
  <si>
    <t>동작구</t>
  </si>
  <si>
    <t>2003-008</t>
  </si>
  <si>
    <t>월요일</t>
  </si>
  <si>
    <t>2003-028</t>
  </si>
  <si>
    <t>마포구</t>
  </si>
  <si>
    <t>2003-058</t>
  </si>
  <si>
    <t>서초구</t>
  </si>
  <si>
    <t>2003-014</t>
  </si>
  <si>
    <t>2003-032</t>
  </si>
  <si>
    <t>성동구</t>
  </si>
  <si>
    <t>일요일</t>
  </si>
  <si>
    <t>2003-047</t>
  </si>
  <si>
    <t>2003-011</t>
  </si>
  <si>
    <t>양천구</t>
  </si>
  <si>
    <t>2003-019</t>
  </si>
  <si>
    <t>2003-049</t>
  </si>
  <si>
    <t>종로구</t>
  </si>
  <si>
    <t>2003-034</t>
  </si>
  <si>
    <t>근무팀</t>
  </si>
  <si>
    <t>기본급</t>
  </si>
  <si>
    <t>식대</t>
  </si>
  <si>
    <t>교통비</t>
  </si>
  <si>
    <t>차량보조금</t>
  </si>
  <si>
    <t>급여 총액</t>
  </si>
  <si>
    <t>김용철</t>
  </si>
  <si>
    <t>총무팀</t>
  </si>
  <si>
    <t>정용기</t>
  </si>
  <si>
    <t>허선도</t>
  </si>
  <si>
    <t>박정우</t>
  </si>
  <si>
    <t>영업팀</t>
  </si>
  <si>
    <t>정창욱</t>
  </si>
  <si>
    <t>김동구</t>
  </si>
  <si>
    <t>조용길</t>
  </si>
  <si>
    <t>R/D팀</t>
  </si>
  <si>
    <t>노준조</t>
  </si>
  <si>
    <t>부장</t>
  </si>
  <si>
    <t>김사현</t>
  </si>
  <si>
    <t>김정우</t>
  </si>
  <si>
    <t>김지훈</t>
  </si>
  <si>
    <t>정노천</t>
  </si>
  <si>
    <t>이홍기</t>
  </si>
  <si>
    <t>황채명</t>
  </si>
  <si>
    <t>신종갑</t>
  </si>
  <si>
    <t>남동수</t>
  </si>
  <si>
    <t>박찬석</t>
  </si>
  <si>
    <t>기술팀</t>
  </si>
  <si>
    <t>김인철</t>
  </si>
  <si>
    <t>김종진</t>
  </si>
  <si>
    <t>박이호</t>
  </si>
  <si>
    <t>박한식</t>
  </si>
  <si>
    <t>강애연</t>
  </si>
  <si>
    <t>차장</t>
  </si>
  <si>
    <t>유상재</t>
  </si>
  <si>
    <t>오문규</t>
  </si>
  <si>
    <t>김재웅</t>
  </si>
  <si>
    <t>오진영</t>
  </si>
  <si>
    <t>김규한</t>
  </si>
  <si>
    <t>박득우</t>
  </si>
  <si>
    <t>안석준</t>
  </si>
  <si>
    <t>김용곤</t>
  </si>
  <si>
    <t>강충기</t>
  </si>
  <si>
    <t>강상일</t>
  </si>
  <si>
    <t>이수영</t>
  </si>
  <si>
    <t>김수정</t>
  </si>
  <si>
    <t>박중태</t>
  </si>
  <si>
    <t>신점기</t>
  </si>
  <si>
    <t>박한얼</t>
  </si>
  <si>
    <t>홍종현</t>
  </si>
  <si>
    <t>이유석</t>
  </si>
  <si>
    <t>최준호</t>
  </si>
  <si>
    <t>서지연</t>
  </si>
  <si>
    <t xml:space="preserve">한상수 </t>
  </si>
  <si>
    <t>임정호</t>
  </si>
  <si>
    <t>김병철</t>
  </si>
  <si>
    <t>이장호</t>
  </si>
  <si>
    <t>김영석</t>
  </si>
  <si>
    <t>김한나</t>
  </si>
  <si>
    <t>김호진</t>
  </si>
  <si>
    <t>윤정덕</t>
  </si>
  <si>
    <t>최지원</t>
  </si>
  <si>
    <t>박민정</t>
  </si>
  <si>
    <t>조규영</t>
  </si>
  <si>
    <t>레코드</t>
  </si>
  <si>
    <t>(모두)</t>
  </si>
  <si>
    <t>열 레이블</t>
  </si>
  <si>
    <t>총합계</t>
  </si>
  <si>
    <t>행 레이블</t>
  </si>
  <si>
    <t>평균 : 기본급</t>
  </si>
  <si>
    <t>서울 고궁 입장객 현황</t>
    <phoneticPr fontId="4" type="noConversion"/>
  </si>
  <si>
    <t>서울 고궁 평균 입장객 수</t>
    <phoneticPr fontId="4" type="noConversion"/>
  </si>
  <si>
    <t>월</t>
    <phoneticPr fontId="4" type="noConversion"/>
  </si>
  <si>
    <t>고궁명</t>
    <phoneticPr fontId="4" type="noConversion"/>
  </si>
  <si>
    <t>성인</t>
    <phoneticPr fontId="4" type="noConversion"/>
  </si>
  <si>
    <t>청소년</t>
    <phoneticPr fontId="4" type="noConversion"/>
  </si>
  <si>
    <t>어린이</t>
    <phoneticPr fontId="4" type="noConversion"/>
  </si>
  <si>
    <t>청소년</t>
    <phoneticPr fontId="4" type="noConversion"/>
  </si>
  <si>
    <t>1월</t>
    <phoneticPr fontId="4" type="noConversion"/>
  </si>
  <si>
    <t>경복궁</t>
    <phoneticPr fontId="4" type="noConversion"/>
  </si>
  <si>
    <t>경복궁</t>
    <phoneticPr fontId="4" type="noConversion"/>
  </si>
  <si>
    <t>창경궁</t>
    <phoneticPr fontId="4" type="noConversion"/>
  </si>
  <si>
    <t>덕수궁</t>
    <phoneticPr fontId="4" type="noConversion"/>
  </si>
  <si>
    <t>덕수궁</t>
    <phoneticPr fontId="4" type="noConversion"/>
  </si>
  <si>
    <t>창덕궁</t>
    <phoneticPr fontId="4" type="noConversion"/>
  </si>
  <si>
    <t>창덕궁</t>
    <phoneticPr fontId="4" type="noConversion"/>
  </si>
  <si>
    <t>운형궁</t>
    <phoneticPr fontId="4" type="noConversion"/>
  </si>
  <si>
    <t>2월</t>
    <phoneticPr fontId="4" type="noConversion"/>
  </si>
  <si>
    <t>경복궁</t>
    <phoneticPr fontId="4" type="noConversion"/>
  </si>
  <si>
    <t>창경궁</t>
    <phoneticPr fontId="4" type="noConversion"/>
  </si>
  <si>
    <t>덕수궁</t>
    <phoneticPr fontId="4" type="noConversion"/>
  </si>
  <si>
    <t>3월</t>
    <phoneticPr fontId="4" type="noConversion"/>
  </si>
  <si>
    <t>4월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</si>
</sst>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#,###&quot;원&quot;"/>
  </numFmts>
  <fonts count="13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3"/>
      <name val="맑은 고딕"/>
      <family val="3"/>
      <charset val="129"/>
      <scheme val="maj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  <xf numFmtId="41" fontId="11" fillId="0" borderId="0" applyFon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0" borderId="0" xfId="1" applyFont="1" applyAlignment="1">
      <alignment vertical="top"/>
    </xf>
    <xf numFmtId="0" fontId="3" fillId="2" borderId="0" xfId="1" applyFont="1" applyFill="1"/>
    <xf numFmtId="0" fontId="3" fillId="0" borderId="0" xfId="1" applyFont="1"/>
    <xf numFmtId="0" fontId="3" fillId="2" borderId="2" xfId="1" applyFont="1" applyFill="1" applyBorder="1" applyAlignment="1">
      <alignment horizontal="center"/>
    </xf>
    <xf numFmtId="0" fontId="3" fillId="0" borderId="2" xfId="1" applyFont="1" applyBorder="1" applyAlignment="1">
      <alignment horizontal="center"/>
    </xf>
    <xf numFmtId="41" fontId="3" fillId="0" borderId="2" xfId="2" applyFont="1" applyBorder="1"/>
    <xf numFmtId="0" fontId="3" fillId="0" borderId="0" xfId="1" applyFont="1" applyFill="1" applyBorder="1"/>
    <xf numFmtId="0" fontId="3" fillId="0" borderId="4" xfId="1" applyFont="1" applyBorder="1" applyAlignment="1">
      <alignment horizontal="left"/>
    </xf>
    <xf numFmtId="0" fontId="3" fillId="0" borderId="4" xfId="1" applyFont="1" applyBorder="1" applyAlignment="1">
      <alignment horizontal="center"/>
    </xf>
    <xf numFmtId="0" fontId="3" fillId="0" borderId="0" xfId="1" applyFont="1" applyBorder="1"/>
    <xf numFmtId="42" fontId="3" fillId="0" borderId="2" xfId="3" applyFont="1" applyBorder="1"/>
    <xf numFmtId="176" fontId="3" fillId="0" borderId="2" xfId="4" applyNumberFormat="1" applyFont="1" applyBorder="1" applyAlignment="1">
      <alignment horizontal="center"/>
    </xf>
    <xf numFmtId="41" fontId="3" fillId="0" borderId="2" xfId="2" applyFont="1" applyBorder="1" applyAlignment="1">
      <alignment horizontal="center"/>
    </xf>
    <xf numFmtId="0" fontId="3" fillId="0" borderId="2" xfId="1" applyFont="1" applyBorder="1"/>
    <xf numFmtId="0" fontId="3" fillId="0" borderId="2" xfId="1" applyNumberFormat="1" applyFont="1" applyBorder="1" applyAlignment="1">
      <alignment horizontal="center"/>
    </xf>
    <xf numFmtId="9" fontId="3" fillId="0" borderId="2" xfId="1" applyNumberFormat="1" applyFont="1" applyBorder="1" applyAlignment="1">
      <alignment horizontal="center"/>
    </xf>
    <xf numFmtId="41" fontId="3" fillId="0" borderId="0" xfId="1" applyNumberFormat="1" applyFont="1"/>
    <xf numFmtId="0" fontId="3" fillId="0" borderId="2" xfId="1" applyFont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/>
    </xf>
    <xf numFmtId="0" fontId="6" fillId="0" borderId="2" xfId="2" applyNumberFormat="1" applyFont="1" applyBorder="1" applyAlignment="1">
      <alignment vertical="center"/>
    </xf>
    <xf numFmtId="1" fontId="6" fillId="0" borderId="2" xfId="2" applyNumberFormat="1" applyFont="1" applyBorder="1" applyAlignment="1">
      <alignment vertical="center"/>
    </xf>
    <xf numFmtId="0" fontId="7" fillId="0" borderId="0" xfId="1" applyFont="1"/>
    <xf numFmtId="0" fontId="3" fillId="3" borderId="5" xfId="1" applyFont="1" applyFill="1" applyBorder="1" applyAlignment="1">
      <alignment horizontal="center"/>
    </xf>
    <xf numFmtId="0" fontId="3" fillId="0" borderId="6" xfId="1" applyFont="1" applyFill="1" applyBorder="1" applyAlignment="1">
      <alignment horizontal="center"/>
    </xf>
    <xf numFmtId="0" fontId="3" fillId="0" borderId="7" xfId="1" applyFont="1" applyFill="1" applyBorder="1" applyAlignment="1">
      <alignment horizontal="center"/>
    </xf>
    <xf numFmtId="0" fontId="3" fillId="3" borderId="8" xfId="1" applyFont="1" applyFill="1" applyBorder="1"/>
    <xf numFmtId="0" fontId="3" fillId="0" borderId="9" xfId="1" applyFont="1" applyBorder="1"/>
    <xf numFmtId="0" fontId="3" fillId="3" borderId="10" xfId="1" applyFont="1" applyFill="1" applyBorder="1"/>
    <xf numFmtId="0" fontId="3" fillId="0" borderId="11" xfId="1" applyFont="1" applyBorder="1"/>
    <xf numFmtId="0" fontId="3" fillId="0" borderId="12" xfId="1" applyFont="1" applyBorder="1"/>
    <xf numFmtId="0" fontId="8" fillId="0" borderId="0" xfId="1" applyFont="1"/>
    <xf numFmtId="0" fontId="3" fillId="0" borderId="0" xfId="1" applyFont="1" applyAlignment="1">
      <alignment horizontal="center"/>
    </xf>
    <xf numFmtId="0" fontId="3" fillId="0" borderId="0" xfId="1" applyFont="1" applyAlignment="1">
      <alignment vertical="center"/>
    </xf>
    <xf numFmtId="0" fontId="0" fillId="5" borderId="13" xfId="0" applyFont="1" applyFill="1" applyBorder="1">
      <alignment vertical="center"/>
    </xf>
    <xf numFmtId="0" fontId="0" fillId="5" borderId="14" xfId="0" applyFont="1" applyFill="1" applyBorder="1">
      <alignment vertical="center"/>
    </xf>
    <xf numFmtId="0" fontId="0" fillId="5" borderId="15" xfId="0" applyFont="1" applyFill="1" applyBorder="1">
      <alignment vertical="center"/>
    </xf>
    <xf numFmtId="0" fontId="1" fillId="4" borderId="16" xfId="0" applyFont="1" applyFill="1" applyBorder="1">
      <alignment vertical="center"/>
    </xf>
    <xf numFmtId="0" fontId="1" fillId="4" borderId="17" xfId="0" applyFont="1" applyFill="1" applyBorder="1">
      <alignment vertical="center"/>
    </xf>
    <xf numFmtId="0" fontId="1" fillId="4" borderId="18" xfId="0" applyFont="1" applyFill="1" applyBorder="1">
      <alignment vertical="center"/>
    </xf>
    <xf numFmtId="0" fontId="0" fillId="5" borderId="16" xfId="0" applyFont="1" applyFill="1" applyBorder="1">
      <alignment vertical="center"/>
    </xf>
    <xf numFmtId="0" fontId="0" fillId="5" borderId="17" xfId="0" applyFont="1" applyFill="1" applyBorder="1">
      <alignment vertical="center"/>
    </xf>
    <xf numFmtId="0" fontId="0" fillId="5" borderId="18" xfId="0" applyFont="1" applyFill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Font="1" applyBorder="1">
      <alignment vertical="center"/>
    </xf>
    <xf numFmtId="0" fontId="0" fillId="0" borderId="18" xfId="0" applyFont="1" applyBorder="1">
      <alignment vertical="center"/>
    </xf>
    <xf numFmtId="0" fontId="9" fillId="6" borderId="19" xfId="5" applyFont="1" applyFill="1" applyBorder="1" applyAlignment="1">
      <alignment horizontal="center"/>
    </xf>
    <xf numFmtId="0" fontId="9" fillId="0" borderId="20" xfId="5" applyFont="1" applyFill="1" applyBorder="1" applyAlignment="1">
      <alignment horizontal="right" wrapText="1"/>
    </xf>
    <xf numFmtId="0" fontId="9" fillId="0" borderId="20" xfId="5" applyFont="1" applyFill="1" applyBorder="1" applyAlignment="1">
      <alignment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1" fontId="0" fillId="0" borderId="2" xfId="6" applyFont="1" applyBorder="1" applyAlignment="1">
      <alignment horizontal="center" vertical="center"/>
    </xf>
    <xf numFmtId="41" fontId="0" fillId="0" borderId="2" xfId="6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3" fillId="0" borderId="3" xfId="1" applyFont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/>
    </xf>
  </cellXfs>
  <cellStyles count="7">
    <cellStyle name="백분율 2" xfId="4"/>
    <cellStyle name="쉼표 [0]" xfId="6" builtinId="6"/>
    <cellStyle name="쉼표 [0] 2" xfId="2"/>
    <cellStyle name="통화 [0] 2" xfId="3"/>
    <cellStyle name="표준" xfId="0" builtinId="0"/>
    <cellStyle name="표준 2" xfId="1"/>
    <cellStyle name="표준_분석작업-1" xfId="5"/>
  </cellStyles>
  <dxfs count="1">
    <dxf>
      <font>
        <b/>
        <i/>
        <u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 u="sng">
              <a:latin typeface="궁서체" panose="02030609000101010101" pitchFamily="17" charset="-127"/>
              <a:ea typeface="궁서체" panose="02030609000101010101" pitchFamily="17" charset="-127"/>
            </a:defRPr>
          </a:pPr>
          <a:endParaRPr lang="ko-KR"/>
        </a:p>
      </c:txPr>
    </c:title>
    <c:autoTitleDeleted val="0"/>
    <c:view3D>
      <c:rotX val="15"/>
      <c:rotY val="0"/>
      <c:rAngAx val="0"/>
      <c:perspective val="2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dPt>
            <c:idx val="1"/>
            <c:bubble3D val="0"/>
            <c:explosion val="22"/>
          </c:dPt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  <c:pt idx="5">
                  <c:v>인도네시아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39</c:v>
                </c:pt>
                <c:pt idx="1">
                  <c:v>32</c:v>
                </c:pt>
                <c:pt idx="2">
                  <c:v>28</c:v>
                </c:pt>
                <c:pt idx="3">
                  <c:v>16</c:v>
                </c:pt>
                <c:pt idx="4">
                  <c:v>14</c:v>
                </c:pt>
                <c:pt idx="5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[0]!우수팀장보기" textlink="">
      <xdr:nvSpPr>
        <xdr:cNvPr id="2" name="직사각형 1"/>
        <xdr:cNvSpPr/>
      </xdr:nvSpPr>
      <xdr:spPr>
        <a:xfrm>
          <a:off x="5762625" y="209550"/>
          <a:ext cx="10287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우수팀장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</xdr:col>
      <xdr:colOff>9525</xdr:colOff>
      <xdr:row>0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19050" y="0"/>
          <a:ext cx="676275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순이익금</a:t>
          </a:r>
        </a:p>
      </xdr:txBody>
    </xdr:sp>
    <xdr:clientData/>
  </xdr:twoCellAnchor>
  <xdr:twoCellAnchor>
    <xdr:from>
      <xdr:col>1</xdr:col>
      <xdr:colOff>28575</xdr:colOff>
      <xdr:row>0</xdr:row>
      <xdr:rowOff>0</xdr:rowOff>
    </xdr:from>
    <xdr:to>
      <xdr:col>1</xdr:col>
      <xdr:colOff>752475</xdr:colOff>
      <xdr:row>0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714375" y="0"/>
          <a:ext cx="723900" cy="0"/>
        </a:xfrm>
        <a:prstGeom prst="wave">
          <a:avLst>
            <a:gd name="adj1" fmla="val 13005"/>
            <a:gd name="adj2" fmla="val 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통화표시</a:t>
          </a:r>
        </a:p>
      </xdr:txBody>
    </xdr:sp>
    <xdr:clientData/>
  </xdr:twoCellAnchor>
  <xdr:twoCellAnchor>
    <xdr:from>
      <xdr:col>0</xdr:col>
      <xdr:colOff>19050</xdr:colOff>
      <xdr:row>0</xdr:row>
      <xdr:rowOff>0</xdr:rowOff>
    </xdr:from>
    <xdr:to>
      <xdr:col>1</xdr:col>
      <xdr:colOff>9525</xdr:colOff>
      <xdr:row>0</xdr:row>
      <xdr:rowOff>0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19050" y="0"/>
          <a:ext cx="676275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순이익금</a:t>
          </a:r>
        </a:p>
      </xdr:txBody>
    </xdr:sp>
    <xdr:clientData/>
  </xdr:twoCellAnchor>
  <xdr:twoCellAnchor>
    <xdr:from>
      <xdr:col>1</xdr:col>
      <xdr:colOff>28575</xdr:colOff>
      <xdr:row>0</xdr:row>
      <xdr:rowOff>0</xdr:rowOff>
    </xdr:from>
    <xdr:to>
      <xdr:col>1</xdr:col>
      <xdr:colOff>752475</xdr:colOff>
      <xdr:row>0</xdr:row>
      <xdr:rowOff>0</xdr:rowOff>
    </xdr:to>
    <xdr:sp macro="" textlink="">
      <xdr:nvSpPr>
        <xdr:cNvPr id="5" name="AutoShape 5"/>
        <xdr:cNvSpPr>
          <a:spLocks noChangeArrowheads="1"/>
        </xdr:cNvSpPr>
      </xdr:nvSpPr>
      <xdr:spPr bwMode="auto">
        <a:xfrm>
          <a:off x="714375" y="0"/>
          <a:ext cx="723900" cy="0"/>
        </a:xfrm>
        <a:prstGeom prst="wave">
          <a:avLst>
            <a:gd name="adj1" fmla="val 13005"/>
            <a:gd name="adj2" fmla="val 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통화표시</a:t>
          </a: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104775</xdr:rowOff>
        </xdr:from>
        <xdr:to>
          <xdr:col>4</xdr:col>
          <xdr:colOff>542925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795990625003" createdVersion="4" refreshedVersion="4" minRefreshableVersion="3" recordCount="53">
  <cacheSource type="worksheet">
    <worksheetSource ref="A1:H54" sheet="분석작업-1"/>
  </cacheSource>
  <cacheFields count="8">
    <cacheField name="성명" numFmtId="0">
      <sharedItems count="53">
        <s v="김용철"/>
        <s v="정용기"/>
        <s v="허선도"/>
        <s v="박정우"/>
        <s v="정창욱"/>
        <s v="김동구"/>
        <s v="조용길"/>
        <s v="노준조"/>
        <s v="김사현"/>
        <s v="김정우"/>
        <s v="김지훈"/>
        <s v="정노천"/>
        <s v="이홍기"/>
        <s v="황채명"/>
        <s v="신종갑"/>
        <s v="남동수"/>
        <s v="박찬석"/>
        <s v="김인철"/>
        <s v="김종진"/>
        <s v="박이호"/>
        <s v="박한식"/>
        <s v="강애연"/>
        <s v="유상재"/>
        <s v="오문규"/>
        <s v="김재웅"/>
        <s v="오진영"/>
        <s v="김규한"/>
        <s v="박득우"/>
        <s v="안석준"/>
        <s v="김용곤"/>
        <s v="강충기"/>
        <s v="강상일"/>
        <s v="이수영"/>
        <s v="김수정"/>
        <s v="박중태"/>
        <s v="신점기"/>
        <s v="박한얼"/>
        <s v="홍종현"/>
        <s v="이유석"/>
        <s v="최준호"/>
        <s v="서지연"/>
        <s v="한상수 "/>
        <s v="임정호"/>
        <s v="김병철"/>
        <s v="이장호"/>
        <s v="김영석"/>
        <s v="김한나"/>
        <s v="김호진"/>
        <s v="윤정덕"/>
        <s v="최지원"/>
        <s v="박민정"/>
        <s v="조규영"/>
        <s v="레코드"/>
      </sharedItems>
    </cacheField>
    <cacheField name="근무팀" numFmtId="0">
      <sharedItems count="4">
        <s v="총무팀"/>
        <s v="영업팀"/>
        <s v="R/D팀"/>
        <s v="기술팀"/>
      </sharedItems>
    </cacheField>
    <cacheField name="직위" numFmtId="0">
      <sharedItems count="5">
        <s v="과장"/>
        <s v="대리"/>
        <s v="부장"/>
        <s v="사원"/>
        <s v="차장"/>
      </sharedItems>
    </cacheField>
    <cacheField name="기본급" numFmtId="0">
      <sharedItems containsSemiMixedTypes="0" containsString="0" containsNumber="1" containsInteger="1" minValue="633400" maxValue="3092900"/>
    </cacheField>
    <cacheField name="식대" numFmtId="0">
      <sharedItems containsSemiMixedTypes="0" containsString="0" containsNumber="1" containsInteger="1" minValue="100000" maxValue="100000"/>
    </cacheField>
    <cacheField name="교통비" numFmtId="0">
      <sharedItems containsSemiMixedTypes="0" containsString="0" containsNumber="1" containsInteger="1" minValue="0" maxValue="70000"/>
    </cacheField>
    <cacheField name="차량보조금" numFmtId="0">
      <sharedItems containsSemiMixedTypes="0" containsString="0" containsNumber="1" containsInteger="1" minValue="0" maxValue="300000"/>
    </cacheField>
    <cacheField name="급여 총액" numFmtId="0">
      <sharedItems containsSemiMixedTypes="0" containsString="0" containsNumber="1" containsInteger="1" minValue="803400" maxValue="3492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x v="0"/>
    <x v="0"/>
    <x v="0"/>
    <n v="1743700"/>
    <n v="100000"/>
    <n v="0"/>
    <n v="300000"/>
    <n v="2143700"/>
  </r>
  <r>
    <x v="1"/>
    <x v="0"/>
    <x v="1"/>
    <n v="1280000"/>
    <n v="100000"/>
    <n v="70000"/>
    <n v="0"/>
    <n v="1450000"/>
  </r>
  <r>
    <x v="2"/>
    <x v="0"/>
    <x v="1"/>
    <n v="1280000"/>
    <n v="100000"/>
    <n v="70000"/>
    <n v="0"/>
    <n v="1450000"/>
  </r>
  <r>
    <x v="3"/>
    <x v="1"/>
    <x v="1"/>
    <n v="1020000"/>
    <n v="100000"/>
    <n v="70000"/>
    <n v="0"/>
    <n v="1190000"/>
  </r>
  <r>
    <x v="4"/>
    <x v="1"/>
    <x v="0"/>
    <n v="1793700"/>
    <n v="100000"/>
    <n v="0"/>
    <n v="300000"/>
    <n v="2193700"/>
  </r>
  <r>
    <x v="5"/>
    <x v="1"/>
    <x v="1"/>
    <n v="1020000"/>
    <n v="100000"/>
    <n v="70000"/>
    <n v="0"/>
    <n v="1190000"/>
  </r>
  <r>
    <x v="6"/>
    <x v="2"/>
    <x v="0"/>
    <n v="1388900"/>
    <n v="100000"/>
    <n v="0"/>
    <n v="300000"/>
    <n v="1788900"/>
  </r>
  <r>
    <x v="7"/>
    <x v="2"/>
    <x v="2"/>
    <n v="2768100"/>
    <n v="100000"/>
    <n v="0"/>
    <n v="300000"/>
    <n v="3168100"/>
  </r>
  <r>
    <x v="8"/>
    <x v="0"/>
    <x v="0"/>
    <n v="1428900"/>
    <n v="100000"/>
    <n v="0"/>
    <n v="300000"/>
    <n v="1828900"/>
  </r>
  <r>
    <x v="9"/>
    <x v="0"/>
    <x v="0"/>
    <n v="1428900"/>
    <n v="100000"/>
    <n v="0"/>
    <n v="300000"/>
    <n v="1828900"/>
  </r>
  <r>
    <x v="10"/>
    <x v="0"/>
    <x v="2"/>
    <n v="3002900"/>
    <n v="100000"/>
    <n v="0"/>
    <n v="300000"/>
    <n v="3402900"/>
  </r>
  <r>
    <x v="11"/>
    <x v="1"/>
    <x v="0"/>
    <n v="1468900"/>
    <n v="100000"/>
    <n v="0"/>
    <n v="300000"/>
    <n v="1868900"/>
  </r>
  <r>
    <x v="12"/>
    <x v="1"/>
    <x v="0"/>
    <n v="1468900"/>
    <n v="100000"/>
    <n v="0"/>
    <n v="300000"/>
    <n v="1868900"/>
  </r>
  <r>
    <x v="13"/>
    <x v="1"/>
    <x v="0"/>
    <n v="1468900"/>
    <n v="100000"/>
    <n v="0"/>
    <n v="300000"/>
    <n v="1868900"/>
  </r>
  <r>
    <x v="14"/>
    <x v="2"/>
    <x v="3"/>
    <n v="845200"/>
    <n v="100000"/>
    <n v="70000"/>
    <n v="0"/>
    <n v="1015200"/>
  </r>
  <r>
    <x v="15"/>
    <x v="2"/>
    <x v="3"/>
    <n v="845200"/>
    <n v="100000"/>
    <n v="70000"/>
    <n v="0"/>
    <n v="1015200"/>
  </r>
  <r>
    <x v="16"/>
    <x v="3"/>
    <x v="1"/>
    <n v="1020000"/>
    <n v="100000"/>
    <n v="70000"/>
    <n v="0"/>
    <n v="1190000"/>
  </r>
  <r>
    <x v="17"/>
    <x v="3"/>
    <x v="1"/>
    <n v="798900"/>
    <n v="100000"/>
    <n v="70000"/>
    <n v="0"/>
    <n v="968900"/>
  </r>
  <r>
    <x v="18"/>
    <x v="1"/>
    <x v="3"/>
    <n v="766300"/>
    <n v="100000"/>
    <n v="70000"/>
    <n v="0"/>
    <n v="936300"/>
  </r>
  <r>
    <x v="19"/>
    <x v="1"/>
    <x v="1"/>
    <n v="1250000"/>
    <n v="100000"/>
    <n v="70000"/>
    <n v="0"/>
    <n v="1420000"/>
  </r>
  <r>
    <x v="20"/>
    <x v="1"/>
    <x v="3"/>
    <n v="766300"/>
    <n v="100000"/>
    <n v="70000"/>
    <n v="0"/>
    <n v="936300"/>
  </r>
  <r>
    <x v="21"/>
    <x v="3"/>
    <x v="4"/>
    <n v="2303300"/>
    <n v="100000"/>
    <n v="0"/>
    <n v="300000"/>
    <n v="2703300"/>
  </r>
  <r>
    <x v="22"/>
    <x v="1"/>
    <x v="3"/>
    <n v="766300"/>
    <n v="100000"/>
    <n v="70000"/>
    <n v="0"/>
    <n v="936300"/>
  </r>
  <r>
    <x v="23"/>
    <x v="1"/>
    <x v="2"/>
    <n v="2608100"/>
    <n v="100000"/>
    <n v="0"/>
    <n v="300000"/>
    <n v="3008100"/>
  </r>
  <r>
    <x v="24"/>
    <x v="1"/>
    <x v="3"/>
    <n v="766300"/>
    <n v="100000"/>
    <n v="70000"/>
    <n v="0"/>
    <n v="936300"/>
  </r>
  <r>
    <x v="25"/>
    <x v="3"/>
    <x v="2"/>
    <n v="2912900"/>
    <n v="100000"/>
    <n v="0"/>
    <n v="300000"/>
    <n v="3312900"/>
  </r>
  <r>
    <x v="26"/>
    <x v="1"/>
    <x v="3"/>
    <n v="766300"/>
    <n v="100000"/>
    <n v="70000"/>
    <n v="0"/>
    <n v="936300"/>
  </r>
  <r>
    <x v="27"/>
    <x v="0"/>
    <x v="3"/>
    <n v="673600"/>
    <n v="100000"/>
    <n v="70000"/>
    <n v="0"/>
    <n v="843600"/>
  </r>
  <r>
    <x v="28"/>
    <x v="0"/>
    <x v="1"/>
    <n v="1020000"/>
    <n v="100000"/>
    <n v="70000"/>
    <n v="0"/>
    <n v="1190000"/>
  </r>
  <r>
    <x v="29"/>
    <x v="0"/>
    <x v="1"/>
    <n v="1280000"/>
    <n v="100000"/>
    <n v="70000"/>
    <n v="0"/>
    <n v="1450000"/>
  </r>
  <r>
    <x v="30"/>
    <x v="0"/>
    <x v="1"/>
    <n v="798900"/>
    <n v="100000"/>
    <n v="70000"/>
    <n v="0"/>
    <n v="968900"/>
  </r>
  <r>
    <x v="31"/>
    <x v="0"/>
    <x v="1"/>
    <n v="1280000"/>
    <n v="100000"/>
    <n v="70000"/>
    <n v="0"/>
    <n v="1450000"/>
  </r>
  <r>
    <x v="32"/>
    <x v="0"/>
    <x v="3"/>
    <n v="653500"/>
    <n v="100000"/>
    <n v="70000"/>
    <n v="0"/>
    <n v="823500"/>
  </r>
  <r>
    <x v="33"/>
    <x v="0"/>
    <x v="2"/>
    <n v="2688100"/>
    <n v="100000"/>
    <n v="0"/>
    <n v="300000"/>
    <n v="3088100"/>
  </r>
  <r>
    <x v="34"/>
    <x v="1"/>
    <x v="4"/>
    <n v="2373300"/>
    <n v="100000"/>
    <n v="0"/>
    <n v="300000"/>
    <n v="2773300"/>
  </r>
  <r>
    <x v="35"/>
    <x v="0"/>
    <x v="3"/>
    <n v="653500"/>
    <n v="100000"/>
    <n v="70000"/>
    <n v="0"/>
    <n v="823500"/>
  </r>
  <r>
    <x v="36"/>
    <x v="0"/>
    <x v="3"/>
    <n v="653500"/>
    <n v="100000"/>
    <n v="70000"/>
    <n v="0"/>
    <n v="823500"/>
  </r>
  <r>
    <x v="37"/>
    <x v="1"/>
    <x v="2"/>
    <n v="3002900"/>
    <n v="100000"/>
    <n v="0"/>
    <n v="300000"/>
    <n v="3402900"/>
  </r>
  <r>
    <x v="38"/>
    <x v="0"/>
    <x v="3"/>
    <n v="653500"/>
    <n v="100000"/>
    <n v="70000"/>
    <n v="0"/>
    <n v="823500"/>
  </r>
  <r>
    <x v="39"/>
    <x v="0"/>
    <x v="4"/>
    <n v="2058500"/>
    <n v="100000"/>
    <n v="0"/>
    <n v="300000"/>
    <n v="2458500"/>
  </r>
  <r>
    <x v="40"/>
    <x v="1"/>
    <x v="4"/>
    <n v="2373300"/>
    <n v="100000"/>
    <n v="0"/>
    <n v="300000"/>
    <n v="2773300"/>
  </r>
  <r>
    <x v="41"/>
    <x v="0"/>
    <x v="3"/>
    <n v="653500"/>
    <n v="100000"/>
    <n v="70000"/>
    <n v="0"/>
    <n v="823500"/>
  </r>
  <r>
    <x v="42"/>
    <x v="3"/>
    <x v="2"/>
    <n v="2608100"/>
    <n v="100000"/>
    <n v="0"/>
    <n v="300000"/>
    <n v="3008100"/>
  </r>
  <r>
    <x v="43"/>
    <x v="3"/>
    <x v="3"/>
    <n v="633400"/>
    <n v="100000"/>
    <n v="70000"/>
    <n v="0"/>
    <n v="803400"/>
  </r>
  <r>
    <x v="44"/>
    <x v="3"/>
    <x v="1"/>
    <n v="1250000"/>
    <n v="100000"/>
    <n v="70000"/>
    <n v="0"/>
    <n v="1420000"/>
  </r>
  <r>
    <x v="45"/>
    <x v="3"/>
    <x v="1"/>
    <n v="1250000"/>
    <n v="100000"/>
    <n v="70000"/>
    <n v="0"/>
    <n v="1420000"/>
  </r>
  <r>
    <x v="46"/>
    <x v="3"/>
    <x v="0"/>
    <n v="1793700"/>
    <n v="100000"/>
    <n v="0"/>
    <n v="300000"/>
    <n v="2193700"/>
  </r>
  <r>
    <x v="47"/>
    <x v="3"/>
    <x v="2"/>
    <n v="3092900"/>
    <n v="100000"/>
    <n v="0"/>
    <n v="300000"/>
    <n v="3492900"/>
  </r>
  <r>
    <x v="48"/>
    <x v="3"/>
    <x v="1"/>
    <n v="1250000"/>
    <n v="100000"/>
    <n v="70000"/>
    <n v="0"/>
    <n v="1420000"/>
  </r>
  <r>
    <x v="49"/>
    <x v="3"/>
    <x v="1"/>
    <n v="1250000"/>
    <n v="100000"/>
    <n v="70000"/>
    <n v="0"/>
    <n v="1420000"/>
  </r>
  <r>
    <x v="50"/>
    <x v="1"/>
    <x v="2"/>
    <n v="3002900"/>
    <n v="100000"/>
    <n v="0"/>
    <n v="300000"/>
    <n v="3402900"/>
  </r>
  <r>
    <x v="51"/>
    <x v="1"/>
    <x v="0"/>
    <n v="1468900"/>
    <n v="100000"/>
    <n v="0"/>
    <n v="300000"/>
    <n v="1868900"/>
  </r>
  <r>
    <x v="52"/>
    <x v="0"/>
    <x v="4"/>
    <n v="2118500"/>
    <n v="100000"/>
    <n v="0"/>
    <n v="300000"/>
    <n v="2518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32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>
  <location ref="K5:O11" firstHeaderRow="1" firstDataRow="2" firstDataCol="1" rowPageCount="1" colPageCount="1"/>
  <pivotFields count="8">
    <pivotField axis="axisPage" showAll="0">
      <items count="54">
        <item x="31"/>
        <item x="21"/>
        <item x="30"/>
        <item x="26"/>
        <item x="5"/>
        <item x="43"/>
        <item x="8"/>
        <item x="33"/>
        <item x="45"/>
        <item x="29"/>
        <item x="0"/>
        <item x="17"/>
        <item x="24"/>
        <item x="9"/>
        <item x="18"/>
        <item x="10"/>
        <item x="46"/>
        <item x="47"/>
        <item x="15"/>
        <item x="7"/>
        <item x="52"/>
        <item x="27"/>
        <item x="50"/>
        <item x="19"/>
        <item x="3"/>
        <item x="34"/>
        <item x="16"/>
        <item x="20"/>
        <item x="36"/>
        <item x="40"/>
        <item x="35"/>
        <item x="14"/>
        <item x="28"/>
        <item x="23"/>
        <item x="25"/>
        <item x="22"/>
        <item x="48"/>
        <item x="32"/>
        <item x="38"/>
        <item x="44"/>
        <item x="12"/>
        <item x="42"/>
        <item x="11"/>
        <item x="1"/>
        <item x="4"/>
        <item x="51"/>
        <item x="6"/>
        <item x="39"/>
        <item x="49"/>
        <item x="41"/>
        <item x="2"/>
        <item x="37"/>
        <item x="13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axis="axisCol" showAll="0">
      <items count="6">
        <item x="0"/>
        <item h="1" x="1"/>
        <item x="2"/>
        <item h="1" x="3"/>
        <item x="4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4">
    <i>
      <x/>
    </i>
    <i>
      <x v="2"/>
    </i>
    <i>
      <x v="4"/>
    </i>
    <i t="grand">
      <x/>
    </i>
  </colItems>
  <pageFields count="1">
    <pageField fld="0" hier="-1"/>
  </pageFields>
  <dataFields count="1">
    <dataField name="평균 : 기본급" fld="3" subtotal="average" baseField="1" baseItem="1" numFmtId="17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17"/>
  <sheetViews>
    <sheetView tabSelected="1" workbookViewId="0"/>
  </sheetViews>
  <sheetFormatPr defaultRowHeight="16.5"/>
  <cols>
    <col min="1" max="1" width="9.25" customWidth="1"/>
    <col min="2" max="3" width="9.375" bestFit="1" customWidth="1"/>
    <col min="4" max="4" width="11.25" customWidth="1"/>
    <col min="5" max="5" width="7.5" customWidth="1"/>
    <col min="6" max="7" width="9.375" bestFit="1" customWidth="1"/>
  </cols>
  <sheetData>
    <row r="2" spans="1:7">
      <c r="A2" s="1" t="s">
        <v>0</v>
      </c>
    </row>
    <row r="4" spans="1:7">
      <c r="A4" s="37" t="s">
        <v>202</v>
      </c>
      <c r="B4" s="38" t="s">
        <v>203</v>
      </c>
      <c r="C4" s="38" t="s">
        <v>204</v>
      </c>
      <c r="D4" s="38" t="s">
        <v>205</v>
      </c>
      <c r="E4" s="38" t="s">
        <v>206</v>
      </c>
      <c r="F4" s="38" t="s">
        <v>207</v>
      </c>
      <c r="G4" s="39" t="s">
        <v>208</v>
      </c>
    </row>
    <row r="5" spans="1:7">
      <c r="A5" s="40" t="s">
        <v>209</v>
      </c>
      <c r="B5" s="41" t="s">
        <v>210</v>
      </c>
      <c r="C5" s="41" t="s">
        <v>211</v>
      </c>
      <c r="D5" s="41" t="s">
        <v>212</v>
      </c>
      <c r="E5" s="41">
        <v>3000</v>
      </c>
      <c r="F5" s="41">
        <v>50</v>
      </c>
      <c r="G5" s="42">
        <v>139500</v>
      </c>
    </row>
    <row r="6" spans="1:7">
      <c r="A6" s="43" t="s">
        <v>213</v>
      </c>
      <c r="B6" s="44" t="s">
        <v>214</v>
      </c>
      <c r="C6" s="44" t="s">
        <v>211</v>
      </c>
      <c r="D6" s="44" t="s">
        <v>215</v>
      </c>
      <c r="E6" s="44">
        <v>2500</v>
      </c>
      <c r="F6" s="44">
        <v>37</v>
      </c>
      <c r="G6" s="45">
        <v>86950</v>
      </c>
    </row>
    <row r="7" spans="1:7">
      <c r="A7" s="40" t="s">
        <v>216</v>
      </c>
      <c r="B7" s="41" t="s">
        <v>210</v>
      </c>
      <c r="C7" s="41" t="s">
        <v>217</v>
      </c>
      <c r="D7" s="41" t="s">
        <v>212</v>
      </c>
      <c r="E7" s="41">
        <v>2500</v>
      </c>
      <c r="F7" s="41">
        <v>45</v>
      </c>
      <c r="G7" s="42">
        <v>105750</v>
      </c>
    </row>
    <row r="8" spans="1:7">
      <c r="A8" s="43" t="s">
        <v>218</v>
      </c>
      <c r="B8" s="44" t="s">
        <v>210</v>
      </c>
      <c r="C8" s="44" t="s">
        <v>217</v>
      </c>
      <c r="D8" s="44" t="s">
        <v>219</v>
      </c>
      <c r="E8" s="44">
        <v>2500</v>
      </c>
      <c r="F8" s="44">
        <v>39</v>
      </c>
      <c r="G8" s="45">
        <v>91650</v>
      </c>
    </row>
    <row r="9" spans="1:7">
      <c r="A9" s="40" t="s">
        <v>220</v>
      </c>
      <c r="B9" s="41" t="s">
        <v>210</v>
      </c>
      <c r="C9" s="41" t="s">
        <v>221</v>
      </c>
      <c r="D9" s="41" t="s">
        <v>212</v>
      </c>
      <c r="E9" s="41">
        <v>3000</v>
      </c>
      <c r="F9" s="41">
        <v>42</v>
      </c>
      <c r="G9" s="42">
        <v>117180</v>
      </c>
    </row>
    <row r="10" spans="1:7">
      <c r="A10" s="43" t="s">
        <v>222</v>
      </c>
      <c r="B10" s="44" t="s">
        <v>214</v>
      </c>
      <c r="C10" s="44" t="s">
        <v>223</v>
      </c>
      <c r="D10" s="44" t="s">
        <v>212</v>
      </c>
      <c r="E10" s="44">
        <v>2500</v>
      </c>
      <c r="F10" s="44">
        <v>43</v>
      </c>
      <c r="G10" s="45">
        <v>101050</v>
      </c>
    </row>
    <row r="11" spans="1:7">
      <c r="A11" s="40" t="s">
        <v>224</v>
      </c>
      <c r="B11" s="41" t="s">
        <v>210</v>
      </c>
      <c r="C11" s="41" t="s">
        <v>223</v>
      </c>
      <c r="D11" s="41" t="s">
        <v>215</v>
      </c>
      <c r="E11" s="41">
        <v>2000</v>
      </c>
      <c r="F11" s="41">
        <v>46</v>
      </c>
      <c r="G11" s="42">
        <v>87400</v>
      </c>
    </row>
    <row r="12" spans="1:7">
      <c r="A12" s="43" t="s">
        <v>225</v>
      </c>
      <c r="B12" s="44" t="s">
        <v>210</v>
      </c>
      <c r="C12" s="44" t="s">
        <v>226</v>
      </c>
      <c r="D12" s="44" t="s">
        <v>227</v>
      </c>
      <c r="E12" s="44">
        <v>2000</v>
      </c>
      <c r="F12" s="44">
        <v>42</v>
      </c>
      <c r="G12" s="45">
        <v>79800</v>
      </c>
    </row>
    <row r="13" spans="1:7">
      <c r="A13" s="40" t="s">
        <v>228</v>
      </c>
      <c r="B13" s="41" t="s">
        <v>210</v>
      </c>
      <c r="C13" s="41" t="s">
        <v>226</v>
      </c>
      <c r="D13" s="41" t="s">
        <v>215</v>
      </c>
      <c r="E13" s="41">
        <v>2000</v>
      </c>
      <c r="F13" s="41">
        <v>38</v>
      </c>
      <c r="G13" s="42">
        <v>72200</v>
      </c>
    </row>
    <row r="14" spans="1:7">
      <c r="A14" s="43" t="s">
        <v>229</v>
      </c>
      <c r="B14" s="44" t="s">
        <v>214</v>
      </c>
      <c r="C14" s="44" t="s">
        <v>230</v>
      </c>
      <c r="D14" s="44" t="s">
        <v>215</v>
      </c>
      <c r="E14" s="44">
        <v>3000</v>
      </c>
      <c r="F14" s="44">
        <v>44</v>
      </c>
      <c r="G14" s="45">
        <v>122760</v>
      </c>
    </row>
    <row r="15" spans="1:7">
      <c r="A15" s="40" t="s">
        <v>231</v>
      </c>
      <c r="B15" s="41" t="s">
        <v>214</v>
      </c>
      <c r="C15" s="41" t="s">
        <v>230</v>
      </c>
      <c r="D15" s="41" t="s">
        <v>219</v>
      </c>
      <c r="E15" s="41">
        <v>2500</v>
      </c>
      <c r="F15" s="41">
        <v>38</v>
      </c>
      <c r="G15" s="42">
        <v>89300</v>
      </c>
    </row>
    <row r="16" spans="1:7">
      <c r="A16" s="43" t="s">
        <v>232</v>
      </c>
      <c r="B16" s="44" t="s">
        <v>214</v>
      </c>
      <c r="C16" s="44" t="s">
        <v>233</v>
      </c>
      <c r="D16" s="44" t="s">
        <v>219</v>
      </c>
      <c r="E16" s="44">
        <v>3000</v>
      </c>
      <c r="F16" s="44">
        <v>49</v>
      </c>
      <c r="G16" s="45">
        <v>136710</v>
      </c>
    </row>
    <row r="17" spans="1:7">
      <c r="A17" s="34" t="s">
        <v>234</v>
      </c>
      <c r="B17" s="35" t="s">
        <v>210</v>
      </c>
      <c r="C17" s="35" t="s">
        <v>233</v>
      </c>
      <c r="D17" s="35" t="s">
        <v>212</v>
      </c>
      <c r="E17" s="35">
        <v>2500</v>
      </c>
      <c r="F17" s="35">
        <v>39</v>
      </c>
      <c r="G17" s="36">
        <v>91650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4"/>
  <sheetViews>
    <sheetView workbookViewId="0"/>
  </sheetViews>
  <sheetFormatPr defaultRowHeight="16.5"/>
  <cols>
    <col min="1" max="1" width="10.625" style="3" customWidth="1"/>
    <col min="2" max="2" width="12.375" style="3" customWidth="1"/>
    <col min="3" max="3" width="10.875" style="3" customWidth="1"/>
    <col min="4" max="4" width="9.25" style="3" bestFit="1" customWidth="1"/>
    <col min="5" max="5" width="5.5" style="3" bestFit="1" customWidth="1"/>
    <col min="6" max="7" width="9" style="3"/>
    <col min="8" max="8" width="11" style="3" bestFit="1" customWidth="1"/>
    <col min="9" max="16384" width="9" style="3"/>
  </cols>
  <sheetData>
    <row r="1" spans="1:8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8">
      <c r="A2" s="3" t="s">
        <v>6</v>
      </c>
      <c r="B2" s="3" t="s">
        <v>7</v>
      </c>
      <c r="C2" s="3" t="s">
        <v>8</v>
      </c>
      <c r="D2" s="3" t="s">
        <v>9</v>
      </c>
      <c r="E2" s="3">
        <v>90</v>
      </c>
    </row>
    <row r="3" spans="1:8">
      <c r="A3" s="3" t="s">
        <v>10</v>
      </c>
      <c r="B3" s="3" t="s">
        <v>7</v>
      </c>
      <c r="C3" s="3" t="s">
        <v>11</v>
      </c>
      <c r="D3" s="3" t="s">
        <v>12</v>
      </c>
      <c r="E3" s="3">
        <v>97</v>
      </c>
    </row>
    <row r="4" spans="1:8">
      <c r="A4" s="3" t="s">
        <v>13</v>
      </c>
      <c r="B4" s="3" t="s">
        <v>7</v>
      </c>
      <c r="C4" s="3" t="s">
        <v>11</v>
      </c>
      <c r="D4" s="3" t="s">
        <v>12</v>
      </c>
      <c r="E4" s="3">
        <v>84</v>
      </c>
    </row>
    <row r="5" spans="1:8">
      <c r="A5" s="3" t="s">
        <v>14</v>
      </c>
      <c r="B5" s="3" t="s">
        <v>7</v>
      </c>
      <c r="C5" s="3" t="s">
        <v>8</v>
      </c>
      <c r="D5" s="3" t="s">
        <v>9</v>
      </c>
      <c r="E5" s="3">
        <v>92</v>
      </c>
    </row>
    <row r="6" spans="1:8">
      <c r="A6" s="3" t="s">
        <v>6</v>
      </c>
      <c r="B6" s="3" t="s">
        <v>7</v>
      </c>
      <c r="C6" s="3" t="s">
        <v>11</v>
      </c>
      <c r="D6" s="3" t="s">
        <v>12</v>
      </c>
      <c r="E6" s="3">
        <v>92</v>
      </c>
    </row>
    <row r="7" spans="1:8">
      <c r="A7" s="3" t="s">
        <v>15</v>
      </c>
      <c r="B7" s="3" t="s">
        <v>7</v>
      </c>
      <c r="C7" s="3" t="s">
        <v>8</v>
      </c>
      <c r="D7" s="3" t="s">
        <v>9</v>
      </c>
      <c r="E7" s="3">
        <v>88</v>
      </c>
    </row>
    <row r="8" spans="1:8">
      <c r="A8" s="3" t="s">
        <v>13</v>
      </c>
      <c r="B8" s="3" t="s">
        <v>7</v>
      </c>
      <c r="C8" s="3" t="s">
        <v>16</v>
      </c>
      <c r="D8" s="3" t="s">
        <v>17</v>
      </c>
      <c r="E8" s="3">
        <v>95</v>
      </c>
    </row>
    <row r="9" spans="1:8">
      <c r="A9" s="3" t="s">
        <v>15</v>
      </c>
      <c r="B9" s="3" t="s">
        <v>7</v>
      </c>
      <c r="C9" s="3" t="s">
        <v>16</v>
      </c>
      <c r="D9" s="3" t="s">
        <v>17</v>
      </c>
      <c r="E9" s="3">
        <v>89</v>
      </c>
    </row>
    <row r="10" spans="1:8">
      <c r="A10" s="3" t="s">
        <v>18</v>
      </c>
      <c r="B10" s="3" t="s">
        <v>7</v>
      </c>
      <c r="C10" s="3" t="s">
        <v>8</v>
      </c>
      <c r="D10" s="3" t="s">
        <v>9</v>
      </c>
      <c r="E10" s="3">
        <v>98</v>
      </c>
    </row>
    <row r="11" spans="1:8">
      <c r="A11" s="3" t="s">
        <v>14</v>
      </c>
      <c r="B11" s="3" t="s">
        <v>7</v>
      </c>
      <c r="C11" s="3" t="s">
        <v>16</v>
      </c>
      <c r="D11" s="3" t="s">
        <v>17</v>
      </c>
      <c r="E11" s="3">
        <v>95</v>
      </c>
    </row>
    <row r="12" spans="1:8">
      <c r="A12" s="3" t="s">
        <v>13</v>
      </c>
      <c r="B12" s="3" t="s">
        <v>7</v>
      </c>
      <c r="C12" s="3" t="s">
        <v>8</v>
      </c>
      <c r="D12" s="3" t="s">
        <v>9</v>
      </c>
      <c r="E12" s="3">
        <v>88</v>
      </c>
    </row>
    <row r="13" spans="1:8">
      <c r="A13" s="3" t="s">
        <v>19</v>
      </c>
      <c r="B13" s="3" t="s">
        <v>7</v>
      </c>
      <c r="C13" s="3" t="s">
        <v>16</v>
      </c>
      <c r="D13" s="3" t="s">
        <v>17</v>
      </c>
      <c r="E13" s="3">
        <v>88</v>
      </c>
    </row>
    <row r="14" spans="1:8">
      <c r="A14" s="3" t="s">
        <v>18</v>
      </c>
      <c r="B14" s="3" t="s">
        <v>7</v>
      </c>
      <c r="C14" s="3" t="s">
        <v>16</v>
      </c>
      <c r="D14" s="3" t="s">
        <v>17</v>
      </c>
      <c r="E14" s="3">
        <v>90</v>
      </c>
    </row>
    <row r="15" spans="1:8">
      <c r="A15" s="3" t="s">
        <v>15</v>
      </c>
      <c r="B15" s="3" t="s">
        <v>7</v>
      </c>
      <c r="C15" s="3" t="s">
        <v>11</v>
      </c>
      <c r="D15" s="3" t="s">
        <v>12</v>
      </c>
      <c r="E15" s="3">
        <v>92</v>
      </c>
      <c r="G15" s="3" t="s">
        <v>20</v>
      </c>
      <c r="H15" s="3" t="s">
        <v>21</v>
      </c>
    </row>
    <row r="16" spans="1:8">
      <c r="A16" s="3" t="s">
        <v>22</v>
      </c>
      <c r="B16" s="3" t="s">
        <v>7</v>
      </c>
      <c r="C16" s="3" t="s">
        <v>16</v>
      </c>
      <c r="D16" s="3" t="s">
        <v>17</v>
      </c>
      <c r="E16" s="3">
        <v>86</v>
      </c>
      <c r="G16" s="3" t="s">
        <v>23</v>
      </c>
    </row>
    <row r="17" spans="1:9">
      <c r="A17" s="3" t="s">
        <v>24</v>
      </c>
      <c r="B17" s="3" t="s">
        <v>7</v>
      </c>
      <c r="C17" s="3" t="s">
        <v>11</v>
      </c>
      <c r="D17" s="3" t="s">
        <v>12</v>
      </c>
      <c r="E17" s="3">
        <v>70</v>
      </c>
      <c r="G17" s="3" t="s">
        <v>25</v>
      </c>
      <c r="H17" s="3" t="s">
        <v>26</v>
      </c>
    </row>
    <row r="18" spans="1:9">
      <c r="A18" s="3" t="s">
        <v>22</v>
      </c>
      <c r="B18" s="3" t="s">
        <v>7</v>
      </c>
      <c r="C18" s="3" t="s">
        <v>8</v>
      </c>
      <c r="D18" s="3" t="s">
        <v>9</v>
      </c>
      <c r="E18" s="3">
        <v>74</v>
      </c>
    </row>
    <row r="19" spans="1:9">
      <c r="A19" s="3" t="s">
        <v>18</v>
      </c>
      <c r="B19" s="3" t="s">
        <v>7</v>
      </c>
      <c r="C19" s="3" t="s">
        <v>11</v>
      </c>
      <c r="D19" s="3" t="s">
        <v>12</v>
      </c>
      <c r="E19" s="3">
        <v>95</v>
      </c>
    </row>
    <row r="20" spans="1:9">
      <c r="A20" s="3" t="s">
        <v>24</v>
      </c>
      <c r="B20" s="3" t="s">
        <v>7</v>
      </c>
      <c r="C20" s="3" t="s">
        <v>16</v>
      </c>
      <c r="D20" s="3" t="s">
        <v>17</v>
      </c>
      <c r="E20" s="3">
        <v>80</v>
      </c>
      <c r="G20" s="3" t="s">
        <v>20</v>
      </c>
      <c r="H20" s="3" t="s">
        <v>27</v>
      </c>
      <c r="I20" s="3" t="s">
        <v>21</v>
      </c>
    </row>
    <row r="21" spans="1:9">
      <c r="A21" s="3" t="s">
        <v>19</v>
      </c>
      <c r="B21" s="3" t="s">
        <v>7</v>
      </c>
      <c r="C21" s="3" t="s">
        <v>8</v>
      </c>
      <c r="D21" s="3" t="s">
        <v>9</v>
      </c>
      <c r="E21" s="3">
        <v>95</v>
      </c>
      <c r="G21" s="3" t="s">
        <v>22</v>
      </c>
      <c r="H21" s="3" t="s">
        <v>7</v>
      </c>
      <c r="I21" s="3">
        <v>86</v>
      </c>
    </row>
    <row r="22" spans="1:9">
      <c r="A22" s="3" t="s">
        <v>10</v>
      </c>
      <c r="B22" s="3" t="s">
        <v>7</v>
      </c>
      <c r="C22" s="3" t="s">
        <v>16</v>
      </c>
      <c r="D22" s="3" t="s">
        <v>17</v>
      </c>
      <c r="E22" s="3">
        <v>92</v>
      </c>
      <c r="G22" s="3" t="s">
        <v>22</v>
      </c>
      <c r="H22" s="3" t="s">
        <v>7</v>
      </c>
      <c r="I22" s="3">
        <v>74</v>
      </c>
    </row>
    <row r="23" spans="1:9">
      <c r="A23" s="3" t="s">
        <v>19</v>
      </c>
      <c r="B23" s="3" t="s">
        <v>7</v>
      </c>
      <c r="C23" s="3" t="s">
        <v>11</v>
      </c>
      <c r="D23" s="3" t="s">
        <v>12</v>
      </c>
      <c r="E23" s="3">
        <v>92</v>
      </c>
      <c r="G23" s="3" t="s">
        <v>19</v>
      </c>
      <c r="H23" s="3" t="s">
        <v>7</v>
      </c>
      <c r="I23" s="3">
        <v>95</v>
      </c>
    </row>
    <row r="24" spans="1:9">
      <c r="A24" s="3" t="s">
        <v>14</v>
      </c>
      <c r="B24" s="3" t="s">
        <v>7</v>
      </c>
      <c r="C24" s="3" t="s">
        <v>11</v>
      </c>
      <c r="D24" s="3" t="s">
        <v>12</v>
      </c>
      <c r="E24" s="3">
        <v>98</v>
      </c>
      <c r="G24" s="3" t="s">
        <v>19</v>
      </c>
      <c r="H24" s="3" t="s">
        <v>7</v>
      </c>
      <c r="I24" s="3">
        <v>92</v>
      </c>
    </row>
  </sheetData>
  <phoneticPr fontId="4" type="noConversion"/>
  <conditionalFormatting sqref="A2:E24">
    <cfRule type="expression" dxfId="0" priority="1">
      <formula>AND($C2="전자회로",$E2&lt;AVERAGE($E$2:$E$24))</formula>
    </cfRule>
  </conditionalFormatting>
  <pageMargins left="0.74803149606299213" right="0.74803149606299213" top="1.9685039370078741" bottom="1.9685039370078741" header="0.51181102362204722" footer="0.51181102362204722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3"/>
  <sheetViews>
    <sheetView workbookViewId="0">
      <selection activeCell="H15" sqref="H15"/>
    </sheetView>
  </sheetViews>
  <sheetFormatPr defaultRowHeight="16.5"/>
  <cols>
    <col min="2" max="2" width="10.375" bestFit="1" customWidth="1"/>
  </cols>
  <sheetData>
    <row r="1" spans="1:10" ht="20.25">
      <c r="A1" s="59" t="s">
        <v>305</v>
      </c>
      <c r="B1" s="59"/>
      <c r="C1" s="59"/>
      <c r="D1" s="59"/>
      <c r="E1" s="59"/>
      <c r="G1" s="59" t="s">
        <v>306</v>
      </c>
      <c r="H1" s="59"/>
      <c r="I1" s="59"/>
      <c r="J1" s="59"/>
    </row>
    <row r="3" spans="1:10">
      <c r="A3" s="52" t="s">
        <v>307</v>
      </c>
      <c r="B3" s="52" t="s">
        <v>308</v>
      </c>
      <c r="C3" s="52" t="s">
        <v>309</v>
      </c>
      <c r="D3" s="52" t="s">
        <v>310</v>
      </c>
      <c r="E3" s="52" t="s">
        <v>311</v>
      </c>
      <c r="G3" s="52" t="s">
        <v>308</v>
      </c>
      <c r="H3" s="53" t="s">
        <v>309</v>
      </c>
      <c r="I3" s="53" t="s">
        <v>312</v>
      </c>
      <c r="J3" s="53" t="s">
        <v>311</v>
      </c>
    </row>
    <row r="4" spans="1:10">
      <c r="A4" s="56" t="s">
        <v>313</v>
      </c>
      <c r="B4" s="52" t="s">
        <v>314</v>
      </c>
      <c r="C4" s="54">
        <v>16524</v>
      </c>
      <c r="D4" s="54">
        <v>12354</v>
      </c>
      <c r="E4" s="54">
        <v>10525</v>
      </c>
      <c r="G4" s="52" t="s">
        <v>315</v>
      </c>
      <c r="H4" s="55">
        <v>18135.5</v>
      </c>
      <c r="I4" s="55">
        <v>14348.25</v>
      </c>
      <c r="J4" s="55">
        <v>14184</v>
      </c>
    </row>
    <row r="5" spans="1:10">
      <c r="A5" s="57"/>
      <c r="B5" s="52" t="s">
        <v>316</v>
      </c>
      <c r="C5" s="54">
        <v>9463</v>
      </c>
      <c r="D5" s="54">
        <v>7584</v>
      </c>
      <c r="E5" s="54">
        <v>6745</v>
      </c>
      <c r="G5" s="52" t="s">
        <v>316</v>
      </c>
      <c r="H5" s="55">
        <v>10771.5</v>
      </c>
      <c r="I5" s="55">
        <v>8035.25</v>
      </c>
      <c r="J5" s="55">
        <v>7927.25</v>
      </c>
    </row>
    <row r="6" spans="1:10">
      <c r="A6" s="57"/>
      <c r="B6" s="52" t="s">
        <v>317</v>
      </c>
      <c r="C6" s="54">
        <v>13252</v>
      </c>
      <c r="D6" s="54">
        <v>9578</v>
      </c>
      <c r="E6" s="54">
        <v>4856</v>
      </c>
      <c r="G6" s="52" t="s">
        <v>318</v>
      </c>
      <c r="H6" s="55">
        <v>12008.75</v>
      </c>
      <c r="I6" s="55">
        <v>9859</v>
      </c>
      <c r="J6" s="55">
        <v>6663.25</v>
      </c>
    </row>
    <row r="7" spans="1:10">
      <c r="A7" s="57"/>
      <c r="B7" s="52" t="s">
        <v>319</v>
      </c>
      <c r="C7" s="54">
        <v>11245</v>
      </c>
      <c r="D7" s="54">
        <v>10241</v>
      </c>
      <c r="E7" s="54">
        <v>8642</v>
      </c>
      <c r="G7" s="52" t="s">
        <v>320</v>
      </c>
      <c r="H7" s="55">
        <v>12472.5</v>
      </c>
      <c r="I7" s="55">
        <v>10721.25</v>
      </c>
      <c r="J7" s="55">
        <v>9804.75</v>
      </c>
    </row>
    <row r="8" spans="1:10">
      <c r="A8" s="58"/>
      <c r="B8" s="52" t="s">
        <v>321</v>
      </c>
      <c r="C8" s="54">
        <v>7425</v>
      </c>
      <c r="D8" s="54">
        <v>6852</v>
      </c>
      <c r="E8" s="54">
        <v>4593</v>
      </c>
      <c r="G8" s="52" t="s">
        <v>321</v>
      </c>
      <c r="H8" s="55">
        <v>8958.75</v>
      </c>
      <c r="I8" s="55">
        <v>7060.25</v>
      </c>
      <c r="J8" s="55">
        <v>6328.75</v>
      </c>
    </row>
    <row r="9" spans="1:10">
      <c r="A9" s="56" t="s">
        <v>322</v>
      </c>
      <c r="B9" s="52" t="s">
        <v>323</v>
      </c>
      <c r="C9" s="54">
        <v>13542</v>
      </c>
      <c r="D9" s="54">
        <v>10245</v>
      </c>
      <c r="E9" s="54">
        <v>9862</v>
      </c>
    </row>
    <row r="10" spans="1:10">
      <c r="A10" s="57"/>
      <c r="B10" s="52" t="s">
        <v>324</v>
      </c>
      <c r="C10" s="54">
        <v>8674</v>
      </c>
      <c r="D10" s="54">
        <v>7581</v>
      </c>
      <c r="E10" s="54">
        <v>6524</v>
      </c>
    </row>
    <row r="11" spans="1:10">
      <c r="A11" s="57"/>
      <c r="B11" s="52" t="s">
        <v>325</v>
      </c>
      <c r="C11" s="54">
        <v>9754</v>
      </c>
      <c r="D11" s="54">
        <v>7589</v>
      </c>
      <c r="E11" s="54">
        <v>4758</v>
      </c>
    </row>
    <row r="12" spans="1:10">
      <c r="A12" s="57"/>
      <c r="B12" s="52" t="s">
        <v>319</v>
      </c>
      <c r="C12" s="54">
        <v>10865</v>
      </c>
      <c r="D12" s="54">
        <v>9354</v>
      </c>
      <c r="E12" s="54">
        <v>8756</v>
      </c>
    </row>
    <row r="13" spans="1:10">
      <c r="A13" s="58"/>
      <c r="B13" s="52" t="s">
        <v>321</v>
      </c>
      <c r="C13" s="54">
        <v>7725</v>
      </c>
      <c r="D13" s="54">
        <v>4856</v>
      </c>
      <c r="E13" s="54">
        <v>4758</v>
      </c>
    </row>
    <row r="14" spans="1:10">
      <c r="A14" s="56" t="s">
        <v>326</v>
      </c>
      <c r="B14" s="52" t="s">
        <v>323</v>
      </c>
      <c r="C14" s="54">
        <v>20021</v>
      </c>
      <c r="D14" s="54">
        <v>16840</v>
      </c>
      <c r="E14" s="54">
        <v>18664</v>
      </c>
    </row>
    <row r="15" spans="1:10">
      <c r="A15" s="57"/>
      <c r="B15" s="52" t="s">
        <v>324</v>
      </c>
      <c r="C15" s="54">
        <v>13524</v>
      </c>
      <c r="D15" s="54">
        <v>10102</v>
      </c>
      <c r="E15" s="54">
        <v>9475</v>
      </c>
    </row>
    <row r="16" spans="1:10">
      <c r="A16" s="57"/>
      <c r="B16" s="52" t="s">
        <v>325</v>
      </c>
      <c r="C16" s="54">
        <v>12486</v>
      </c>
      <c r="D16" s="54">
        <v>11245</v>
      </c>
      <c r="E16" s="54">
        <v>9354</v>
      </c>
    </row>
    <row r="17" spans="1:5">
      <c r="A17" s="57"/>
      <c r="B17" s="52" t="s">
        <v>319</v>
      </c>
      <c r="C17" s="54">
        <v>13524</v>
      </c>
      <c r="D17" s="54">
        <v>12496</v>
      </c>
      <c r="E17" s="54">
        <v>10242</v>
      </c>
    </row>
    <row r="18" spans="1:5">
      <c r="A18" s="58"/>
      <c r="B18" s="52" t="s">
        <v>321</v>
      </c>
      <c r="C18" s="54">
        <v>10652</v>
      </c>
      <c r="D18" s="54">
        <v>7859</v>
      </c>
      <c r="E18" s="54">
        <v>7996</v>
      </c>
    </row>
    <row r="19" spans="1:5">
      <c r="A19" s="56" t="s">
        <v>327</v>
      </c>
      <c r="B19" s="52" t="s">
        <v>323</v>
      </c>
      <c r="C19" s="54">
        <v>22455</v>
      </c>
      <c r="D19" s="54">
        <v>17954</v>
      </c>
      <c r="E19" s="54">
        <v>17685</v>
      </c>
    </row>
    <row r="20" spans="1:5">
      <c r="A20" s="57"/>
      <c r="B20" s="52" t="s">
        <v>324</v>
      </c>
      <c r="C20" s="54">
        <v>11425</v>
      </c>
      <c r="D20" s="54">
        <v>6874</v>
      </c>
      <c r="E20" s="54">
        <v>8965</v>
      </c>
    </row>
    <row r="21" spans="1:5">
      <c r="A21" s="57"/>
      <c r="B21" s="52" t="s">
        <v>325</v>
      </c>
      <c r="C21" s="54">
        <v>12543</v>
      </c>
      <c r="D21" s="54">
        <v>11024</v>
      </c>
      <c r="E21" s="54">
        <v>7685</v>
      </c>
    </row>
    <row r="22" spans="1:5">
      <c r="A22" s="57"/>
      <c r="B22" s="52" t="s">
        <v>319</v>
      </c>
      <c r="C22" s="54">
        <v>14256</v>
      </c>
      <c r="D22" s="54">
        <v>10794</v>
      </c>
      <c r="E22" s="54">
        <v>11579</v>
      </c>
    </row>
    <row r="23" spans="1:5">
      <c r="A23" s="58"/>
      <c r="B23" s="52" t="s">
        <v>321</v>
      </c>
      <c r="C23" s="54">
        <v>10033</v>
      </c>
      <c r="D23" s="54">
        <v>8674</v>
      </c>
      <c r="E23" s="54">
        <v>7968</v>
      </c>
    </row>
  </sheetData>
  <mergeCells count="6">
    <mergeCell ref="A19:A23"/>
    <mergeCell ref="A1:E1"/>
    <mergeCell ref="G1:J1"/>
    <mergeCell ref="A4:A8"/>
    <mergeCell ref="A9:A13"/>
    <mergeCell ref="A14:A18"/>
  </mergeCells>
  <phoneticPr fontId="4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Footer>&amp;R&amp;N페이지 중 &amp;P페이지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42"/>
  <sheetViews>
    <sheetView workbookViewId="0"/>
  </sheetViews>
  <sheetFormatPr defaultRowHeight="16.5"/>
  <cols>
    <col min="1" max="1" width="10.375" style="3" customWidth="1"/>
    <col min="2" max="2" width="11.75" style="3" customWidth="1"/>
    <col min="3" max="3" width="9.25" style="3" customWidth="1"/>
    <col min="4" max="4" width="12.125" style="3" customWidth="1"/>
    <col min="5" max="5" width="14.375" style="3" customWidth="1"/>
    <col min="6" max="6" width="9.25" style="3" bestFit="1" customWidth="1"/>
    <col min="7" max="7" width="13" style="3" customWidth="1"/>
    <col min="8" max="8" width="12.25" style="3" customWidth="1"/>
    <col min="9" max="9" width="8.875" style="3" customWidth="1"/>
    <col min="10" max="10" width="9" style="3" customWidth="1"/>
    <col min="11" max="16384" width="9" style="3"/>
  </cols>
  <sheetData>
    <row r="1" spans="1:10">
      <c r="A1" s="3" t="s">
        <v>28</v>
      </c>
    </row>
    <row r="2" spans="1:10">
      <c r="A2" s="60" t="s">
        <v>29</v>
      </c>
      <c r="B2" s="62" t="s">
        <v>30</v>
      </c>
      <c r="C2" s="62"/>
    </row>
    <row r="3" spans="1:10">
      <c r="A3" s="61"/>
      <c r="B3" s="4" t="s">
        <v>31</v>
      </c>
      <c r="C3" s="4" t="s">
        <v>32</v>
      </c>
    </row>
    <row r="4" spans="1:10">
      <c r="A4" s="5" t="s">
        <v>33</v>
      </c>
      <c r="B4" s="6">
        <f t="array" ref="B4">SUM(($D$10:$D$24=$A4)*(LEFT($B$10:$B$24,1)=B$3)*$G$10:$G$24)</f>
        <v>5000</v>
      </c>
      <c r="C4" s="6">
        <f t="array" ref="C4">SUM(($D$10:$D$24=$A4)*(LEFT($B$10:$B$24,1)=C$3)*$G$10:$G$24)</f>
        <v>9600</v>
      </c>
    </row>
    <row r="5" spans="1:10">
      <c r="A5" s="5" t="s">
        <v>34</v>
      </c>
      <c r="B5" s="6">
        <f t="array" ref="B5">SUM(($D$10:$D$24=$A5)*(LEFT($B$10:$B$24,1)=B$3)*$G$10:$G$24)</f>
        <v>12100</v>
      </c>
      <c r="C5" s="6">
        <f t="array" ref="C5">SUM(($D$10:$D$24=$A5)*(LEFT($B$10:$B$24,1)=C$3)*$G$10:$G$24)</f>
        <v>15400</v>
      </c>
    </row>
    <row r="6" spans="1:10">
      <c r="A6" s="5" t="s">
        <v>35</v>
      </c>
      <c r="B6" s="6">
        <f t="array" ref="B6">SUM(($D$10:$D$24=$A6)*(LEFT($B$10:$B$24,1)=B$3)*$G$10:$G$24)</f>
        <v>700</v>
      </c>
      <c r="C6" s="6">
        <f t="array" ref="C6">SUM(($D$10:$D$24=$A6)*(LEFT($B$10:$B$24,1)=C$3)*$G$10:$G$24)</f>
        <v>26850</v>
      </c>
    </row>
    <row r="8" spans="1:10">
      <c r="A8" s="7" t="s">
        <v>36</v>
      </c>
      <c r="B8" s="8" t="s">
        <v>37</v>
      </c>
      <c r="C8" s="9"/>
      <c r="D8" s="9"/>
      <c r="E8" s="9"/>
      <c r="F8" s="9"/>
      <c r="G8" s="9"/>
      <c r="H8" s="9"/>
    </row>
    <row r="9" spans="1:10">
      <c r="A9" s="5" t="s">
        <v>38</v>
      </c>
      <c r="B9" s="4" t="s">
        <v>39</v>
      </c>
      <c r="C9" s="5" t="s">
        <v>40</v>
      </c>
      <c r="D9" s="5" t="s">
        <v>41</v>
      </c>
      <c r="E9" s="5" t="s">
        <v>42</v>
      </c>
      <c r="F9" s="5" t="s">
        <v>43</v>
      </c>
      <c r="G9" s="5" t="s">
        <v>44</v>
      </c>
      <c r="H9" s="5" t="s">
        <v>45</v>
      </c>
      <c r="I9" s="4" t="s">
        <v>46</v>
      </c>
      <c r="J9" s="10"/>
    </row>
    <row r="10" spans="1:10">
      <c r="A10" s="5" t="s">
        <v>47</v>
      </c>
      <c r="B10" s="5" t="str">
        <f>IF(VALUE(RIGHT(A10,3))&lt;=117,SUBSTITUTE(A10,"C","A"),SUBSTITUTE(A10,"C","B"))</f>
        <v>A111</v>
      </c>
      <c r="C10" s="5" t="s">
        <v>48</v>
      </c>
      <c r="D10" s="5" t="s">
        <v>49</v>
      </c>
      <c r="E10" s="11">
        <v>700000</v>
      </c>
      <c r="F10" s="12">
        <v>1E-3</v>
      </c>
      <c r="G10" s="13">
        <v>700</v>
      </c>
      <c r="H10" s="14">
        <v>10</v>
      </c>
      <c r="I10" s="14" t="str">
        <f>fn비고(G10,H10)</f>
        <v/>
      </c>
    </row>
    <row r="11" spans="1:10">
      <c r="A11" s="5" t="s">
        <v>50</v>
      </c>
      <c r="B11" s="5" t="str">
        <f t="shared" ref="B11:B24" si="0">IF(VALUE(RIGHT(A11,3))&lt;=117,SUBSTITUTE(A11,"C","A"),SUBSTITUTE(A11,"C","B"))</f>
        <v>A112</v>
      </c>
      <c r="C11" s="5" t="s">
        <v>51</v>
      </c>
      <c r="D11" s="5" t="s">
        <v>52</v>
      </c>
      <c r="E11" s="11">
        <v>1600000</v>
      </c>
      <c r="F11" s="12">
        <v>2E-3</v>
      </c>
      <c r="G11" s="13">
        <v>3200</v>
      </c>
      <c r="H11" s="14">
        <v>15</v>
      </c>
      <c r="I11" s="14" t="str">
        <f t="shared" ref="I11:I24" si="1">fn비고(G11,H11)</f>
        <v>우수고객</v>
      </c>
    </row>
    <row r="12" spans="1:10">
      <c r="A12" s="5" t="s">
        <v>53</v>
      </c>
      <c r="B12" s="5" t="str">
        <f t="shared" si="0"/>
        <v>A113</v>
      </c>
      <c r="C12" s="5" t="s">
        <v>54</v>
      </c>
      <c r="D12" s="5" t="s">
        <v>55</v>
      </c>
      <c r="E12" s="11">
        <v>600000</v>
      </c>
      <c r="F12" s="12">
        <v>1E-3</v>
      </c>
      <c r="G12" s="13">
        <v>600</v>
      </c>
      <c r="H12" s="14">
        <v>8</v>
      </c>
      <c r="I12" s="14" t="str">
        <f t="shared" si="1"/>
        <v/>
      </c>
    </row>
    <row r="13" spans="1:10">
      <c r="A13" s="5" t="s">
        <v>56</v>
      </c>
      <c r="B13" s="5" t="str">
        <f t="shared" si="0"/>
        <v>A114</v>
      </c>
      <c r="C13" s="5" t="s">
        <v>57</v>
      </c>
      <c r="D13" s="5" t="s">
        <v>55</v>
      </c>
      <c r="E13" s="11">
        <v>2200000</v>
      </c>
      <c r="F13" s="12">
        <v>2E-3</v>
      </c>
      <c r="G13" s="13">
        <v>4400</v>
      </c>
      <c r="H13" s="14">
        <v>25</v>
      </c>
      <c r="I13" s="14" t="str">
        <f t="shared" si="1"/>
        <v>골드고객</v>
      </c>
    </row>
    <row r="14" spans="1:10">
      <c r="A14" s="5" t="s">
        <v>58</v>
      </c>
      <c r="B14" s="5" t="str">
        <f t="shared" si="0"/>
        <v>A115</v>
      </c>
      <c r="C14" s="5" t="s">
        <v>59</v>
      </c>
      <c r="D14" s="5" t="s">
        <v>60</v>
      </c>
      <c r="E14" s="11">
        <v>500000</v>
      </c>
      <c r="F14" s="12">
        <v>1E-3</v>
      </c>
      <c r="G14" s="13">
        <v>500</v>
      </c>
      <c r="H14" s="14">
        <v>3</v>
      </c>
      <c r="I14" s="14" t="str">
        <f t="shared" si="1"/>
        <v/>
      </c>
    </row>
    <row r="15" spans="1:10">
      <c r="A15" s="5" t="s">
        <v>61</v>
      </c>
      <c r="B15" s="5" t="str">
        <f t="shared" si="0"/>
        <v>A116</v>
      </c>
      <c r="C15" s="5" t="s">
        <v>62</v>
      </c>
      <c r="D15" s="5" t="s">
        <v>60</v>
      </c>
      <c r="E15" s="11">
        <v>2800000</v>
      </c>
      <c r="F15" s="12">
        <v>3.0000000000000001E-3</v>
      </c>
      <c r="G15" s="13">
        <v>8400</v>
      </c>
      <c r="H15" s="14">
        <v>9</v>
      </c>
      <c r="I15" s="14" t="str">
        <f t="shared" si="1"/>
        <v/>
      </c>
    </row>
    <row r="16" spans="1:10">
      <c r="A16" s="5" t="s">
        <v>63</v>
      </c>
      <c r="B16" s="5" t="str">
        <f t="shared" si="0"/>
        <v>A117</v>
      </c>
      <c r="C16" s="5" t="s">
        <v>64</v>
      </c>
      <c r="D16" s="5" t="s">
        <v>65</v>
      </c>
      <c r="E16" s="11">
        <v>300000</v>
      </c>
      <c r="F16" s="12">
        <v>0</v>
      </c>
      <c r="G16" s="13">
        <v>0</v>
      </c>
      <c r="H16" s="14">
        <v>7</v>
      </c>
      <c r="I16" s="14" t="str">
        <f t="shared" si="1"/>
        <v/>
      </c>
    </row>
    <row r="17" spans="1:11">
      <c r="A17" s="5" t="s">
        <v>66</v>
      </c>
      <c r="B17" s="5" t="str">
        <f t="shared" si="0"/>
        <v>B118</v>
      </c>
      <c r="C17" s="5" t="s">
        <v>67</v>
      </c>
      <c r="D17" s="5" t="s">
        <v>68</v>
      </c>
      <c r="E17" s="11">
        <v>3200000</v>
      </c>
      <c r="F17" s="12">
        <v>3.0000000000000001E-3</v>
      </c>
      <c r="G17" s="13">
        <v>9600</v>
      </c>
      <c r="H17" s="14">
        <v>24</v>
      </c>
      <c r="I17" s="14" t="str">
        <f t="shared" si="1"/>
        <v>골드고객</v>
      </c>
    </row>
    <row r="18" spans="1:11">
      <c r="A18" s="5" t="s">
        <v>69</v>
      </c>
      <c r="B18" s="5" t="str">
        <f t="shared" si="0"/>
        <v>B119</v>
      </c>
      <c r="C18" s="5" t="s">
        <v>70</v>
      </c>
      <c r="D18" s="5" t="s">
        <v>60</v>
      </c>
      <c r="E18" s="11">
        <v>1500000</v>
      </c>
      <c r="F18" s="12">
        <v>2E-3</v>
      </c>
      <c r="G18" s="13">
        <v>3000</v>
      </c>
      <c r="H18" s="14">
        <v>13</v>
      </c>
      <c r="I18" s="14" t="str">
        <f t="shared" si="1"/>
        <v>우수고객</v>
      </c>
    </row>
    <row r="19" spans="1:11">
      <c r="A19" s="5" t="s">
        <v>71</v>
      </c>
      <c r="B19" s="5" t="str">
        <f t="shared" si="0"/>
        <v>B120</v>
      </c>
      <c r="C19" s="5" t="s">
        <v>72</v>
      </c>
      <c r="D19" s="5" t="s">
        <v>73</v>
      </c>
      <c r="E19" s="11">
        <v>2500000</v>
      </c>
      <c r="F19" s="12">
        <v>3.0000000000000001E-3</v>
      </c>
      <c r="G19" s="13">
        <v>7500</v>
      </c>
      <c r="H19" s="14">
        <v>14</v>
      </c>
      <c r="I19" s="14" t="str">
        <f t="shared" si="1"/>
        <v>우수고객</v>
      </c>
    </row>
    <row r="20" spans="1:11">
      <c r="A20" s="5" t="s">
        <v>74</v>
      </c>
      <c r="B20" s="5" t="str">
        <f t="shared" si="0"/>
        <v>B121</v>
      </c>
      <c r="C20" s="5" t="s">
        <v>75</v>
      </c>
      <c r="D20" s="5" t="s">
        <v>76</v>
      </c>
      <c r="E20" s="11">
        <v>3250000</v>
      </c>
      <c r="F20" s="12">
        <v>3.0000000000000001E-3</v>
      </c>
      <c r="G20" s="13">
        <v>9750</v>
      </c>
      <c r="H20" s="14">
        <v>15</v>
      </c>
      <c r="I20" s="14" t="str">
        <f t="shared" si="1"/>
        <v>우수고객</v>
      </c>
    </row>
    <row r="21" spans="1:11">
      <c r="A21" s="5" t="s">
        <v>77</v>
      </c>
      <c r="B21" s="5" t="str">
        <f t="shared" si="0"/>
        <v>B122</v>
      </c>
      <c r="C21" s="5" t="s">
        <v>78</v>
      </c>
      <c r="D21" s="5" t="s">
        <v>79</v>
      </c>
      <c r="E21" s="11">
        <v>1250000</v>
      </c>
      <c r="F21" s="12">
        <v>2E-3</v>
      </c>
      <c r="G21" s="13">
        <v>2500</v>
      </c>
      <c r="H21" s="14">
        <v>16</v>
      </c>
      <c r="I21" s="14" t="str">
        <f t="shared" si="1"/>
        <v/>
      </c>
    </row>
    <row r="22" spans="1:11">
      <c r="A22" s="5" t="s">
        <v>80</v>
      </c>
      <c r="B22" s="5" t="str">
        <f t="shared" si="0"/>
        <v>B123</v>
      </c>
      <c r="C22" s="5" t="s">
        <v>81</v>
      </c>
      <c r="D22" s="5" t="s">
        <v>82</v>
      </c>
      <c r="E22" s="11">
        <v>3200000</v>
      </c>
      <c r="F22" s="12">
        <v>3.0000000000000001E-3</v>
      </c>
      <c r="G22" s="13">
        <v>9600</v>
      </c>
      <c r="H22" s="14">
        <v>17</v>
      </c>
      <c r="I22" s="14" t="str">
        <f t="shared" si="1"/>
        <v>우수고객</v>
      </c>
    </row>
    <row r="23" spans="1:11">
      <c r="A23" s="5" t="s">
        <v>83</v>
      </c>
      <c r="B23" s="5" t="str">
        <f t="shared" si="0"/>
        <v>B124</v>
      </c>
      <c r="C23" s="5" t="s">
        <v>84</v>
      </c>
      <c r="D23" s="5" t="s">
        <v>52</v>
      </c>
      <c r="E23" s="11">
        <v>1200000</v>
      </c>
      <c r="F23" s="12">
        <v>2E-3</v>
      </c>
      <c r="G23" s="13">
        <v>2400</v>
      </c>
      <c r="H23" s="14">
        <v>18</v>
      </c>
      <c r="I23" s="14" t="str">
        <f t="shared" si="1"/>
        <v/>
      </c>
    </row>
    <row r="24" spans="1:11">
      <c r="A24" s="5" t="s">
        <v>85</v>
      </c>
      <c r="B24" s="5" t="str">
        <f t="shared" si="0"/>
        <v>B125</v>
      </c>
      <c r="C24" s="5" t="s">
        <v>86</v>
      </c>
      <c r="D24" s="5" t="s">
        <v>65</v>
      </c>
      <c r="E24" s="11">
        <v>2500000</v>
      </c>
      <c r="F24" s="12">
        <v>3.0000000000000001E-3</v>
      </c>
      <c r="G24" s="13">
        <v>7500</v>
      </c>
      <c r="H24" s="14">
        <v>19</v>
      </c>
      <c r="I24" s="14" t="str">
        <f t="shared" si="1"/>
        <v>우수고객</v>
      </c>
    </row>
    <row r="27" spans="1:11">
      <c r="A27" s="3" t="s">
        <v>87</v>
      </c>
      <c r="B27" s="3" t="s">
        <v>88</v>
      </c>
    </row>
    <row r="28" spans="1:11">
      <c r="A28" s="5" t="s">
        <v>89</v>
      </c>
      <c r="B28" s="5" t="s">
        <v>1</v>
      </c>
      <c r="C28" s="5" t="s">
        <v>90</v>
      </c>
      <c r="D28" s="5" t="s">
        <v>91</v>
      </c>
      <c r="E28" s="5" t="s">
        <v>92</v>
      </c>
      <c r="F28" s="5" t="s">
        <v>93</v>
      </c>
      <c r="G28" s="5" t="s">
        <v>94</v>
      </c>
      <c r="H28" s="4" t="s">
        <v>95</v>
      </c>
    </row>
    <row r="29" spans="1:11">
      <c r="A29" s="14" t="s">
        <v>96</v>
      </c>
      <c r="B29" s="14" t="s">
        <v>97</v>
      </c>
      <c r="C29" s="14" t="s">
        <v>98</v>
      </c>
      <c r="D29" s="6">
        <v>2100000</v>
      </c>
      <c r="E29" s="14">
        <v>70</v>
      </c>
      <c r="F29" s="14">
        <v>20</v>
      </c>
      <c r="G29" s="14">
        <v>7</v>
      </c>
      <c r="H29" s="6">
        <f>D29+D29*(IF(AND(F29&gt;=5,G29&gt;=3),VLOOKUP(E29+F29+G29,$J$33:$K$36,2),0))</f>
        <v>2520000</v>
      </c>
    </row>
    <row r="30" spans="1:11">
      <c r="A30" s="14" t="s">
        <v>99</v>
      </c>
      <c r="B30" s="14" t="s">
        <v>100</v>
      </c>
      <c r="C30" s="14" t="s">
        <v>101</v>
      </c>
      <c r="D30" s="6">
        <v>1500000</v>
      </c>
      <c r="E30" s="14">
        <v>80</v>
      </c>
      <c r="F30" s="14">
        <v>4</v>
      </c>
      <c r="G30" s="14">
        <v>1</v>
      </c>
      <c r="H30" s="6">
        <f t="shared" ref="H30:H36" si="2">D30+D30*(IF(AND(F30&gt;=5,G30&gt;=3),VLOOKUP(E30+F30+G30,$J$33:$K$36,2),0))</f>
        <v>1500000</v>
      </c>
    </row>
    <row r="31" spans="1:11">
      <c r="A31" s="14" t="s">
        <v>102</v>
      </c>
      <c r="B31" s="14" t="s">
        <v>103</v>
      </c>
      <c r="C31" s="14" t="s">
        <v>104</v>
      </c>
      <c r="D31" s="6">
        <v>1200000</v>
      </c>
      <c r="E31" s="14">
        <v>75</v>
      </c>
      <c r="F31" s="14">
        <v>2</v>
      </c>
      <c r="G31" s="14">
        <v>1</v>
      </c>
      <c r="H31" s="6">
        <f t="shared" si="2"/>
        <v>1200000</v>
      </c>
      <c r="J31" s="3" t="s">
        <v>105</v>
      </c>
    </row>
    <row r="32" spans="1:11">
      <c r="A32" s="14" t="s">
        <v>96</v>
      </c>
      <c r="B32" s="14" t="s">
        <v>106</v>
      </c>
      <c r="C32" s="14" t="s">
        <v>107</v>
      </c>
      <c r="D32" s="6">
        <v>1800000</v>
      </c>
      <c r="E32" s="14">
        <v>74</v>
      </c>
      <c r="F32" s="14">
        <v>10</v>
      </c>
      <c r="G32" s="14">
        <v>5</v>
      </c>
      <c r="H32" s="6">
        <f t="shared" si="2"/>
        <v>1980000</v>
      </c>
      <c r="J32" s="5" t="s">
        <v>108</v>
      </c>
      <c r="K32" s="5" t="s">
        <v>109</v>
      </c>
    </row>
    <row r="33" spans="1:11">
      <c r="A33" s="14" t="s">
        <v>99</v>
      </c>
      <c r="B33" s="14" t="s">
        <v>110</v>
      </c>
      <c r="C33" s="14" t="s">
        <v>111</v>
      </c>
      <c r="D33" s="6">
        <v>2400000</v>
      </c>
      <c r="E33" s="14">
        <v>60</v>
      </c>
      <c r="F33" s="14">
        <v>23</v>
      </c>
      <c r="G33" s="14">
        <v>7</v>
      </c>
      <c r="H33" s="6">
        <f t="shared" si="2"/>
        <v>2880000</v>
      </c>
      <c r="J33" s="5">
        <v>70</v>
      </c>
      <c r="K33" s="15">
        <v>0</v>
      </c>
    </row>
    <row r="34" spans="1:11">
      <c r="A34" s="14" t="s">
        <v>102</v>
      </c>
      <c r="B34" s="14" t="s">
        <v>112</v>
      </c>
      <c r="C34" s="14" t="s">
        <v>113</v>
      </c>
      <c r="D34" s="6">
        <v>2600000</v>
      </c>
      <c r="E34" s="14">
        <v>59</v>
      </c>
      <c r="F34" s="14">
        <v>35</v>
      </c>
      <c r="G34" s="14">
        <v>7</v>
      </c>
      <c r="H34" s="6">
        <f t="shared" si="2"/>
        <v>3380000</v>
      </c>
      <c r="J34" s="5">
        <v>80</v>
      </c>
      <c r="K34" s="16">
        <v>0.1</v>
      </c>
    </row>
    <row r="35" spans="1:11">
      <c r="A35" s="14" t="s">
        <v>96</v>
      </c>
      <c r="B35" s="14" t="s">
        <v>114</v>
      </c>
      <c r="C35" s="14" t="s">
        <v>115</v>
      </c>
      <c r="D35" s="6">
        <v>1700000</v>
      </c>
      <c r="E35" s="14">
        <v>64</v>
      </c>
      <c r="F35" s="14">
        <v>8</v>
      </c>
      <c r="G35" s="14">
        <v>3</v>
      </c>
      <c r="H35" s="6">
        <f t="shared" si="2"/>
        <v>1700000</v>
      </c>
      <c r="J35" s="5">
        <v>90</v>
      </c>
      <c r="K35" s="16">
        <v>0.2</v>
      </c>
    </row>
    <row r="36" spans="1:11">
      <c r="A36" s="14" t="s">
        <v>99</v>
      </c>
      <c r="B36" s="14" t="s">
        <v>116</v>
      </c>
      <c r="C36" s="14" t="s">
        <v>117</v>
      </c>
      <c r="D36" s="6">
        <v>1750000</v>
      </c>
      <c r="E36" s="14">
        <v>78</v>
      </c>
      <c r="F36" s="14">
        <v>9</v>
      </c>
      <c r="G36" s="14">
        <v>3</v>
      </c>
      <c r="H36" s="6">
        <f t="shared" si="2"/>
        <v>2100000</v>
      </c>
      <c r="J36" s="5">
        <v>100</v>
      </c>
      <c r="K36" s="16">
        <v>0.3</v>
      </c>
    </row>
    <row r="38" spans="1:11">
      <c r="A38" s="4" t="s">
        <v>118</v>
      </c>
      <c r="C38" s="7" t="s">
        <v>119</v>
      </c>
      <c r="D38" s="3" t="s">
        <v>120</v>
      </c>
    </row>
    <row r="39" spans="1:11">
      <c r="A39" s="14">
        <f>ROUND(DAVERAGE(A28:H36,6,C38:D40),0)</f>
        <v>19</v>
      </c>
      <c r="C39" s="7" t="s">
        <v>121</v>
      </c>
      <c r="G39" s="17"/>
    </row>
    <row r="40" spans="1:11">
      <c r="D40" s="3" t="s">
        <v>122</v>
      </c>
    </row>
    <row r="42" spans="1:11">
      <c r="A42" s="10"/>
    </row>
  </sheetData>
  <mergeCells count="2">
    <mergeCell ref="A2:A3"/>
    <mergeCell ref="B2:C2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4"/>
  <sheetViews>
    <sheetView workbookViewId="0"/>
  </sheetViews>
  <sheetFormatPr defaultRowHeight="16.5"/>
  <cols>
    <col min="1" max="2" width="12.75" style="3" customWidth="1"/>
    <col min="3" max="3" width="9.625" style="3" customWidth="1"/>
    <col min="4" max="4" width="8.5" style="3" bestFit="1" customWidth="1"/>
    <col min="5" max="6" width="9" style="3"/>
    <col min="7" max="7" width="11.75" style="3" customWidth="1"/>
    <col min="8" max="8" width="10.625" style="3" customWidth="1"/>
    <col min="9" max="10" width="9" style="3"/>
    <col min="11" max="11" width="13.125" style="3" customWidth="1"/>
    <col min="12" max="15" width="12.75" style="3" customWidth="1"/>
    <col min="16" max="16" width="9.625" style="3" customWidth="1"/>
    <col min="17" max="17" width="14.5" style="3" bestFit="1" customWidth="1"/>
    <col min="18" max="16384" width="9" style="3"/>
  </cols>
  <sheetData>
    <row r="1" spans="1:17">
      <c r="A1" s="46" t="s">
        <v>1</v>
      </c>
      <c r="B1" s="46" t="s">
        <v>235</v>
      </c>
      <c r="C1" s="46" t="s">
        <v>125</v>
      </c>
      <c r="D1" s="46" t="s">
        <v>236</v>
      </c>
      <c r="E1" s="46" t="s">
        <v>237</v>
      </c>
      <c r="F1" s="46" t="s">
        <v>238</v>
      </c>
      <c r="G1" s="46" t="s">
        <v>239</v>
      </c>
      <c r="H1" s="46" t="s">
        <v>240</v>
      </c>
    </row>
    <row r="2" spans="1:17">
      <c r="A2" s="48" t="s">
        <v>241</v>
      </c>
      <c r="B2" s="48" t="s">
        <v>242</v>
      </c>
      <c r="C2" s="48" t="s">
        <v>137</v>
      </c>
      <c r="D2" s="47">
        <v>1743700</v>
      </c>
      <c r="E2" s="47">
        <v>100000</v>
      </c>
      <c r="F2" s="47">
        <v>0</v>
      </c>
      <c r="G2" s="47">
        <v>300000</v>
      </c>
      <c r="H2" s="47">
        <v>2143700</v>
      </c>
    </row>
    <row r="3" spans="1:17">
      <c r="A3" s="48" t="s">
        <v>243</v>
      </c>
      <c r="B3" s="48" t="s">
        <v>242</v>
      </c>
      <c r="C3" s="48" t="s">
        <v>141</v>
      </c>
      <c r="D3" s="47">
        <v>1280000</v>
      </c>
      <c r="E3" s="47">
        <v>100000</v>
      </c>
      <c r="F3" s="47">
        <v>70000</v>
      </c>
      <c r="G3" s="47">
        <v>0</v>
      </c>
      <c r="H3" s="47">
        <v>1450000</v>
      </c>
      <c r="K3" s="49" t="s">
        <v>1</v>
      </c>
      <c r="L3" t="s">
        <v>300</v>
      </c>
    </row>
    <row r="4" spans="1:17">
      <c r="A4" s="48" t="s">
        <v>244</v>
      </c>
      <c r="B4" s="48" t="s">
        <v>242</v>
      </c>
      <c r="C4" s="48" t="s">
        <v>141</v>
      </c>
      <c r="D4" s="47">
        <v>1280000</v>
      </c>
      <c r="E4" s="47">
        <v>100000</v>
      </c>
      <c r="F4" s="47">
        <v>70000</v>
      </c>
      <c r="G4" s="47">
        <v>0</v>
      </c>
      <c r="H4" s="47">
        <v>1450000</v>
      </c>
    </row>
    <row r="5" spans="1:17">
      <c r="A5" s="48" t="s">
        <v>245</v>
      </c>
      <c r="B5" s="48" t="s">
        <v>246</v>
      </c>
      <c r="C5" s="48" t="s">
        <v>141</v>
      </c>
      <c r="D5" s="47">
        <v>1020000</v>
      </c>
      <c r="E5" s="47">
        <v>100000</v>
      </c>
      <c r="F5" s="47">
        <v>70000</v>
      </c>
      <c r="G5" s="47">
        <v>0</v>
      </c>
      <c r="H5" s="47">
        <v>1190000</v>
      </c>
      <c r="K5" s="49" t="s">
        <v>304</v>
      </c>
      <c r="L5" s="49" t="s">
        <v>301</v>
      </c>
      <c r="M5"/>
      <c r="N5"/>
      <c r="O5"/>
      <c r="P5"/>
      <c r="Q5"/>
    </row>
    <row r="6" spans="1:17">
      <c r="A6" s="48" t="s">
        <v>247</v>
      </c>
      <c r="B6" s="48" t="s">
        <v>246</v>
      </c>
      <c r="C6" s="48" t="s">
        <v>137</v>
      </c>
      <c r="D6" s="47">
        <v>1793700</v>
      </c>
      <c r="E6" s="47">
        <v>100000</v>
      </c>
      <c r="F6" s="47">
        <v>0</v>
      </c>
      <c r="G6" s="47">
        <v>300000</v>
      </c>
      <c r="H6" s="47">
        <v>2193700</v>
      </c>
      <c r="K6" s="49" t="s">
        <v>303</v>
      </c>
      <c r="L6" t="s">
        <v>137</v>
      </c>
      <c r="M6" t="s">
        <v>252</v>
      </c>
      <c r="N6" t="s">
        <v>268</v>
      </c>
      <c r="O6" t="s">
        <v>302</v>
      </c>
      <c r="P6"/>
      <c r="Q6"/>
    </row>
    <row r="7" spans="1:17">
      <c r="A7" s="48" t="s">
        <v>248</v>
      </c>
      <c r="B7" s="48" t="s">
        <v>246</v>
      </c>
      <c r="C7" s="48" t="s">
        <v>141</v>
      </c>
      <c r="D7" s="47">
        <v>1020000</v>
      </c>
      <c r="E7" s="47">
        <v>100000</v>
      </c>
      <c r="F7" s="47">
        <v>70000</v>
      </c>
      <c r="G7" s="47">
        <v>0</v>
      </c>
      <c r="H7" s="47">
        <v>1190000</v>
      </c>
      <c r="K7" s="50" t="s">
        <v>250</v>
      </c>
      <c r="L7" s="51">
        <v>1388900</v>
      </c>
      <c r="M7" s="51">
        <v>2768100</v>
      </c>
      <c r="N7" s="51"/>
      <c r="O7" s="51">
        <v>2078500</v>
      </c>
      <c r="P7"/>
      <c r="Q7"/>
    </row>
    <row r="8" spans="1:17">
      <c r="A8" s="48" t="s">
        <v>249</v>
      </c>
      <c r="B8" s="48" t="s">
        <v>250</v>
      </c>
      <c r="C8" s="48" t="s">
        <v>137</v>
      </c>
      <c r="D8" s="47">
        <v>1388900</v>
      </c>
      <c r="E8" s="47">
        <v>100000</v>
      </c>
      <c r="F8" s="47">
        <v>0</v>
      </c>
      <c r="G8" s="47">
        <v>300000</v>
      </c>
      <c r="H8" s="47">
        <v>1788900</v>
      </c>
      <c r="K8" s="50" t="s">
        <v>262</v>
      </c>
      <c r="L8" s="51">
        <v>1793700</v>
      </c>
      <c r="M8" s="51">
        <v>2871300</v>
      </c>
      <c r="N8" s="51">
        <v>2303300</v>
      </c>
      <c r="O8" s="51">
        <v>2542180</v>
      </c>
      <c r="P8"/>
      <c r="Q8"/>
    </row>
    <row r="9" spans="1:17">
      <c r="A9" s="48" t="s">
        <v>251</v>
      </c>
      <c r="B9" s="48" t="s">
        <v>250</v>
      </c>
      <c r="C9" s="48" t="s">
        <v>252</v>
      </c>
      <c r="D9" s="47">
        <v>2768100</v>
      </c>
      <c r="E9" s="47">
        <v>100000</v>
      </c>
      <c r="F9" s="47">
        <v>0</v>
      </c>
      <c r="G9" s="47">
        <v>300000</v>
      </c>
      <c r="H9" s="47">
        <v>3168100</v>
      </c>
      <c r="K9" s="50" t="s">
        <v>246</v>
      </c>
      <c r="L9" s="51">
        <v>1533860</v>
      </c>
      <c r="M9" s="51">
        <v>2871300</v>
      </c>
      <c r="N9" s="51">
        <v>2373300</v>
      </c>
      <c r="O9" s="51">
        <v>2102980</v>
      </c>
      <c r="P9"/>
      <c r="Q9"/>
    </row>
    <row r="10" spans="1:17">
      <c r="A10" s="48" t="s">
        <v>253</v>
      </c>
      <c r="B10" s="48" t="s">
        <v>242</v>
      </c>
      <c r="C10" s="48" t="s">
        <v>137</v>
      </c>
      <c r="D10" s="47">
        <v>1428900</v>
      </c>
      <c r="E10" s="47">
        <v>100000</v>
      </c>
      <c r="F10" s="47">
        <v>0</v>
      </c>
      <c r="G10" s="47">
        <v>300000</v>
      </c>
      <c r="H10" s="47">
        <v>1828900</v>
      </c>
      <c r="K10" s="50" t="s">
        <v>242</v>
      </c>
      <c r="L10" s="51">
        <v>1533833.3333333333</v>
      </c>
      <c r="M10" s="51">
        <v>2845500</v>
      </c>
      <c r="N10" s="51">
        <v>2088500</v>
      </c>
      <c r="O10" s="51">
        <v>2067071.4285714286</v>
      </c>
      <c r="P10"/>
      <c r="Q10"/>
    </row>
    <row r="11" spans="1:17">
      <c r="A11" s="48" t="s">
        <v>254</v>
      </c>
      <c r="B11" s="48" t="s">
        <v>242</v>
      </c>
      <c r="C11" s="48" t="s">
        <v>137</v>
      </c>
      <c r="D11" s="47">
        <v>1428900</v>
      </c>
      <c r="E11" s="47">
        <v>100000</v>
      </c>
      <c r="F11" s="47">
        <v>0</v>
      </c>
      <c r="G11" s="47">
        <v>300000</v>
      </c>
      <c r="H11" s="47">
        <v>1828900</v>
      </c>
      <c r="K11" s="50" t="s">
        <v>302</v>
      </c>
      <c r="L11" s="51">
        <v>1545340</v>
      </c>
      <c r="M11" s="51">
        <v>2854100</v>
      </c>
      <c r="N11" s="51">
        <v>2245380</v>
      </c>
      <c r="O11" s="51">
        <v>2181966.6666666665</v>
      </c>
      <c r="P11"/>
      <c r="Q11"/>
    </row>
    <row r="12" spans="1:17">
      <c r="A12" s="48" t="s">
        <v>255</v>
      </c>
      <c r="B12" s="48" t="s">
        <v>242</v>
      </c>
      <c r="C12" s="48" t="s">
        <v>252</v>
      </c>
      <c r="D12" s="47">
        <v>3002900</v>
      </c>
      <c r="E12" s="47">
        <v>100000</v>
      </c>
      <c r="F12" s="47">
        <v>0</v>
      </c>
      <c r="G12" s="47">
        <v>300000</v>
      </c>
      <c r="H12" s="47">
        <v>3402900</v>
      </c>
      <c r="K12"/>
      <c r="L12"/>
      <c r="M12"/>
    </row>
    <row r="13" spans="1:17">
      <c r="A13" s="48" t="s">
        <v>256</v>
      </c>
      <c r="B13" s="48" t="s">
        <v>246</v>
      </c>
      <c r="C13" s="48" t="s">
        <v>137</v>
      </c>
      <c r="D13" s="47">
        <v>1468900</v>
      </c>
      <c r="E13" s="47">
        <v>100000</v>
      </c>
      <c r="F13" s="47">
        <v>0</v>
      </c>
      <c r="G13" s="47">
        <v>300000</v>
      </c>
      <c r="H13" s="47">
        <v>1868900</v>
      </c>
      <c r="K13"/>
      <c r="L13"/>
      <c r="M13"/>
    </row>
    <row r="14" spans="1:17">
      <c r="A14" s="48" t="s">
        <v>257</v>
      </c>
      <c r="B14" s="48" t="s">
        <v>246</v>
      </c>
      <c r="C14" s="48" t="s">
        <v>137</v>
      </c>
      <c r="D14" s="47">
        <v>1468900</v>
      </c>
      <c r="E14" s="47">
        <v>100000</v>
      </c>
      <c r="F14" s="47">
        <v>0</v>
      </c>
      <c r="G14" s="47">
        <v>300000</v>
      </c>
      <c r="H14" s="47">
        <v>1868900</v>
      </c>
      <c r="K14"/>
      <c r="L14"/>
      <c r="M14"/>
    </row>
    <row r="15" spans="1:17">
      <c r="A15" s="48" t="s">
        <v>258</v>
      </c>
      <c r="B15" s="48" t="s">
        <v>246</v>
      </c>
      <c r="C15" s="48" t="s">
        <v>137</v>
      </c>
      <c r="D15" s="47">
        <v>1468900</v>
      </c>
      <c r="E15" s="47">
        <v>100000</v>
      </c>
      <c r="F15" s="47">
        <v>0</v>
      </c>
      <c r="G15" s="47">
        <v>300000</v>
      </c>
      <c r="H15" s="47">
        <v>1868900</v>
      </c>
      <c r="K15"/>
      <c r="L15"/>
      <c r="M15"/>
    </row>
    <row r="16" spans="1:17">
      <c r="A16" s="48" t="s">
        <v>259</v>
      </c>
      <c r="B16" s="48" t="s">
        <v>250</v>
      </c>
      <c r="C16" s="48" t="s">
        <v>133</v>
      </c>
      <c r="D16" s="47">
        <v>845200</v>
      </c>
      <c r="E16" s="47">
        <v>100000</v>
      </c>
      <c r="F16" s="47">
        <v>70000</v>
      </c>
      <c r="G16" s="47">
        <v>0</v>
      </c>
      <c r="H16" s="47">
        <v>1015200</v>
      </c>
      <c r="K16"/>
      <c r="L16"/>
      <c r="M16"/>
    </row>
    <row r="17" spans="1:13">
      <c r="A17" s="48" t="s">
        <v>260</v>
      </c>
      <c r="B17" s="48" t="s">
        <v>250</v>
      </c>
      <c r="C17" s="48" t="s">
        <v>133</v>
      </c>
      <c r="D17" s="47">
        <v>845200</v>
      </c>
      <c r="E17" s="47">
        <v>100000</v>
      </c>
      <c r="F17" s="47">
        <v>70000</v>
      </c>
      <c r="G17" s="47">
        <v>0</v>
      </c>
      <c r="H17" s="47">
        <v>1015200</v>
      </c>
      <c r="K17"/>
      <c r="L17"/>
      <c r="M17"/>
    </row>
    <row r="18" spans="1:13">
      <c r="A18" s="48" t="s">
        <v>261</v>
      </c>
      <c r="B18" s="48" t="s">
        <v>262</v>
      </c>
      <c r="C18" s="48" t="s">
        <v>141</v>
      </c>
      <c r="D18" s="47">
        <v>1020000</v>
      </c>
      <c r="E18" s="47">
        <v>100000</v>
      </c>
      <c r="F18" s="47">
        <v>70000</v>
      </c>
      <c r="G18" s="47">
        <v>0</v>
      </c>
      <c r="H18" s="47">
        <v>1190000</v>
      </c>
      <c r="K18"/>
      <c r="L18"/>
      <c r="M18"/>
    </row>
    <row r="19" spans="1:13">
      <c r="A19" s="48" t="s">
        <v>263</v>
      </c>
      <c r="B19" s="48" t="s">
        <v>262</v>
      </c>
      <c r="C19" s="48" t="s">
        <v>141</v>
      </c>
      <c r="D19" s="47">
        <v>798900</v>
      </c>
      <c r="E19" s="47">
        <v>100000</v>
      </c>
      <c r="F19" s="47">
        <v>70000</v>
      </c>
      <c r="G19" s="47">
        <v>0</v>
      </c>
      <c r="H19" s="47">
        <v>968900</v>
      </c>
      <c r="K19"/>
      <c r="L19"/>
      <c r="M19"/>
    </row>
    <row r="20" spans="1:13">
      <c r="A20" s="48" t="s">
        <v>264</v>
      </c>
      <c r="B20" s="48" t="s">
        <v>246</v>
      </c>
      <c r="C20" s="48" t="s">
        <v>133</v>
      </c>
      <c r="D20" s="47">
        <v>766300</v>
      </c>
      <c r="E20" s="47">
        <v>100000</v>
      </c>
      <c r="F20" s="47">
        <v>70000</v>
      </c>
      <c r="G20" s="47">
        <v>0</v>
      </c>
      <c r="H20" s="47">
        <v>936300</v>
      </c>
      <c r="K20"/>
      <c r="L20"/>
      <c r="M20"/>
    </row>
    <row r="21" spans="1:13">
      <c r="A21" s="48" t="s">
        <v>265</v>
      </c>
      <c r="B21" s="48" t="s">
        <v>246</v>
      </c>
      <c r="C21" s="48" t="s">
        <v>141</v>
      </c>
      <c r="D21" s="47">
        <v>1250000</v>
      </c>
      <c r="E21" s="47">
        <v>100000</v>
      </c>
      <c r="F21" s="47">
        <v>70000</v>
      </c>
      <c r="G21" s="47">
        <v>0</v>
      </c>
      <c r="H21" s="47">
        <v>1420000</v>
      </c>
      <c r="K21"/>
      <c r="L21"/>
      <c r="M21"/>
    </row>
    <row r="22" spans="1:13">
      <c r="A22" s="48" t="s">
        <v>266</v>
      </c>
      <c r="B22" s="48" t="s">
        <v>246</v>
      </c>
      <c r="C22" s="48" t="s">
        <v>133</v>
      </c>
      <c r="D22" s="47">
        <v>766300</v>
      </c>
      <c r="E22" s="47">
        <v>100000</v>
      </c>
      <c r="F22" s="47">
        <v>70000</v>
      </c>
      <c r="G22" s="47">
        <v>0</v>
      </c>
      <c r="H22" s="47">
        <v>936300</v>
      </c>
      <c r="K22"/>
      <c r="L22"/>
      <c r="M22"/>
    </row>
    <row r="23" spans="1:13">
      <c r="A23" s="48" t="s">
        <v>267</v>
      </c>
      <c r="B23" s="48" t="s">
        <v>262</v>
      </c>
      <c r="C23" s="48" t="s">
        <v>268</v>
      </c>
      <c r="D23" s="47">
        <v>2303300</v>
      </c>
      <c r="E23" s="47">
        <v>100000</v>
      </c>
      <c r="F23" s="47">
        <v>0</v>
      </c>
      <c r="G23" s="47">
        <v>300000</v>
      </c>
      <c r="H23" s="47">
        <v>2703300</v>
      </c>
    </row>
    <row r="24" spans="1:13">
      <c r="A24" s="48" t="s">
        <v>269</v>
      </c>
      <c r="B24" s="48" t="s">
        <v>246</v>
      </c>
      <c r="C24" s="48" t="s">
        <v>133</v>
      </c>
      <c r="D24" s="47">
        <v>766300</v>
      </c>
      <c r="E24" s="47">
        <v>100000</v>
      </c>
      <c r="F24" s="47">
        <v>70000</v>
      </c>
      <c r="G24" s="47">
        <v>0</v>
      </c>
      <c r="H24" s="47">
        <v>936300</v>
      </c>
    </row>
    <row r="25" spans="1:13">
      <c r="A25" s="48" t="s">
        <v>270</v>
      </c>
      <c r="B25" s="48" t="s">
        <v>246</v>
      </c>
      <c r="C25" s="48" t="s">
        <v>252</v>
      </c>
      <c r="D25" s="47">
        <v>2608100</v>
      </c>
      <c r="E25" s="47">
        <v>100000</v>
      </c>
      <c r="F25" s="47">
        <v>0</v>
      </c>
      <c r="G25" s="47">
        <v>300000</v>
      </c>
      <c r="H25" s="47">
        <v>3008100</v>
      </c>
    </row>
    <row r="26" spans="1:13">
      <c r="A26" s="48" t="s">
        <v>271</v>
      </c>
      <c r="B26" s="48" t="s">
        <v>246</v>
      </c>
      <c r="C26" s="48" t="s">
        <v>133</v>
      </c>
      <c r="D26" s="47">
        <v>766300</v>
      </c>
      <c r="E26" s="47">
        <v>100000</v>
      </c>
      <c r="F26" s="47">
        <v>70000</v>
      </c>
      <c r="G26" s="47">
        <v>0</v>
      </c>
      <c r="H26" s="47">
        <v>936300</v>
      </c>
    </row>
    <row r="27" spans="1:13">
      <c r="A27" s="48" t="s">
        <v>272</v>
      </c>
      <c r="B27" s="48" t="s">
        <v>262</v>
      </c>
      <c r="C27" s="48" t="s">
        <v>252</v>
      </c>
      <c r="D27" s="47">
        <v>2912900</v>
      </c>
      <c r="E27" s="47">
        <v>100000</v>
      </c>
      <c r="F27" s="47">
        <v>0</v>
      </c>
      <c r="G27" s="47">
        <v>300000</v>
      </c>
      <c r="H27" s="47">
        <v>3312900</v>
      </c>
    </row>
    <row r="28" spans="1:13">
      <c r="A28" s="48" t="s">
        <v>273</v>
      </c>
      <c r="B28" s="48" t="s">
        <v>246</v>
      </c>
      <c r="C28" s="48" t="s">
        <v>133</v>
      </c>
      <c r="D28" s="47">
        <v>766300</v>
      </c>
      <c r="E28" s="47">
        <v>100000</v>
      </c>
      <c r="F28" s="47">
        <v>70000</v>
      </c>
      <c r="G28" s="47">
        <v>0</v>
      </c>
      <c r="H28" s="47">
        <v>936300</v>
      </c>
    </row>
    <row r="29" spans="1:13">
      <c r="A29" s="48" t="s">
        <v>274</v>
      </c>
      <c r="B29" s="48" t="s">
        <v>242</v>
      </c>
      <c r="C29" s="48" t="s">
        <v>133</v>
      </c>
      <c r="D29" s="47">
        <v>673600</v>
      </c>
      <c r="E29" s="47">
        <v>100000</v>
      </c>
      <c r="F29" s="47">
        <v>70000</v>
      </c>
      <c r="G29" s="47">
        <v>0</v>
      </c>
      <c r="H29" s="47">
        <v>843600</v>
      </c>
    </row>
    <row r="30" spans="1:13">
      <c r="A30" s="48" t="s">
        <v>275</v>
      </c>
      <c r="B30" s="48" t="s">
        <v>242</v>
      </c>
      <c r="C30" s="48" t="s">
        <v>141</v>
      </c>
      <c r="D30" s="47">
        <v>1020000</v>
      </c>
      <c r="E30" s="47">
        <v>100000</v>
      </c>
      <c r="F30" s="47">
        <v>70000</v>
      </c>
      <c r="G30" s="47">
        <v>0</v>
      </c>
      <c r="H30" s="47">
        <v>1190000</v>
      </c>
    </row>
    <row r="31" spans="1:13">
      <c r="A31" s="48" t="s">
        <v>276</v>
      </c>
      <c r="B31" s="48" t="s">
        <v>242</v>
      </c>
      <c r="C31" s="48" t="s">
        <v>141</v>
      </c>
      <c r="D31" s="47">
        <v>1280000</v>
      </c>
      <c r="E31" s="47">
        <v>100000</v>
      </c>
      <c r="F31" s="47">
        <v>70000</v>
      </c>
      <c r="G31" s="47">
        <v>0</v>
      </c>
      <c r="H31" s="47">
        <v>1450000</v>
      </c>
    </row>
    <row r="32" spans="1:13">
      <c r="A32" s="48" t="s">
        <v>277</v>
      </c>
      <c r="B32" s="48" t="s">
        <v>242</v>
      </c>
      <c r="C32" s="48" t="s">
        <v>141</v>
      </c>
      <c r="D32" s="47">
        <v>798900</v>
      </c>
      <c r="E32" s="47">
        <v>100000</v>
      </c>
      <c r="F32" s="47">
        <v>70000</v>
      </c>
      <c r="G32" s="47">
        <v>0</v>
      </c>
      <c r="H32" s="47">
        <v>968900</v>
      </c>
    </row>
    <row r="33" spans="1:8">
      <c r="A33" s="48" t="s">
        <v>278</v>
      </c>
      <c r="B33" s="48" t="s">
        <v>242</v>
      </c>
      <c r="C33" s="48" t="s">
        <v>141</v>
      </c>
      <c r="D33" s="47">
        <v>1280000</v>
      </c>
      <c r="E33" s="47">
        <v>100000</v>
      </c>
      <c r="F33" s="47">
        <v>70000</v>
      </c>
      <c r="G33" s="47">
        <v>0</v>
      </c>
      <c r="H33" s="47">
        <v>1450000</v>
      </c>
    </row>
    <row r="34" spans="1:8">
      <c r="A34" s="48" t="s">
        <v>279</v>
      </c>
      <c r="B34" s="48" t="s">
        <v>242</v>
      </c>
      <c r="C34" s="48" t="s">
        <v>133</v>
      </c>
      <c r="D34" s="47">
        <v>653500</v>
      </c>
      <c r="E34" s="47">
        <v>100000</v>
      </c>
      <c r="F34" s="47">
        <v>70000</v>
      </c>
      <c r="G34" s="47">
        <v>0</v>
      </c>
      <c r="H34" s="47">
        <v>823500</v>
      </c>
    </row>
    <row r="35" spans="1:8">
      <c r="A35" s="48" t="s">
        <v>280</v>
      </c>
      <c r="B35" s="48" t="s">
        <v>242</v>
      </c>
      <c r="C35" s="48" t="s">
        <v>252</v>
      </c>
      <c r="D35" s="47">
        <v>2688100</v>
      </c>
      <c r="E35" s="47">
        <v>100000</v>
      </c>
      <c r="F35" s="47">
        <v>0</v>
      </c>
      <c r="G35" s="47">
        <v>300000</v>
      </c>
      <c r="H35" s="47">
        <v>3088100</v>
      </c>
    </row>
    <row r="36" spans="1:8">
      <c r="A36" s="48" t="s">
        <v>281</v>
      </c>
      <c r="B36" s="48" t="s">
        <v>246</v>
      </c>
      <c r="C36" s="48" t="s">
        <v>268</v>
      </c>
      <c r="D36" s="47">
        <v>2373300</v>
      </c>
      <c r="E36" s="47">
        <v>100000</v>
      </c>
      <c r="F36" s="47">
        <v>0</v>
      </c>
      <c r="G36" s="47">
        <v>300000</v>
      </c>
      <c r="H36" s="47">
        <v>2773300</v>
      </c>
    </row>
    <row r="37" spans="1:8">
      <c r="A37" s="48" t="s">
        <v>282</v>
      </c>
      <c r="B37" s="48" t="s">
        <v>242</v>
      </c>
      <c r="C37" s="48" t="s">
        <v>133</v>
      </c>
      <c r="D37" s="47">
        <v>653500</v>
      </c>
      <c r="E37" s="47">
        <v>100000</v>
      </c>
      <c r="F37" s="47">
        <v>70000</v>
      </c>
      <c r="G37" s="47">
        <v>0</v>
      </c>
      <c r="H37" s="47">
        <v>823500</v>
      </c>
    </row>
    <row r="38" spans="1:8">
      <c r="A38" s="48" t="s">
        <v>283</v>
      </c>
      <c r="B38" s="48" t="s">
        <v>242</v>
      </c>
      <c r="C38" s="48" t="s">
        <v>133</v>
      </c>
      <c r="D38" s="47">
        <v>653500</v>
      </c>
      <c r="E38" s="47">
        <v>100000</v>
      </c>
      <c r="F38" s="47">
        <v>70000</v>
      </c>
      <c r="G38" s="47">
        <v>0</v>
      </c>
      <c r="H38" s="47">
        <v>823500</v>
      </c>
    </row>
    <row r="39" spans="1:8">
      <c r="A39" s="48" t="s">
        <v>284</v>
      </c>
      <c r="B39" s="48" t="s">
        <v>246</v>
      </c>
      <c r="C39" s="48" t="s">
        <v>252</v>
      </c>
      <c r="D39" s="47">
        <v>3002900</v>
      </c>
      <c r="E39" s="47">
        <v>100000</v>
      </c>
      <c r="F39" s="47">
        <v>0</v>
      </c>
      <c r="G39" s="47">
        <v>300000</v>
      </c>
      <c r="H39" s="47">
        <v>3402900</v>
      </c>
    </row>
    <row r="40" spans="1:8">
      <c r="A40" s="48" t="s">
        <v>285</v>
      </c>
      <c r="B40" s="48" t="s">
        <v>242</v>
      </c>
      <c r="C40" s="48" t="s">
        <v>133</v>
      </c>
      <c r="D40" s="47">
        <v>653500</v>
      </c>
      <c r="E40" s="47">
        <v>100000</v>
      </c>
      <c r="F40" s="47">
        <v>70000</v>
      </c>
      <c r="G40" s="47">
        <v>0</v>
      </c>
      <c r="H40" s="47">
        <v>823500</v>
      </c>
    </row>
    <row r="41" spans="1:8">
      <c r="A41" s="48" t="s">
        <v>286</v>
      </c>
      <c r="B41" s="48" t="s">
        <v>242</v>
      </c>
      <c r="C41" s="48" t="s">
        <v>268</v>
      </c>
      <c r="D41" s="47">
        <v>2058500</v>
      </c>
      <c r="E41" s="47">
        <v>100000</v>
      </c>
      <c r="F41" s="47">
        <v>0</v>
      </c>
      <c r="G41" s="47">
        <v>300000</v>
      </c>
      <c r="H41" s="47">
        <v>2458500</v>
      </c>
    </row>
    <row r="42" spans="1:8">
      <c r="A42" s="48" t="s">
        <v>287</v>
      </c>
      <c r="B42" s="48" t="s">
        <v>246</v>
      </c>
      <c r="C42" s="48" t="s">
        <v>268</v>
      </c>
      <c r="D42" s="47">
        <v>2373300</v>
      </c>
      <c r="E42" s="47">
        <v>100000</v>
      </c>
      <c r="F42" s="47">
        <v>0</v>
      </c>
      <c r="G42" s="47">
        <v>300000</v>
      </c>
      <c r="H42" s="47">
        <v>2773300</v>
      </c>
    </row>
    <row r="43" spans="1:8">
      <c r="A43" s="48" t="s">
        <v>288</v>
      </c>
      <c r="B43" s="48" t="s">
        <v>242</v>
      </c>
      <c r="C43" s="48" t="s">
        <v>133</v>
      </c>
      <c r="D43" s="47">
        <v>653500</v>
      </c>
      <c r="E43" s="47">
        <v>100000</v>
      </c>
      <c r="F43" s="47">
        <v>70000</v>
      </c>
      <c r="G43" s="47">
        <v>0</v>
      </c>
      <c r="H43" s="47">
        <v>823500</v>
      </c>
    </row>
    <row r="44" spans="1:8">
      <c r="A44" s="48" t="s">
        <v>289</v>
      </c>
      <c r="B44" s="48" t="s">
        <v>262</v>
      </c>
      <c r="C44" s="48" t="s">
        <v>252</v>
      </c>
      <c r="D44" s="47">
        <v>2608100</v>
      </c>
      <c r="E44" s="47">
        <v>100000</v>
      </c>
      <c r="F44" s="47">
        <v>0</v>
      </c>
      <c r="G44" s="47">
        <v>300000</v>
      </c>
      <c r="H44" s="47">
        <v>3008100</v>
      </c>
    </row>
    <row r="45" spans="1:8">
      <c r="A45" s="48" t="s">
        <v>290</v>
      </c>
      <c r="B45" s="48" t="s">
        <v>262</v>
      </c>
      <c r="C45" s="48" t="s">
        <v>133</v>
      </c>
      <c r="D45" s="47">
        <v>633400</v>
      </c>
      <c r="E45" s="47">
        <v>100000</v>
      </c>
      <c r="F45" s="47">
        <v>70000</v>
      </c>
      <c r="G45" s="47">
        <v>0</v>
      </c>
      <c r="H45" s="47">
        <v>803400</v>
      </c>
    </row>
    <row r="46" spans="1:8">
      <c r="A46" s="48" t="s">
        <v>291</v>
      </c>
      <c r="B46" s="48" t="s">
        <v>262</v>
      </c>
      <c r="C46" s="48" t="s">
        <v>141</v>
      </c>
      <c r="D46" s="47">
        <v>1250000</v>
      </c>
      <c r="E46" s="47">
        <v>100000</v>
      </c>
      <c r="F46" s="47">
        <v>70000</v>
      </c>
      <c r="G46" s="47">
        <v>0</v>
      </c>
      <c r="H46" s="47">
        <v>1420000</v>
      </c>
    </row>
    <row r="47" spans="1:8">
      <c r="A47" s="48" t="s">
        <v>292</v>
      </c>
      <c r="B47" s="48" t="s">
        <v>262</v>
      </c>
      <c r="C47" s="48" t="s">
        <v>141</v>
      </c>
      <c r="D47" s="47">
        <v>1250000</v>
      </c>
      <c r="E47" s="47">
        <v>100000</v>
      </c>
      <c r="F47" s="47">
        <v>70000</v>
      </c>
      <c r="G47" s="47">
        <v>0</v>
      </c>
      <c r="H47" s="47">
        <v>1420000</v>
      </c>
    </row>
    <row r="48" spans="1:8">
      <c r="A48" s="48" t="s">
        <v>293</v>
      </c>
      <c r="B48" s="48" t="s">
        <v>262</v>
      </c>
      <c r="C48" s="48" t="s">
        <v>137</v>
      </c>
      <c r="D48" s="47">
        <v>1793700</v>
      </c>
      <c r="E48" s="47">
        <v>100000</v>
      </c>
      <c r="F48" s="47">
        <v>0</v>
      </c>
      <c r="G48" s="47">
        <v>300000</v>
      </c>
      <c r="H48" s="47">
        <v>2193700</v>
      </c>
    </row>
    <row r="49" spans="1:8">
      <c r="A49" s="48" t="s">
        <v>294</v>
      </c>
      <c r="B49" s="48" t="s">
        <v>262</v>
      </c>
      <c r="C49" s="48" t="s">
        <v>252</v>
      </c>
      <c r="D49" s="47">
        <v>3092900</v>
      </c>
      <c r="E49" s="47">
        <v>100000</v>
      </c>
      <c r="F49" s="47">
        <v>0</v>
      </c>
      <c r="G49" s="47">
        <v>300000</v>
      </c>
      <c r="H49" s="47">
        <v>3492900</v>
      </c>
    </row>
    <row r="50" spans="1:8">
      <c r="A50" s="48" t="s">
        <v>295</v>
      </c>
      <c r="B50" s="48" t="s">
        <v>262</v>
      </c>
      <c r="C50" s="48" t="s">
        <v>141</v>
      </c>
      <c r="D50" s="47">
        <v>1250000</v>
      </c>
      <c r="E50" s="47">
        <v>100000</v>
      </c>
      <c r="F50" s="47">
        <v>70000</v>
      </c>
      <c r="G50" s="47">
        <v>0</v>
      </c>
      <c r="H50" s="47">
        <v>1420000</v>
      </c>
    </row>
    <row r="51" spans="1:8">
      <c r="A51" s="48" t="s">
        <v>296</v>
      </c>
      <c r="B51" s="48" t="s">
        <v>262</v>
      </c>
      <c r="C51" s="48" t="s">
        <v>141</v>
      </c>
      <c r="D51" s="47">
        <v>1250000</v>
      </c>
      <c r="E51" s="47">
        <v>100000</v>
      </c>
      <c r="F51" s="47">
        <v>70000</v>
      </c>
      <c r="G51" s="47">
        <v>0</v>
      </c>
      <c r="H51" s="47">
        <v>1420000</v>
      </c>
    </row>
    <row r="52" spans="1:8">
      <c r="A52" s="48" t="s">
        <v>297</v>
      </c>
      <c r="B52" s="48" t="s">
        <v>246</v>
      </c>
      <c r="C52" s="48" t="s">
        <v>252</v>
      </c>
      <c r="D52" s="47">
        <v>3002900</v>
      </c>
      <c r="E52" s="47">
        <v>100000</v>
      </c>
      <c r="F52" s="47">
        <v>0</v>
      </c>
      <c r="G52" s="47">
        <v>300000</v>
      </c>
      <c r="H52" s="47">
        <v>3402900</v>
      </c>
    </row>
    <row r="53" spans="1:8">
      <c r="A53" s="48" t="s">
        <v>298</v>
      </c>
      <c r="B53" s="48" t="s">
        <v>246</v>
      </c>
      <c r="C53" s="48" t="s">
        <v>137</v>
      </c>
      <c r="D53" s="47">
        <v>1468900</v>
      </c>
      <c r="E53" s="47">
        <v>100000</v>
      </c>
      <c r="F53" s="47">
        <v>0</v>
      </c>
      <c r="G53" s="47">
        <v>300000</v>
      </c>
      <c r="H53" s="47">
        <v>1868900</v>
      </c>
    </row>
    <row r="54" spans="1:8">
      <c r="A54" s="48" t="s">
        <v>299</v>
      </c>
      <c r="B54" s="48" t="s">
        <v>242</v>
      </c>
      <c r="C54" s="48" t="s">
        <v>268</v>
      </c>
      <c r="D54" s="47">
        <v>2118500</v>
      </c>
      <c r="E54" s="47">
        <v>100000</v>
      </c>
      <c r="F54" s="47">
        <v>0</v>
      </c>
      <c r="G54" s="47">
        <v>300000</v>
      </c>
      <c r="H54" s="47">
        <v>2518500</v>
      </c>
    </row>
  </sheetData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B6:I31"/>
  <sheetViews>
    <sheetView workbookViewId="0"/>
  </sheetViews>
  <sheetFormatPr defaultRowHeight="16.5"/>
  <cols>
    <col min="1" max="1" width="2.875" style="3" customWidth="1"/>
    <col min="2" max="4" width="9.75" style="3" bestFit="1" customWidth="1"/>
    <col min="5" max="8" width="10.875" style="3" bestFit="1" customWidth="1"/>
    <col min="9" max="9" width="13.5" style="3" bestFit="1" customWidth="1"/>
    <col min="10" max="16384" width="9" style="3"/>
  </cols>
  <sheetData>
    <row r="6" spans="2:9">
      <c r="B6" s="18" t="s">
        <v>123</v>
      </c>
      <c r="C6" s="18" t="s">
        <v>124</v>
      </c>
      <c r="D6" s="18" t="s">
        <v>125</v>
      </c>
      <c r="E6" s="18" t="s">
        <v>126</v>
      </c>
      <c r="F6" s="18" t="s">
        <v>127</v>
      </c>
      <c r="G6" s="18" t="s">
        <v>128</v>
      </c>
      <c r="H6" s="18" t="s">
        <v>129</v>
      </c>
      <c r="I6" s="19" t="s">
        <v>130</v>
      </c>
    </row>
    <row r="7" spans="2:9" hidden="1">
      <c r="B7" s="18" t="s">
        <v>131</v>
      </c>
      <c r="C7" s="18" t="s">
        <v>132</v>
      </c>
      <c r="D7" s="18" t="s">
        <v>133</v>
      </c>
      <c r="E7" s="20">
        <v>85</v>
      </c>
      <c r="F7" s="20">
        <v>60</v>
      </c>
      <c r="G7" s="20">
        <v>85</v>
      </c>
      <c r="H7" s="20">
        <v>85</v>
      </c>
      <c r="I7" s="21">
        <v>80</v>
      </c>
    </row>
    <row r="8" spans="2:9" hidden="1">
      <c r="B8" s="18" t="s">
        <v>134</v>
      </c>
      <c r="C8" s="18" t="s">
        <v>135</v>
      </c>
      <c r="D8" s="18" t="s">
        <v>133</v>
      </c>
      <c r="E8" s="20">
        <v>90</v>
      </c>
      <c r="F8" s="20">
        <v>93</v>
      </c>
      <c r="G8" s="20">
        <v>71</v>
      </c>
      <c r="H8" s="20">
        <v>90</v>
      </c>
      <c r="I8" s="20">
        <v>85</v>
      </c>
    </row>
    <row r="9" spans="2:9" hidden="1">
      <c r="B9" s="18" t="s">
        <v>131</v>
      </c>
      <c r="C9" s="18" t="s">
        <v>136</v>
      </c>
      <c r="D9" s="18" t="s">
        <v>137</v>
      </c>
      <c r="E9" s="20">
        <v>75</v>
      </c>
      <c r="F9" s="20">
        <v>80</v>
      </c>
      <c r="G9" s="20">
        <v>71</v>
      </c>
      <c r="H9" s="20">
        <v>60</v>
      </c>
      <c r="I9" s="20">
        <v>69</v>
      </c>
    </row>
    <row r="10" spans="2:9" hidden="1">
      <c r="B10" s="18" t="s">
        <v>138</v>
      </c>
      <c r="C10" s="18" t="s">
        <v>139</v>
      </c>
      <c r="D10" s="18" t="s">
        <v>137</v>
      </c>
      <c r="E10" s="20">
        <v>85</v>
      </c>
      <c r="F10" s="20">
        <v>82</v>
      </c>
      <c r="G10" s="20">
        <v>63</v>
      </c>
      <c r="H10" s="20">
        <v>90</v>
      </c>
      <c r="I10" s="20">
        <v>80</v>
      </c>
    </row>
    <row r="11" spans="2:9" hidden="1">
      <c r="B11" s="18" t="s">
        <v>134</v>
      </c>
      <c r="C11" s="18" t="s">
        <v>140</v>
      </c>
      <c r="D11" s="18" t="s">
        <v>141</v>
      </c>
      <c r="E11" s="20">
        <v>89</v>
      </c>
      <c r="F11" s="20">
        <v>79</v>
      </c>
      <c r="G11" s="20">
        <v>91</v>
      </c>
      <c r="H11" s="20">
        <v>93</v>
      </c>
      <c r="I11" s="20">
        <v>89</v>
      </c>
    </row>
    <row r="12" spans="2:9" hidden="1">
      <c r="B12" s="18" t="s">
        <v>142</v>
      </c>
      <c r="C12" s="18" t="s">
        <v>143</v>
      </c>
      <c r="D12" s="18" t="s">
        <v>144</v>
      </c>
      <c r="E12" s="20">
        <v>90</v>
      </c>
      <c r="F12" s="20">
        <v>90</v>
      </c>
      <c r="G12" s="20">
        <v>82</v>
      </c>
      <c r="H12" s="20">
        <v>72</v>
      </c>
      <c r="I12" s="20">
        <v>80</v>
      </c>
    </row>
    <row r="13" spans="2:9">
      <c r="B13" s="18" t="s">
        <v>138</v>
      </c>
      <c r="C13" s="18" t="s">
        <v>145</v>
      </c>
      <c r="D13" s="18" t="s">
        <v>144</v>
      </c>
      <c r="E13" s="20">
        <v>85</v>
      </c>
      <c r="F13" s="20">
        <v>91</v>
      </c>
      <c r="G13" s="20">
        <v>75</v>
      </c>
      <c r="H13" s="20">
        <v>95</v>
      </c>
      <c r="I13" s="20">
        <v>87</v>
      </c>
    </row>
    <row r="14" spans="2:9" hidden="1">
      <c r="B14" s="18" t="s">
        <v>131</v>
      </c>
      <c r="C14" s="18" t="s">
        <v>146</v>
      </c>
      <c r="D14" s="18" t="s">
        <v>144</v>
      </c>
      <c r="E14" s="20">
        <v>88</v>
      </c>
      <c r="F14" s="20">
        <v>77</v>
      </c>
      <c r="G14" s="20">
        <v>60</v>
      </c>
      <c r="H14" s="20">
        <v>73</v>
      </c>
      <c r="I14" s="20">
        <v>71</v>
      </c>
    </row>
    <row r="15" spans="2:9" hidden="1">
      <c r="B15" s="18" t="s">
        <v>138</v>
      </c>
      <c r="C15" s="18" t="s">
        <v>147</v>
      </c>
      <c r="D15" s="18" t="s">
        <v>141</v>
      </c>
      <c r="E15" s="20">
        <v>85</v>
      </c>
      <c r="F15" s="20">
        <v>62</v>
      </c>
      <c r="G15" s="20">
        <v>96</v>
      </c>
      <c r="H15" s="20">
        <v>70</v>
      </c>
      <c r="I15" s="20">
        <v>78</v>
      </c>
    </row>
    <row r="16" spans="2:9" hidden="1">
      <c r="B16" s="18" t="s">
        <v>134</v>
      </c>
      <c r="C16" s="18" t="s">
        <v>148</v>
      </c>
      <c r="D16" s="18" t="s">
        <v>141</v>
      </c>
      <c r="E16" s="20">
        <v>89</v>
      </c>
      <c r="F16" s="20">
        <v>63</v>
      </c>
      <c r="G16" s="20">
        <v>78</v>
      </c>
      <c r="H16" s="20">
        <v>70</v>
      </c>
      <c r="I16" s="20">
        <v>73</v>
      </c>
    </row>
    <row r="17" spans="2:9" hidden="1">
      <c r="B17" s="18" t="s">
        <v>142</v>
      </c>
      <c r="C17" s="18" t="s">
        <v>149</v>
      </c>
      <c r="D17" s="18" t="s">
        <v>144</v>
      </c>
      <c r="E17" s="20">
        <v>91</v>
      </c>
      <c r="F17" s="20">
        <v>72</v>
      </c>
      <c r="G17" s="20">
        <v>83</v>
      </c>
      <c r="H17" s="20">
        <v>83</v>
      </c>
      <c r="I17" s="20">
        <v>82</v>
      </c>
    </row>
    <row r="18" spans="2:9" hidden="1">
      <c r="B18" s="18" t="s">
        <v>131</v>
      </c>
      <c r="C18" s="18" t="s">
        <v>150</v>
      </c>
      <c r="D18" s="18" t="s">
        <v>141</v>
      </c>
      <c r="E18" s="20">
        <v>32</v>
      </c>
      <c r="F18" s="20">
        <v>70</v>
      </c>
      <c r="G18" s="20">
        <v>32</v>
      </c>
      <c r="H18" s="20">
        <v>63</v>
      </c>
      <c r="I18" s="20">
        <v>52</v>
      </c>
    </row>
    <row r="19" spans="2:9" hidden="1">
      <c r="B19" s="18" t="s">
        <v>142</v>
      </c>
      <c r="C19" s="18" t="s">
        <v>151</v>
      </c>
      <c r="D19" s="18" t="s">
        <v>141</v>
      </c>
      <c r="E19" s="20">
        <v>87</v>
      </c>
      <c r="F19" s="20">
        <v>84</v>
      </c>
      <c r="G19" s="20">
        <v>65</v>
      </c>
      <c r="H19" s="20">
        <v>60</v>
      </c>
      <c r="I19" s="20">
        <v>69</v>
      </c>
    </row>
    <row r="20" spans="2:9" hidden="1">
      <c r="B20" s="18" t="s">
        <v>134</v>
      </c>
      <c r="C20" s="18" t="s">
        <v>152</v>
      </c>
      <c r="D20" s="18" t="s">
        <v>141</v>
      </c>
      <c r="E20" s="20">
        <v>88</v>
      </c>
      <c r="F20" s="20">
        <v>71</v>
      </c>
      <c r="G20" s="20">
        <v>85</v>
      </c>
      <c r="H20" s="20">
        <v>62</v>
      </c>
      <c r="I20" s="20">
        <v>73</v>
      </c>
    </row>
    <row r="21" spans="2:9" hidden="1">
      <c r="B21" s="18" t="s">
        <v>138</v>
      </c>
      <c r="C21" s="18" t="s">
        <v>153</v>
      </c>
      <c r="D21" s="18" t="s">
        <v>133</v>
      </c>
      <c r="E21" s="20">
        <v>61</v>
      </c>
      <c r="F21" s="20">
        <v>97</v>
      </c>
      <c r="G21" s="20">
        <v>90</v>
      </c>
      <c r="H21" s="20">
        <v>92</v>
      </c>
      <c r="I21" s="20">
        <v>89</v>
      </c>
    </row>
    <row r="22" spans="2:9" hidden="1">
      <c r="B22" s="18" t="s">
        <v>134</v>
      </c>
      <c r="C22" s="18" t="s">
        <v>154</v>
      </c>
      <c r="D22" s="18" t="s">
        <v>144</v>
      </c>
      <c r="E22" s="20">
        <v>92</v>
      </c>
      <c r="F22" s="20">
        <v>62</v>
      </c>
      <c r="G22" s="20">
        <v>90</v>
      </c>
      <c r="H22" s="20">
        <v>78</v>
      </c>
      <c r="I22" s="20">
        <v>80</v>
      </c>
    </row>
    <row r="23" spans="2:9" hidden="1">
      <c r="B23" s="18" t="s">
        <v>134</v>
      </c>
      <c r="C23" s="18" t="s">
        <v>155</v>
      </c>
      <c r="D23" s="18" t="s">
        <v>133</v>
      </c>
      <c r="E23" s="20">
        <v>87</v>
      </c>
      <c r="F23" s="20">
        <v>84</v>
      </c>
      <c r="G23" s="20">
        <v>62</v>
      </c>
      <c r="H23" s="20">
        <v>83</v>
      </c>
      <c r="I23" s="20">
        <v>77</v>
      </c>
    </row>
    <row r="24" spans="2:9" hidden="1">
      <c r="B24" s="18" t="s">
        <v>138</v>
      </c>
      <c r="C24" s="18" t="s">
        <v>156</v>
      </c>
      <c r="D24" s="18" t="s">
        <v>144</v>
      </c>
      <c r="E24" s="20">
        <v>85</v>
      </c>
      <c r="F24" s="20">
        <v>78</v>
      </c>
      <c r="G24" s="20">
        <v>50</v>
      </c>
      <c r="H24" s="20">
        <v>70</v>
      </c>
      <c r="I24" s="20">
        <v>67</v>
      </c>
    </row>
    <row r="25" spans="2:9" hidden="1">
      <c r="B25" s="18" t="s">
        <v>134</v>
      </c>
      <c r="C25" s="18" t="s">
        <v>157</v>
      </c>
      <c r="D25" s="18" t="s">
        <v>133</v>
      </c>
      <c r="E25" s="20">
        <v>85</v>
      </c>
      <c r="F25" s="20">
        <v>91</v>
      </c>
      <c r="G25" s="20">
        <v>78</v>
      </c>
      <c r="H25" s="20">
        <v>62</v>
      </c>
      <c r="I25" s="20">
        <v>75</v>
      </c>
    </row>
    <row r="26" spans="2:9" hidden="1">
      <c r="B26" s="18" t="s">
        <v>142</v>
      </c>
      <c r="C26" s="18" t="s">
        <v>158</v>
      </c>
      <c r="D26" s="18" t="s">
        <v>144</v>
      </c>
      <c r="E26" s="20">
        <v>96</v>
      </c>
      <c r="F26" s="20">
        <v>65</v>
      </c>
      <c r="G26" s="20">
        <v>79</v>
      </c>
      <c r="H26" s="20">
        <v>93</v>
      </c>
      <c r="I26" s="20">
        <v>84</v>
      </c>
    </row>
    <row r="27" spans="2:9">
      <c r="B27" s="18" t="s">
        <v>142</v>
      </c>
      <c r="C27" s="18" t="s">
        <v>159</v>
      </c>
      <c r="D27" s="18" t="s">
        <v>144</v>
      </c>
      <c r="E27" s="20">
        <v>99</v>
      </c>
      <c r="F27" s="20">
        <v>62</v>
      </c>
      <c r="G27" s="20">
        <v>93</v>
      </c>
      <c r="H27" s="20">
        <v>95</v>
      </c>
      <c r="I27" s="20">
        <v>88</v>
      </c>
    </row>
    <row r="28" spans="2:9" hidden="1">
      <c r="B28" s="18" t="s">
        <v>138</v>
      </c>
      <c r="C28" s="18" t="s">
        <v>160</v>
      </c>
      <c r="D28" s="18" t="s">
        <v>133</v>
      </c>
      <c r="E28" s="20">
        <v>52</v>
      </c>
      <c r="F28" s="20">
        <v>74</v>
      </c>
      <c r="G28" s="20">
        <v>89</v>
      </c>
      <c r="H28" s="20">
        <v>78</v>
      </c>
      <c r="I28" s="20">
        <v>78</v>
      </c>
    </row>
    <row r="29" spans="2:9" hidden="1">
      <c r="B29" s="18" t="s">
        <v>138</v>
      </c>
      <c r="C29" s="18" t="s">
        <v>161</v>
      </c>
      <c r="D29" s="18" t="s">
        <v>141</v>
      </c>
      <c r="E29" s="20">
        <v>63</v>
      </c>
      <c r="F29" s="20">
        <v>93</v>
      </c>
      <c r="G29" s="20">
        <v>87</v>
      </c>
      <c r="H29" s="20">
        <v>93</v>
      </c>
      <c r="I29" s="20">
        <v>88</v>
      </c>
    </row>
    <row r="30" spans="2:9" hidden="1">
      <c r="B30" s="18" t="s">
        <v>138</v>
      </c>
      <c r="C30" s="18" t="s">
        <v>162</v>
      </c>
      <c r="D30" s="18" t="s">
        <v>133</v>
      </c>
      <c r="E30" s="20">
        <v>85</v>
      </c>
      <c r="F30" s="20">
        <v>82</v>
      </c>
      <c r="G30" s="20">
        <v>65</v>
      </c>
      <c r="H30" s="20">
        <v>65</v>
      </c>
      <c r="I30" s="20">
        <v>70</v>
      </c>
    </row>
    <row r="31" spans="2:9" hidden="1">
      <c r="B31" s="18" t="s">
        <v>142</v>
      </c>
      <c r="C31" s="18" t="s">
        <v>163</v>
      </c>
      <c r="D31" s="18" t="s">
        <v>141</v>
      </c>
      <c r="E31" s="20">
        <v>86</v>
      </c>
      <c r="F31" s="20">
        <v>80</v>
      </c>
      <c r="G31" s="20">
        <v>95</v>
      </c>
      <c r="H31" s="20">
        <v>82</v>
      </c>
      <c r="I31" s="20">
        <v>86</v>
      </c>
    </row>
  </sheetData>
  <autoFilter ref="B6:I31">
    <filterColumn colId="2">
      <filters>
        <filter val="팀장"/>
      </filters>
    </filterColumn>
    <filterColumn colId="7">
      <customFilters>
        <customFilter operator="greaterThanOrEqual" val="85"/>
      </customFilters>
    </filterColumn>
  </autoFilter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9"/>
  <sheetViews>
    <sheetView workbookViewId="0"/>
  </sheetViews>
  <sheetFormatPr defaultRowHeight="16.5"/>
  <cols>
    <col min="1" max="1" width="9" style="3"/>
    <col min="2" max="2" width="10.25" style="3" customWidth="1"/>
    <col min="3" max="3" width="7.375" style="3" bestFit="1" customWidth="1"/>
    <col min="4" max="4" width="13.875" style="3" customWidth="1"/>
    <col min="5" max="5" width="12.125" style="3" customWidth="1"/>
    <col min="6" max="6" width="11.375" style="3" customWidth="1"/>
    <col min="7" max="7" width="12.75" style="3" customWidth="1"/>
    <col min="8" max="16384" width="9" style="3"/>
  </cols>
  <sheetData>
    <row r="1" spans="1:6">
      <c r="B1" s="22" t="s">
        <v>164</v>
      </c>
    </row>
    <row r="2" spans="1:6" ht="17.25" thickBot="1"/>
    <row r="3" spans="1:6">
      <c r="A3" s="23" t="s">
        <v>165</v>
      </c>
      <c r="B3" s="24" t="s">
        <v>166</v>
      </c>
      <c r="C3" s="24" t="s">
        <v>167</v>
      </c>
      <c r="D3" s="24" t="s">
        <v>168</v>
      </c>
      <c r="E3" s="24" t="s">
        <v>169</v>
      </c>
      <c r="F3" s="25" t="s">
        <v>170</v>
      </c>
    </row>
    <row r="4" spans="1:6">
      <c r="A4" s="26">
        <v>1</v>
      </c>
      <c r="B4" s="14" t="s">
        <v>171</v>
      </c>
      <c r="C4" s="14">
        <v>39</v>
      </c>
      <c r="D4" s="14">
        <v>25</v>
      </c>
      <c r="E4" s="14">
        <v>33</v>
      </c>
      <c r="F4" s="27">
        <f t="shared" ref="F4:F9" si="0">C4+D4+E4</f>
        <v>97</v>
      </c>
    </row>
    <row r="5" spans="1:6">
      <c r="A5" s="26">
        <v>2</v>
      </c>
      <c r="B5" s="14" t="s">
        <v>172</v>
      </c>
      <c r="C5" s="14">
        <v>32</v>
      </c>
      <c r="D5" s="14">
        <v>28</v>
      </c>
      <c r="E5" s="14">
        <v>28</v>
      </c>
      <c r="F5" s="27">
        <f t="shared" si="0"/>
        <v>88</v>
      </c>
    </row>
    <row r="6" spans="1:6">
      <c r="A6" s="26">
        <v>3</v>
      </c>
      <c r="B6" s="14" t="s">
        <v>173</v>
      </c>
      <c r="C6" s="14">
        <v>28</v>
      </c>
      <c r="D6" s="14">
        <v>16</v>
      </c>
      <c r="E6" s="14">
        <v>15</v>
      </c>
      <c r="F6" s="27">
        <f t="shared" si="0"/>
        <v>59</v>
      </c>
    </row>
    <row r="7" spans="1:6">
      <c r="A7" s="26">
        <v>4</v>
      </c>
      <c r="B7" s="14" t="s">
        <v>174</v>
      </c>
      <c r="C7" s="14">
        <v>16</v>
      </c>
      <c r="D7" s="14">
        <v>25</v>
      </c>
      <c r="E7" s="14">
        <v>17</v>
      </c>
      <c r="F7" s="27">
        <f t="shared" si="0"/>
        <v>58</v>
      </c>
    </row>
    <row r="8" spans="1:6">
      <c r="A8" s="26">
        <v>5</v>
      </c>
      <c r="B8" s="14" t="s">
        <v>175</v>
      </c>
      <c r="C8" s="14">
        <v>14</v>
      </c>
      <c r="D8" s="14">
        <v>17</v>
      </c>
      <c r="E8" s="14">
        <v>26</v>
      </c>
      <c r="F8" s="27">
        <f t="shared" si="0"/>
        <v>57</v>
      </c>
    </row>
    <row r="9" spans="1:6" ht="17.25" thickBot="1">
      <c r="A9" s="28">
        <v>12</v>
      </c>
      <c r="B9" s="29" t="s">
        <v>176</v>
      </c>
      <c r="C9" s="29">
        <v>8</v>
      </c>
      <c r="D9" s="29">
        <v>9</v>
      </c>
      <c r="E9" s="29">
        <v>11</v>
      </c>
      <c r="F9" s="30">
        <f t="shared" si="0"/>
        <v>28</v>
      </c>
    </row>
  </sheetData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8"/>
  <sheetViews>
    <sheetView workbookViewId="0">
      <selection activeCell="N15" sqref="N15"/>
    </sheetView>
  </sheetViews>
  <sheetFormatPr defaultRowHeight="16.5"/>
  <cols>
    <col min="1" max="16384" width="9" style="3"/>
  </cols>
  <sheetData>
    <row r="1" spans="1:7" ht="19.5">
      <c r="A1" s="31" t="s">
        <v>177</v>
      </c>
    </row>
    <row r="3" spans="1:7">
      <c r="A3" s="32" t="s">
        <v>178</v>
      </c>
      <c r="B3" s="3" t="s">
        <v>179</v>
      </c>
      <c r="C3" s="32" t="s">
        <v>180</v>
      </c>
      <c r="D3" s="32" t="s">
        <v>181</v>
      </c>
      <c r="F3" s="3" t="s">
        <v>178</v>
      </c>
      <c r="G3" s="3" t="s">
        <v>179</v>
      </c>
    </row>
    <row r="4" spans="1:7">
      <c r="A4" s="33" t="s">
        <v>182</v>
      </c>
      <c r="B4" s="33" t="s">
        <v>183</v>
      </c>
      <c r="C4" s="33" t="s">
        <v>184</v>
      </c>
      <c r="D4" s="33" t="s">
        <v>185</v>
      </c>
      <c r="F4" s="3" t="s">
        <v>186</v>
      </c>
      <c r="G4" s="3" t="s">
        <v>183</v>
      </c>
    </row>
    <row r="5" spans="1:7">
      <c r="A5" s="33" t="s">
        <v>187</v>
      </c>
      <c r="B5" s="33" t="s">
        <v>188</v>
      </c>
      <c r="C5" s="33" t="s">
        <v>189</v>
      </c>
      <c r="D5" s="33" t="s">
        <v>190</v>
      </c>
      <c r="F5" s="3" t="s">
        <v>191</v>
      </c>
      <c r="G5" s="3" t="s">
        <v>188</v>
      </c>
    </row>
    <row r="6" spans="1:7">
      <c r="A6" s="33" t="s">
        <v>192</v>
      </c>
      <c r="B6" s="33" t="s">
        <v>193</v>
      </c>
      <c r="C6" s="33" t="s">
        <v>194</v>
      </c>
      <c r="D6" s="33" t="s">
        <v>185</v>
      </c>
      <c r="F6" s="3" t="s">
        <v>195</v>
      </c>
      <c r="G6" s="3" t="s">
        <v>193</v>
      </c>
    </row>
    <row r="7" spans="1:7">
      <c r="A7" s="33" t="s">
        <v>196</v>
      </c>
      <c r="B7" s="33" t="s">
        <v>197</v>
      </c>
      <c r="C7" s="33" t="s">
        <v>198</v>
      </c>
      <c r="D7" s="33" t="s">
        <v>190</v>
      </c>
      <c r="F7" s="3" t="s">
        <v>199</v>
      </c>
      <c r="G7" s="3" t="s">
        <v>197</v>
      </c>
    </row>
    <row r="8" spans="1:7">
      <c r="F8" s="3" t="s">
        <v>200</v>
      </c>
      <c r="G8" s="3" t="s">
        <v>201</v>
      </c>
    </row>
  </sheetData>
  <phoneticPr fontId="4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9525</xdr:colOff>
                <xdr:row>0</xdr:row>
                <xdr:rowOff>104775</xdr:rowOff>
              </from>
              <to>
                <xdr:col>4</xdr:col>
                <xdr:colOff>542925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5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'기본작업-3'!Print_Area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2018-08-29T06:50:07Z</cp:lastPrinted>
  <dcterms:created xsi:type="dcterms:W3CDTF">2017-08-30T09:42:14Z</dcterms:created>
  <dcterms:modified xsi:type="dcterms:W3CDTF">2018-08-29T06:50:53Z</dcterms:modified>
</cp:coreProperties>
</file>