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workbookProtection lockWindows="1"/>
  <bookViews>
    <workbookView xWindow="480" yWindow="135" windowWidth="26955" windowHeight="13005"/>
  </bookViews>
  <sheets>
    <sheet name="기본작업-1" sheetId="1" r:id="rId1"/>
    <sheet name="기본작업-2" sheetId="2" r:id="rId2"/>
    <sheet name="기본작업-3" sheetId="8" r:id="rId3"/>
    <sheet name="계산작업" sheetId="3" r:id="rId4"/>
    <sheet name="분석작업-1" sheetId="4" r:id="rId5"/>
    <sheet name="분석작업-2" sheetId="5" r:id="rId6"/>
    <sheet name="기타작업-1" sheetId="6" r:id="rId7"/>
    <sheet name="기타작업-2" sheetId="7" r:id="rId8"/>
  </sheets>
  <functionGroups builtInGroupCount="17"/>
  <definedNames>
    <definedName name="_xlnm._FilterDatabase" localSheetId="1" hidden="1">'기본작업-2'!$A$1:$I$17</definedName>
    <definedName name="_xlnm.Criteria" localSheetId="1">'기본작업-2'!$A$19:$B$21</definedName>
    <definedName name="_xlnm.Extract" localSheetId="1">'기본작업-2'!$A$24:$D$24</definedName>
    <definedName name="MS_Access_Database_Query" localSheetId="0" hidden="1">'기본작업-1'!$A$3:$F$14</definedName>
    <definedName name="기준">'기타작업-2'!$A$3</definedName>
    <definedName name="내역">'기타작업-2'!$A$4:$D$8</definedName>
  </definedNames>
  <calcPr calcId="145621"/>
  <pivotCaches>
    <pivotCache cacheId="43" r:id="rId9"/>
  </pivotCaches>
</workbook>
</file>

<file path=xl/calcChain.xml><?xml version="1.0" encoding="utf-8"?>
<calcChain xmlns="http://schemas.openxmlformats.org/spreadsheetml/2006/main">
  <c r="F5" i="8" l="1"/>
  <c r="F6" i="8"/>
  <c r="F7" i="8"/>
  <c r="F8" i="8"/>
  <c r="F9" i="8"/>
  <c r="F10" i="8"/>
  <c r="F11" i="8"/>
  <c r="F12" i="8"/>
  <c r="F13" i="8"/>
  <c r="F4" i="8"/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2" i="2"/>
  <c r="E7" i="6" l="1"/>
  <c r="E6" i="6"/>
  <c r="E5" i="6"/>
  <c r="E4" i="6"/>
  <c r="E3" i="6"/>
  <c r="B23" i="3" a="1"/>
  <c r="B23" i="3" s="1"/>
  <c r="B22" i="3" a="1"/>
  <c r="B22" i="3" s="1"/>
  <c r="G18" i="3"/>
  <c r="D18" i="3"/>
  <c r="G17" i="3"/>
  <c r="D17" i="3"/>
  <c r="G16" i="3"/>
  <c r="D16" i="3"/>
  <c r="G15" i="3"/>
  <c r="D15" i="3"/>
  <c r="G14" i="3"/>
  <c r="D14" i="3"/>
  <c r="G13" i="3"/>
  <c r="D13" i="3"/>
  <c r="G12" i="3"/>
  <c r="D12" i="3"/>
  <c r="G11" i="3"/>
  <c r="D11" i="3"/>
  <c r="G10" i="3"/>
  <c r="D10" i="3"/>
  <c r="G9" i="3"/>
  <c r="D9" i="3"/>
  <c r="C5" i="3" a="1"/>
  <c r="C5" i="3" s="1"/>
  <c r="B5" i="3" a="1"/>
  <c r="B5" i="3" s="1"/>
  <c r="C4" i="3" a="1"/>
  <c r="C4" i="3" s="1"/>
  <c r="B4" i="3" a="1"/>
  <c r="B4" i="3" s="1"/>
  <c r="C3" i="3" a="1"/>
  <c r="C3" i="3" s="1"/>
  <c r="B3" i="3" a="1"/>
  <c r="B3" i="3" s="1"/>
  <c r="I18" i="3"/>
  <c r="I16" i="3"/>
  <c r="I12" i="3"/>
  <c r="I17" i="3"/>
  <c r="I13" i="3"/>
  <c r="I9" i="3"/>
  <c r="I14" i="3"/>
  <c r="I10" i="3"/>
  <c r="I15" i="3"/>
  <c r="I11" i="3"/>
</calcChain>
</file>

<file path=xl/connections.xml><?xml version="1.0" encoding="utf-8"?>
<connections xmlns="http://schemas.openxmlformats.org/spreadsheetml/2006/main">
  <connection id="1" name="MS Access Database_Query" type="1" refreshedVersion="4" background="1" saveData="1">
    <dbPr connection="DSN=MS Access Database;DBQ=C:\길벗컴활1급\01 엑셀\04 실전모의고사\사이트운영비.accdb;DefaultDir=C:\길벗컴활1급\01 엑셀\04 실전모의고사;DriverId=25;FIL=MS Access;MaxBufferSize=2048;PageTimeout=5;" command="SELECT 사이트비교.쇼핑몰, 사이트비교.DB운영비, 사이트비교.광고비, 사이트비교.배너비, 사이트비교.총액, 사이트비교.개설일_x000d__x000a_FROM `C:\길벗컴활1급\01 엑셀\04 실전모의고사\사이트운영비.accdb`.사이트비교 사이트비교_x000d__x000a_WHERE (사이트비교.쇼핑몰='종합쇼핑몰') AND (사이트비교.DB운영비&lt;300000) AND (사이트비교.광고비&lt;300000) AND (사이트비교.배너비&lt;300000)_x000d__x000a_ORDER BY 사이트비교.개설일"/>
  </connection>
</connections>
</file>

<file path=xl/sharedStrings.xml><?xml version="1.0" encoding="utf-8"?>
<sst xmlns="http://schemas.openxmlformats.org/spreadsheetml/2006/main" count="354" uniqueCount="238">
  <si>
    <t>사이트별 운영비</t>
    <phoneticPr fontId="4" type="noConversion"/>
  </si>
  <si>
    <t>자산코드</t>
    <phoneticPr fontId="4" type="noConversion"/>
  </si>
  <si>
    <t>비품명</t>
  </si>
  <si>
    <t>내용연수</t>
  </si>
  <si>
    <t>경과연수</t>
    <phoneticPr fontId="4" type="noConversion"/>
  </si>
  <si>
    <t>취득원가</t>
  </si>
  <si>
    <t>잔존가</t>
  </si>
  <si>
    <t>구입수량</t>
    <phoneticPr fontId="4" type="noConversion"/>
  </si>
  <si>
    <t>자산명칭</t>
    <phoneticPr fontId="4" type="noConversion"/>
  </si>
  <si>
    <t>감가상각</t>
    <phoneticPr fontId="4" type="noConversion"/>
  </si>
  <si>
    <t>L2E3</t>
    <phoneticPr fontId="4" type="noConversion"/>
  </si>
  <si>
    <t>책장</t>
  </si>
  <si>
    <t>장기비품용-책장</t>
  </si>
  <si>
    <t>L2G5</t>
    <phoneticPr fontId="4" type="noConversion"/>
  </si>
  <si>
    <t>책상</t>
  </si>
  <si>
    <t>장기비품용-책상</t>
  </si>
  <si>
    <t>S5G6</t>
    <phoneticPr fontId="4" type="noConversion"/>
  </si>
  <si>
    <t>컴퓨터</t>
  </si>
  <si>
    <t>단기비품용-컴퓨터</t>
  </si>
  <si>
    <t>S3G4</t>
    <phoneticPr fontId="4" type="noConversion"/>
  </si>
  <si>
    <t>모니터</t>
    <phoneticPr fontId="4" type="noConversion"/>
  </si>
  <si>
    <t>단기비품용-모니터</t>
  </si>
  <si>
    <t>N9E7</t>
    <phoneticPr fontId="4" type="noConversion"/>
  </si>
  <si>
    <t>컴퓨터</t>
    <phoneticPr fontId="4" type="noConversion"/>
  </si>
  <si>
    <t>소모품용-컴퓨터</t>
  </si>
  <si>
    <t>L4C7</t>
    <phoneticPr fontId="4" type="noConversion"/>
  </si>
  <si>
    <t>디스크</t>
    <phoneticPr fontId="4" type="noConversion"/>
  </si>
  <si>
    <t>장기비품용-디스크</t>
  </si>
  <si>
    <t>N2E5</t>
    <phoneticPr fontId="4" type="noConversion"/>
  </si>
  <si>
    <t>책상</t>
    <phoneticPr fontId="4" type="noConversion"/>
  </si>
  <si>
    <t>소모품용-책상</t>
  </si>
  <si>
    <t>L1G1</t>
    <phoneticPr fontId="4" type="noConversion"/>
  </si>
  <si>
    <t>장기비품용-컴퓨터</t>
  </si>
  <si>
    <t>L5E6</t>
    <phoneticPr fontId="4" type="noConversion"/>
  </si>
  <si>
    <t>장기비품용-모니터</t>
  </si>
  <si>
    <t>N6C9</t>
    <phoneticPr fontId="4" type="noConversion"/>
  </si>
  <si>
    <t>S6E9</t>
    <phoneticPr fontId="4" type="noConversion"/>
  </si>
  <si>
    <t>N4C1</t>
    <phoneticPr fontId="4" type="noConversion"/>
  </si>
  <si>
    <t>모니터</t>
  </si>
  <si>
    <t>소모품용-모니터</t>
  </si>
  <si>
    <t>L5G9</t>
    <phoneticPr fontId="4" type="noConversion"/>
  </si>
  <si>
    <t>책장</t>
    <phoneticPr fontId="4" type="noConversion"/>
  </si>
  <si>
    <t>L0G0</t>
    <phoneticPr fontId="4" type="noConversion"/>
  </si>
  <si>
    <t>S2C2</t>
    <phoneticPr fontId="4" type="noConversion"/>
  </si>
  <si>
    <t>단기비품용-디스크</t>
  </si>
  <si>
    <t>N7E1</t>
    <phoneticPr fontId="4" type="noConversion"/>
  </si>
  <si>
    <t>소모품용-디스크</t>
  </si>
  <si>
    <t>비품명</t>
    <phoneticPr fontId="3" type="noConversion"/>
  </si>
  <si>
    <t>구입수량</t>
    <phoneticPr fontId="3" type="noConversion"/>
  </si>
  <si>
    <t>디스크</t>
    <phoneticPr fontId="3" type="noConversion"/>
  </si>
  <si>
    <t>&gt;=5</t>
    <phoneticPr fontId="3" type="noConversion"/>
  </si>
  <si>
    <t>컴퓨터</t>
    <phoneticPr fontId="3" type="noConversion"/>
  </si>
  <si>
    <t>&gt;=3</t>
    <phoneticPr fontId="3" type="noConversion"/>
  </si>
  <si>
    <t>내용연수</t>
    <phoneticPr fontId="3" type="noConversion"/>
  </si>
  <si>
    <t>경과연수</t>
    <phoneticPr fontId="3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</si>
  <si>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4" type="noConversion"/>
  </si>
  <si>
    <t>부서명</t>
  </si>
  <si>
    <r>
      <t>남(</t>
    </r>
    <r>
      <rPr>
        <sz val="11"/>
        <color theme="1"/>
        <rFont val="맑은 고딕"/>
        <family val="3"/>
        <charset val="129"/>
        <scheme val="major"/>
      </rPr>
      <t>1)</t>
    </r>
    <phoneticPr fontId="4" type="noConversion"/>
  </si>
  <si>
    <r>
      <t>여(</t>
    </r>
    <r>
      <rPr>
        <sz val="11"/>
        <color theme="1"/>
        <rFont val="맑은 고딕"/>
        <family val="3"/>
        <charset val="129"/>
        <scheme val="major"/>
      </rPr>
      <t>2)</t>
    </r>
    <phoneticPr fontId="4" type="noConversion"/>
  </si>
  <si>
    <t>관리부</t>
  </si>
  <si>
    <t>영업부</t>
  </si>
  <si>
    <t>총무부</t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</si>
  <si>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4" type="noConversion"/>
  </si>
  <si>
    <t>부서명</t>
    <phoneticPr fontId="4" type="noConversion"/>
  </si>
  <si>
    <t>이름</t>
    <phoneticPr fontId="4" type="noConversion"/>
  </si>
  <si>
    <t>주민등록번호</t>
    <phoneticPr fontId="4" type="noConversion"/>
  </si>
  <si>
    <t>생년월일</t>
    <phoneticPr fontId="4" type="noConversion"/>
  </si>
  <si>
    <t>예금액</t>
    <phoneticPr fontId="4" type="noConversion"/>
  </si>
  <si>
    <t>결혼여부</t>
    <phoneticPr fontId="4" type="noConversion"/>
  </si>
  <si>
    <t>대출가능액</t>
    <phoneticPr fontId="4" type="noConversion"/>
  </si>
  <si>
    <t>지원액</t>
    <phoneticPr fontId="4" type="noConversion"/>
  </si>
  <si>
    <t>총대여액</t>
    <phoneticPr fontId="4" type="noConversion"/>
  </si>
  <si>
    <t>총무부</t>
    <phoneticPr fontId="4" type="noConversion"/>
  </si>
  <si>
    <t>김기춘</t>
    <phoneticPr fontId="4" type="noConversion"/>
  </si>
  <si>
    <t>680120-1546210</t>
    <phoneticPr fontId="4" type="noConversion"/>
  </si>
  <si>
    <t>기혼</t>
    <phoneticPr fontId="4" type="noConversion"/>
  </si>
  <si>
    <t>영업부</t>
    <phoneticPr fontId="4" type="noConversion"/>
  </si>
  <si>
    <t>박오환</t>
    <phoneticPr fontId="4" type="noConversion"/>
  </si>
  <si>
    <t>950915-2231426</t>
    <phoneticPr fontId="4" type="noConversion"/>
  </si>
  <si>
    <t>미혼</t>
    <phoneticPr fontId="4" type="noConversion"/>
  </si>
  <si>
    <t>관리부</t>
    <phoneticPr fontId="4" type="noConversion"/>
  </si>
  <si>
    <t>남현우</t>
    <phoneticPr fontId="4" type="noConversion"/>
  </si>
  <si>
    <t>810723-1068524</t>
    <phoneticPr fontId="4" type="noConversion"/>
  </si>
  <si>
    <t>미혼</t>
    <phoneticPr fontId="4" type="noConversion"/>
  </si>
  <si>
    <t>총무부</t>
    <phoneticPr fontId="4" type="noConversion"/>
  </si>
  <si>
    <t>최수현</t>
    <phoneticPr fontId="4" type="noConversion"/>
  </si>
  <si>
    <t>901230-1125341</t>
    <phoneticPr fontId="4" type="noConversion"/>
  </si>
  <si>
    <t>기혼</t>
    <phoneticPr fontId="4" type="noConversion"/>
  </si>
  <si>
    <t>김슬기</t>
    <phoneticPr fontId="4" type="noConversion"/>
  </si>
  <si>
    <t>930706-2685422</t>
    <phoneticPr fontId="4" type="noConversion"/>
  </si>
  <si>
    <t>서인국</t>
    <phoneticPr fontId="4" type="noConversion"/>
  </si>
  <si>
    <t>810120-2547512</t>
    <phoneticPr fontId="4" type="noConversion"/>
  </si>
  <si>
    <t>영업부</t>
    <phoneticPr fontId="4" type="noConversion"/>
  </si>
  <si>
    <t>박영철</t>
    <phoneticPr fontId="4" type="noConversion"/>
  </si>
  <si>
    <t>920519-1785423</t>
    <phoneticPr fontId="4" type="noConversion"/>
  </si>
  <si>
    <t>김미영</t>
    <phoneticPr fontId="4" type="noConversion"/>
  </si>
  <si>
    <t>850125-1265845</t>
    <phoneticPr fontId="4" type="noConversion"/>
  </si>
  <si>
    <t>장성민</t>
    <phoneticPr fontId="4" type="noConversion"/>
  </si>
  <si>
    <t>881120-2153632</t>
    <phoneticPr fontId="4" type="noConversion"/>
  </si>
  <si>
    <t>이동국</t>
    <phoneticPr fontId="4" type="noConversion"/>
  </si>
  <si>
    <t>830418-2651472</t>
    <phoneticPr fontId="4" type="noConversion"/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</si>
  <si>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4" type="noConversion"/>
  </si>
  <si>
    <t>최소 예금자</t>
    <phoneticPr fontId="4" type="noConversion"/>
  </si>
  <si>
    <t>1/4분기 근무자료</t>
  </si>
  <si>
    <t>2/4분기 근무자료</t>
  </si>
  <si>
    <t>한해 근무자료</t>
    <phoneticPr fontId="4" type="noConversion"/>
  </si>
  <si>
    <t>성명</t>
  </si>
  <si>
    <t>결근일수</t>
  </si>
  <si>
    <t>근무일</t>
  </si>
  <si>
    <t>근무평점</t>
  </si>
  <si>
    <t>강동희</t>
  </si>
  <si>
    <t>성혁재</t>
  </si>
  <si>
    <t>박노식</t>
  </si>
  <si>
    <t>서영실</t>
  </si>
  <si>
    <t>심현아</t>
  </si>
  <si>
    <t>임정만</t>
  </si>
  <si>
    <t>최영희</t>
  </si>
  <si>
    <t>3/4분기 근무자료</t>
  </si>
  <si>
    <t>4/4분기 근무자료</t>
  </si>
  <si>
    <t>성적표</t>
    <phoneticPr fontId="4" type="noConversion"/>
  </si>
  <si>
    <t>성명</t>
    <phoneticPr fontId="4" type="noConversion"/>
  </si>
  <si>
    <t>학과</t>
    <phoneticPr fontId="4" type="noConversion"/>
  </si>
  <si>
    <t>영어</t>
    <phoneticPr fontId="4" type="noConversion"/>
  </si>
  <si>
    <t>수학</t>
    <phoneticPr fontId="4" type="noConversion"/>
  </si>
  <si>
    <t>평균</t>
    <phoneticPr fontId="4" type="noConversion"/>
  </si>
  <si>
    <t>김명훈</t>
    <phoneticPr fontId="4" type="noConversion"/>
  </si>
  <si>
    <t>기계과</t>
    <phoneticPr fontId="4" type="noConversion"/>
  </si>
  <si>
    <t>하현호</t>
    <phoneticPr fontId="4" type="noConversion"/>
  </si>
  <si>
    <t>경영과</t>
    <phoneticPr fontId="4" type="noConversion"/>
  </si>
  <si>
    <t>박희선</t>
    <phoneticPr fontId="4" type="noConversion"/>
  </si>
  <si>
    <t>건축과</t>
    <phoneticPr fontId="4" type="noConversion"/>
  </si>
  <si>
    <t>이성식</t>
    <phoneticPr fontId="4" type="noConversion"/>
  </si>
  <si>
    <t>기계과</t>
    <phoneticPr fontId="4" type="noConversion"/>
  </si>
  <si>
    <t>김영희</t>
    <phoneticPr fontId="4" type="noConversion"/>
  </si>
  <si>
    <t>원서 접수 현황</t>
    <phoneticPr fontId="4" type="noConversion"/>
  </si>
  <si>
    <t>이름</t>
    <phoneticPr fontId="4" type="noConversion"/>
  </si>
  <si>
    <t>응시종목</t>
    <phoneticPr fontId="4" type="noConversion"/>
  </si>
  <si>
    <t>응시급수</t>
    <phoneticPr fontId="4" type="noConversion"/>
  </si>
  <si>
    <t>접수비</t>
    <phoneticPr fontId="4" type="noConversion"/>
  </si>
  <si>
    <t>김상공</t>
  </si>
  <si>
    <t>워드프로세서</t>
  </si>
  <si>
    <t>2급</t>
  </si>
  <si>
    <t>5000</t>
  </si>
  <si>
    <t>워드프로세서</t>
    <phoneticPr fontId="4" type="noConversion"/>
  </si>
  <si>
    <t>최워드</t>
  </si>
  <si>
    <t>1급</t>
  </si>
  <si>
    <t>컴퓨터활용능력</t>
    <phoneticPr fontId="4" type="noConversion"/>
  </si>
  <si>
    <t>이컴활</t>
  </si>
  <si>
    <t>컴퓨터활용능력</t>
  </si>
  <si>
    <t>6000</t>
  </si>
  <si>
    <t>오원서</t>
  </si>
  <si>
    <t>쇼핑몰</t>
  </si>
  <si>
    <t>DB운영비</t>
  </si>
  <si>
    <t>광고비</t>
  </si>
  <si>
    <t>배너비</t>
  </si>
  <si>
    <t>개설일</t>
  </si>
  <si>
    <t>종합쇼핑몰</t>
  </si>
  <si>
    <t>총액</t>
  </si>
  <si>
    <t>직책</t>
  </si>
  <si>
    <t>근속기간</t>
  </si>
  <si>
    <t>기본급</t>
  </si>
  <si>
    <t>상여금</t>
  </si>
  <si>
    <t>수당</t>
  </si>
  <si>
    <t>퇴직금</t>
  </si>
  <si>
    <t>강감찬</t>
  </si>
  <si>
    <t>회계부</t>
  </si>
  <si>
    <t>부장</t>
  </si>
  <si>
    <t>25</t>
  </si>
  <si>
    <t>최재석</t>
  </si>
  <si>
    <t>과장</t>
  </si>
  <si>
    <t>12</t>
  </si>
  <si>
    <t>최강석</t>
  </si>
  <si>
    <t>기획인사부</t>
  </si>
  <si>
    <t>21</t>
  </si>
  <si>
    <t>조민준</t>
  </si>
  <si>
    <t>사원</t>
  </si>
  <si>
    <t>1</t>
  </si>
  <si>
    <t>이충렬</t>
  </si>
  <si>
    <t>대리</t>
  </si>
  <si>
    <t>9</t>
  </si>
  <si>
    <t>김재욱</t>
  </si>
  <si>
    <t>18</t>
  </si>
  <si>
    <t>서정화</t>
  </si>
  <si>
    <t>차장</t>
  </si>
  <si>
    <t>22</t>
  </si>
  <si>
    <t>송치윤</t>
  </si>
  <si>
    <t>14</t>
  </si>
  <si>
    <t>송혜영</t>
  </si>
  <si>
    <t>김구완</t>
  </si>
  <si>
    <t>7</t>
  </si>
  <si>
    <t>(모두)</t>
  </si>
  <si>
    <t>총합계</t>
  </si>
  <si>
    <t>합계 : 기본급</t>
  </si>
  <si>
    <t>없음</t>
  </si>
  <si>
    <t>합계 : 퇴직금</t>
  </si>
  <si>
    <t>사원 관리 현황</t>
    <phoneticPr fontId="3" type="noConversion"/>
  </si>
  <si>
    <t>사원코드</t>
    <phoneticPr fontId="3" type="noConversion"/>
  </si>
  <si>
    <t>사원명</t>
    <phoneticPr fontId="3" type="noConversion"/>
  </si>
  <si>
    <t>성별</t>
    <phoneticPr fontId="3" type="noConversion"/>
  </si>
  <si>
    <t>부서명</t>
    <phoneticPr fontId="3" type="noConversion"/>
  </si>
  <si>
    <t>2-P-25</t>
    <phoneticPr fontId="3" type="noConversion"/>
  </si>
  <si>
    <t>이미희</t>
    <phoneticPr fontId="3" type="noConversion"/>
  </si>
  <si>
    <t>여</t>
    <phoneticPr fontId="3" type="noConversion"/>
  </si>
  <si>
    <t>1-M-33</t>
    <phoneticPr fontId="3" type="noConversion"/>
  </si>
  <si>
    <t>김종국</t>
    <phoneticPr fontId="3" type="noConversion"/>
  </si>
  <si>
    <t>남</t>
    <phoneticPr fontId="3" type="noConversion"/>
  </si>
  <si>
    <t>1-S-52</t>
    <phoneticPr fontId="3" type="noConversion"/>
  </si>
  <si>
    <t>이정렬</t>
    <phoneticPr fontId="3" type="noConversion"/>
  </si>
  <si>
    <t>2-S-59</t>
    <phoneticPr fontId="3" type="noConversion"/>
  </si>
  <si>
    <t>정미라</t>
    <phoneticPr fontId="3" type="noConversion"/>
  </si>
  <si>
    <t>여</t>
    <phoneticPr fontId="3" type="noConversion"/>
  </si>
  <si>
    <t>2-M-35</t>
    <phoneticPr fontId="3" type="noConversion"/>
  </si>
  <si>
    <t>신세윤</t>
    <phoneticPr fontId="3" type="noConversion"/>
  </si>
  <si>
    <t>2-M-37</t>
    <phoneticPr fontId="3" type="noConversion"/>
  </si>
  <si>
    <t>정다운</t>
    <phoneticPr fontId="3" type="noConversion"/>
  </si>
  <si>
    <t>1-S-55</t>
    <phoneticPr fontId="3" type="noConversion"/>
  </si>
  <si>
    <t>이건식</t>
    <phoneticPr fontId="3" type="noConversion"/>
  </si>
  <si>
    <t>남</t>
    <phoneticPr fontId="3" type="noConversion"/>
  </si>
  <si>
    <t>1-B-11</t>
    <phoneticPr fontId="3" type="noConversion"/>
  </si>
  <si>
    <t>김해중</t>
    <phoneticPr fontId="3" type="noConversion"/>
  </si>
  <si>
    <t>남</t>
    <phoneticPr fontId="3" type="noConversion"/>
  </si>
  <si>
    <t>1-P-33</t>
    <phoneticPr fontId="3" type="noConversion"/>
  </si>
  <si>
    <t>유현진</t>
    <phoneticPr fontId="3" type="noConversion"/>
  </si>
  <si>
    <t>2-B-15</t>
    <phoneticPr fontId="3" type="noConversion"/>
  </si>
  <si>
    <t>신혜리</t>
    <phoneticPr fontId="3" type="noConversion"/>
  </si>
  <si>
    <t>여</t>
    <phoneticPr fontId="3" type="noConversion"/>
  </si>
  <si>
    <t>&lt;부서코드표&gt;</t>
    <phoneticPr fontId="3" type="noConversion"/>
  </si>
  <si>
    <t>코드</t>
    <phoneticPr fontId="3" type="noConversion"/>
  </si>
  <si>
    <t>S</t>
    <phoneticPr fontId="3" type="noConversion"/>
  </si>
  <si>
    <t>P</t>
    <phoneticPr fontId="3" type="noConversion"/>
  </si>
  <si>
    <t>M</t>
    <phoneticPr fontId="3" type="noConversion"/>
  </si>
  <si>
    <t>B</t>
    <phoneticPr fontId="3" type="noConversion"/>
  </si>
  <si>
    <t>부서명</t>
    <phoneticPr fontId="3" type="noConversion"/>
  </si>
  <si>
    <t>영업부</t>
    <phoneticPr fontId="3" type="noConversion"/>
  </si>
  <si>
    <t>기획부</t>
    <phoneticPr fontId="3" type="noConversion"/>
  </si>
  <si>
    <t>생산부</t>
    <phoneticPr fontId="3" type="noConversion"/>
  </si>
  <si>
    <t>경리부</t>
    <phoneticPr fontId="3" type="noConversion"/>
  </si>
  <si>
    <t>나이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</si>
</sst>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&quot;₩&quot;#,##0;&quot;-₩&quot;#,##0"/>
  </numFmts>
  <fonts count="12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3"/>
      <name val="맑은 고딕"/>
      <family val="3"/>
      <charset val="129"/>
      <scheme val="maj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22"/>
      </left>
      <right/>
      <top style="thin">
        <color indexed="8"/>
      </top>
      <bottom/>
      <diagonal/>
    </border>
    <border>
      <left style="thin">
        <color indexed="22"/>
      </left>
      <right style="thin">
        <color indexed="22"/>
      </right>
      <top style="thin">
        <color indexed="8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theme="4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</borders>
  <cellStyleXfs count="4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0" fontId="9" fillId="0" borderId="0"/>
  </cellStyleXfs>
  <cellXfs count="49">
    <xf numFmtId="0" fontId="0" fillId="0" borderId="0" xfId="0">
      <alignment vertical="center"/>
    </xf>
    <xf numFmtId="0" fontId="2" fillId="0" borderId="0" xfId="1" applyFont="1" applyAlignment="1">
      <alignment vertical="top"/>
    </xf>
    <xf numFmtId="0" fontId="2" fillId="2" borderId="1" xfId="1" applyFont="1" applyFill="1" applyBorder="1" applyAlignment="1">
      <alignment horizontal="center"/>
    </xf>
    <xf numFmtId="0" fontId="2" fillId="0" borderId="0" xfId="1" applyFont="1"/>
    <xf numFmtId="0" fontId="2" fillId="0" borderId="1" xfId="1" applyFont="1" applyBorder="1" applyAlignment="1">
      <alignment horizontal="center"/>
    </xf>
    <xf numFmtId="0" fontId="2" fillId="0" borderId="0" xfId="1" applyFont="1" applyAlignment="1">
      <alignment horizontal="center"/>
    </xf>
    <xf numFmtId="0" fontId="2" fillId="0" borderId="0" xfId="1" applyFont="1" applyAlignment="1">
      <alignment horizontal="left"/>
    </xf>
    <xf numFmtId="0" fontId="2" fillId="0" borderId="1" xfId="1" applyFont="1" applyFill="1" applyBorder="1" applyAlignment="1">
      <alignment horizontal="center"/>
    </xf>
    <xf numFmtId="0" fontId="2" fillId="0" borderId="0" xfId="1" applyFont="1" applyBorder="1" applyAlignment="1">
      <alignment horizontal="center"/>
    </xf>
    <xf numFmtId="14" fontId="2" fillId="0" borderId="1" xfId="1" applyNumberFormat="1" applyFont="1" applyBorder="1" applyAlignment="1">
      <alignment horizontal="center"/>
    </xf>
    <xf numFmtId="41" fontId="2" fillId="0" borderId="1" xfId="2" applyFont="1" applyFill="1" applyBorder="1" applyAlignment="1">
      <alignment horizontal="right"/>
    </xf>
    <xf numFmtId="0" fontId="2" fillId="0" borderId="0" xfId="1" applyFont="1" applyFill="1" applyBorder="1" applyAlignment="1">
      <alignment horizontal="center"/>
    </xf>
    <xf numFmtId="14" fontId="2" fillId="0" borderId="0" xfId="1" applyNumberFormat="1" applyFont="1" applyBorder="1" applyAlignment="1">
      <alignment horizontal="center"/>
    </xf>
    <xf numFmtId="41" fontId="2" fillId="0" borderId="0" xfId="2" applyFont="1" applyFill="1" applyBorder="1" applyAlignment="1">
      <alignment horizontal="right"/>
    </xf>
    <xf numFmtId="0" fontId="2" fillId="0" borderId="1" xfId="1" applyFont="1" applyBorder="1" applyAlignment="1">
      <alignment horizontal="right"/>
    </xf>
    <xf numFmtId="0" fontId="2" fillId="0" borderId="0" xfId="1" applyFont="1" applyAlignment="1">
      <alignment vertical="center"/>
    </xf>
    <xf numFmtId="0" fontId="7" fillId="0" borderId="0" xfId="1" applyFont="1"/>
    <xf numFmtId="0" fontId="6" fillId="0" borderId="0" xfId="1" applyFont="1" applyAlignment="1">
      <alignment horizontal="center"/>
    </xf>
    <xf numFmtId="22" fontId="0" fillId="0" borderId="0" xfId="0" applyNumberFormat="1">
      <alignment vertical="center"/>
    </xf>
    <xf numFmtId="176" fontId="8" fillId="0" borderId="3" xfId="3" applyNumberFormat="1" applyFont="1" applyBorder="1" applyAlignment="1">
      <alignment horizontal="right" wrapText="1"/>
    </xf>
    <xf numFmtId="0" fontId="10" fillId="3" borderId="5" xfId="3" applyNumberFormat="1" applyFont="1" applyFill="1" applyBorder="1" applyAlignment="1">
      <alignment horizontal="center"/>
    </xf>
    <xf numFmtId="0" fontId="10" fillId="3" borderId="6" xfId="3" applyNumberFormat="1" applyFont="1" applyFill="1" applyBorder="1" applyAlignment="1">
      <alignment horizontal="center"/>
    </xf>
    <xf numFmtId="0" fontId="8" fillId="0" borderId="7" xfId="3" applyNumberFormat="1" applyFont="1" applyBorder="1" applyAlignment="1">
      <alignment wrapText="1"/>
    </xf>
    <xf numFmtId="176" fontId="8" fillId="0" borderId="7" xfId="3" applyNumberFormat="1" applyFont="1" applyBorder="1" applyAlignment="1">
      <alignment horizontal="right" wrapText="1"/>
    </xf>
    <xf numFmtId="176" fontId="8" fillId="0" borderId="8" xfId="3" applyNumberFormat="1" applyFont="1" applyBorder="1" applyAlignment="1">
      <alignment horizontal="right" wrapText="1"/>
    </xf>
    <xf numFmtId="0" fontId="8" fillId="0" borderId="9" xfId="3" applyNumberFormat="1" applyFont="1" applyBorder="1" applyAlignment="1">
      <alignment wrapText="1"/>
    </xf>
    <xf numFmtId="176" fontId="8" fillId="0" borderId="9" xfId="3" applyNumberFormat="1" applyFont="1" applyBorder="1" applyAlignment="1">
      <alignment horizontal="right" wrapText="1"/>
    </xf>
    <xf numFmtId="176" fontId="8" fillId="0" borderId="4" xfId="3" applyNumberFormat="1" applyFont="1" applyBorder="1" applyAlignment="1">
      <alignment horizontal="right" wrapText="1"/>
    </xf>
    <xf numFmtId="0" fontId="9" fillId="0" borderId="10" xfId="3" applyNumberFormat="1" applyFont="1" applyBorder="1" applyAlignment="1"/>
    <xf numFmtId="0" fontId="8" fillId="0" borderId="11" xfId="3" applyNumberFormat="1" applyFont="1" applyBorder="1" applyAlignment="1">
      <alignment wrapText="1"/>
    </xf>
    <xf numFmtId="176" fontId="8" fillId="0" borderId="11" xfId="3" applyNumberFormat="1" applyFont="1" applyBorder="1" applyAlignment="1">
      <alignment horizontal="right" wrapText="1"/>
    </xf>
    <xf numFmtId="0" fontId="0" fillId="0" borderId="0" xfId="0" pivotButton="1">
      <alignment vertical="center"/>
    </xf>
    <xf numFmtId="41" fontId="0" fillId="0" borderId="0" xfId="0" applyNumberFormat="1">
      <alignment vertical="center"/>
    </xf>
    <xf numFmtId="0" fontId="2" fillId="2" borderId="1" xfId="1" applyFont="1" applyFill="1" applyBorder="1" applyAlignment="1" applyProtection="1">
      <alignment horizontal="center"/>
    </xf>
    <xf numFmtId="0" fontId="2" fillId="0" borderId="0" xfId="1" applyFont="1" applyProtection="1"/>
    <xf numFmtId="0" fontId="2" fillId="0" borderId="1" xfId="1" applyFont="1" applyBorder="1" applyAlignment="1" applyProtection="1">
      <alignment horizontal="center"/>
    </xf>
    <xf numFmtId="0" fontId="2" fillId="0" borderId="1" xfId="1" applyFont="1" applyBorder="1" applyProtection="1"/>
    <xf numFmtId="41" fontId="5" fillId="0" borderId="1" xfId="2" applyFont="1" applyBorder="1" applyProtection="1"/>
    <xf numFmtId="0" fontId="2" fillId="0" borderId="0" xfId="1" applyFont="1" applyAlignment="1" applyProtection="1">
      <alignment horizontal="center"/>
    </xf>
    <xf numFmtId="0" fontId="11" fillId="0" borderId="0" xfId="0" applyNumberFormat="1" applyFont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0" fontId="0" fillId="0" borderId="1" xfId="0" applyNumberFormat="1" applyFill="1" applyBorder="1" applyAlignment="1" applyProtection="1">
      <alignment horizontal="center" vertical="center"/>
      <protection hidden="1"/>
    </xf>
    <xf numFmtId="0" fontId="2" fillId="2" borderId="1" xfId="1" applyFont="1" applyFill="1" applyBorder="1" applyAlignment="1">
      <alignment horizontal="center"/>
    </xf>
    <xf numFmtId="0" fontId="6" fillId="0" borderId="2" xfId="1" applyFont="1" applyBorder="1" applyAlignment="1">
      <alignment horizontal="center"/>
    </xf>
    <xf numFmtId="0" fontId="2" fillId="0" borderId="2" xfId="1" applyFont="1" applyBorder="1" applyAlignment="1">
      <alignment horizontal="center"/>
    </xf>
  </cellXfs>
  <cellStyles count="4">
    <cellStyle name="쉼표 [0] 2" xfId="2"/>
    <cellStyle name="표준" xfId="0" builtinId="0"/>
    <cellStyle name="표준 2" xfId="1"/>
    <cellStyle name="표준_분석작업-1" xfId="3"/>
  </cellStyles>
  <dxfs count="6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/>
        <color rgb="FFFF0000"/>
      </font>
    </dxf>
    <dxf>
      <numFmt numFmtId="27" formatCode="yyyy/mm/dd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0">
                <a:latin typeface="굴림체" panose="020B0609000101010101" pitchFamily="49" charset="-127"/>
                <a:ea typeface="굴림체" panose="020B0609000101010101" pitchFamily="49" charset="-127"/>
              </a:defRPr>
            </a:pPr>
            <a:r>
              <a:rPr lang="ko-KR" altLang="en-US" sz="1500">
                <a:latin typeface="굴림체" panose="020B0609000101010101" pitchFamily="49" charset="-127"/>
                <a:ea typeface="굴림체" panose="020B0609000101010101" pitchFamily="49" charset="-127"/>
              </a:rPr>
              <a:t>학생별 성적표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'기타작업-1'!$C$2</c:f>
              <c:strCache>
                <c:ptCount val="1"/>
                <c:pt idx="0">
                  <c:v>영어</c:v>
                </c:pt>
              </c:strCache>
            </c:strRef>
          </c:tx>
          <c:invertIfNegative val="0"/>
          <c:cat>
            <c:strRef>
              <c:f>'기타작업-1'!$A$3:$A$7</c:f>
              <c:strCache>
                <c:ptCount val="5"/>
                <c:pt idx="0">
                  <c:v>김명훈</c:v>
                </c:pt>
                <c:pt idx="1">
                  <c:v>하현호</c:v>
                </c:pt>
                <c:pt idx="2">
                  <c:v>박희선</c:v>
                </c:pt>
                <c:pt idx="3">
                  <c:v>이성식</c:v>
                </c:pt>
                <c:pt idx="4">
                  <c:v>김영희</c:v>
                </c:pt>
              </c:strCache>
            </c:strRef>
          </c:cat>
          <c:val>
            <c:numRef>
              <c:f>'기타작업-1'!$C$3:$C$7</c:f>
              <c:numCache>
                <c:formatCode>General</c:formatCode>
                <c:ptCount val="5"/>
                <c:pt idx="0">
                  <c:v>82</c:v>
                </c:pt>
                <c:pt idx="1">
                  <c:v>98</c:v>
                </c:pt>
                <c:pt idx="2">
                  <c:v>68</c:v>
                </c:pt>
                <c:pt idx="3">
                  <c:v>58</c:v>
                </c:pt>
                <c:pt idx="4">
                  <c:v>78</c:v>
                </c:pt>
              </c:numCache>
            </c:numRef>
          </c:val>
        </c:ser>
        <c:ser>
          <c:idx val="1"/>
          <c:order val="1"/>
          <c:tx>
            <c:strRef>
              <c:f>'기타작업-1'!$D$2</c:f>
              <c:strCache>
                <c:ptCount val="1"/>
                <c:pt idx="0">
                  <c:v>수학</c:v>
                </c:pt>
              </c:strCache>
            </c:strRef>
          </c:tx>
          <c:invertIfNegative val="0"/>
          <c:cat>
            <c:strRef>
              <c:f>'기타작업-1'!$A$3:$A$7</c:f>
              <c:strCache>
                <c:ptCount val="5"/>
                <c:pt idx="0">
                  <c:v>김명훈</c:v>
                </c:pt>
                <c:pt idx="1">
                  <c:v>하현호</c:v>
                </c:pt>
                <c:pt idx="2">
                  <c:v>박희선</c:v>
                </c:pt>
                <c:pt idx="3">
                  <c:v>이성식</c:v>
                </c:pt>
                <c:pt idx="4">
                  <c:v>김영희</c:v>
                </c:pt>
              </c:strCache>
            </c:strRef>
          </c:cat>
          <c:val>
            <c:numRef>
              <c:f>'기타작업-1'!$D$3:$D$7</c:f>
              <c:numCache>
                <c:formatCode>General</c:formatCode>
                <c:ptCount val="5"/>
                <c:pt idx="0">
                  <c:v>70</c:v>
                </c:pt>
                <c:pt idx="1">
                  <c:v>80</c:v>
                </c:pt>
                <c:pt idx="2">
                  <c:v>74</c:v>
                </c:pt>
                <c:pt idx="3">
                  <c:v>64</c:v>
                </c:pt>
                <c:pt idx="4">
                  <c:v>82</c:v>
                </c:pt>
              </c:numCache>
            </c:numRef>
          </c:val>
        </c:ser>
        <c:ser>
          <c:idx val="2"/>
          <c:order val="2"/>
          <c:tx>
            <c:strRef>
              <c:f>'기타작업-1'!$E$2</c:f>
              <c:strCache>
                <c:ptCount val="1"/>
                <c:pt idx="0">
                  <c:v>평균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'기타작업-1'!$A$3:$A$7</c:f>
              <c:strCache>
                <c:ptCount val="5"/>
                <c:pt idx="0">
                  <c:v>김명훈</c:v>
                </c:pt>
                <c:pt idx="1">
                  <c:v>하현호</c:v>
                </c:pt>
                <c:pt idx="2">
                  <c:v>박희선</c:v>
                </c:pt>
                <c:pt idx="3">
                  <c:v>이성식</c:v>
                </c:pt>
                <c:pt idx="4">
                  <c:v>김영희</c:v>
                </c:pt>
              </c:strCache>
            </c:strRef>
          </c:cat>
          <c:val>
            <c:numRef>
              <c:f>'기타작업-1'!$E$3:$E$7</c:f>
              <c:numCache>
                <c:formatCode>General</c:formatCode>
                <c:ptCount val="5"/>
                <c:pt idx="0">
                  <c:v>76</c:v>
                </c:pt>
                <c:pt idx="1">
                  <c:v>89</c:v>
                </c:pt>
                <c:pt idx="2">
                  <c:v>71</c:v>
                </c:pt>
                <c:pt idx="3">
                  <c:v>61</c:v>
                </c:pt>
                <c:pt idx="4">
                  <c:v>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489984"/>
        <c:axId val="174492672"/>
      </c:barChart>
      <c:catAx>
        <c:axId val="17448998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ko-KR" altLang="en-US"/>
                  <a:t>성명</a:t>
                </a:r>
              </a:p>
            </c:rich>
          </c:tx>
          <c:overlay val="0"/>
        </c:title>
        <c:majorTickMark val="out"/>
        <c:minorTickMark val="none"/>
        <c:tickLblPos val="nextTo"/>
        <c:crossAx val="174492672"/>
        <c:crosses val="autoZero"/>
        <c:auto val="1"/>
        <c:lblAlgn val="ctr"/>
        <c:lblOffset val="100"/>
        <c:noMultiLvlLbl val="0"/>
      </c:catAx>
      <c:valAx>
        <c:axId val="1744926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점수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489984"/>
        <c:crosses val="autoZero"/>
        <c:crossBetween val="between"/>
        <c:majorUnit val="100"/>
      </c:valAx>
      <c:spPr>
        <a:solidFill>
          <a:srgbClr val="FFC000"/>
        </a:solidFill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0</xdr:rowOff>
    </xdr:from>
    <xdr:to>
      <xdr:col>7</xdr:col>
      <xdr:colOff>704850</xdr:colOff>
      <xdr:row>0</xdr:row>
      <xdr:rowOff>0</xdr:rowOff>
    </xdr:to>
    <xdr:sp macro="" textlink="">
      <xdr:nvSpPr>
        <xdr:cNvPr id="2" name="Rectangle 1"/>
        <xdr:cNvSpPr>
          <a:spLocks noChangeArrowheads="1"/>
        </xdr:cNvSpPr>
      </xdr:nvSpPr>
      <xdr:spPr bwMode="auto">
        <a:xfrm>
          <a:off x="19050" y="0"/>
          <a:ext cx="6210300" cy="0"/>
        </a:xfrm>
        <a:prstGeom prst="rect">
          <a:avLst/>
        </a:prstGeom>
        <a:solidFill>
          <a:srgbClr val="FFCC99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ko-KR" altLang="en-US" sz="1400" b="1" i="0" strike="noStrike">
              <a:solidFill>
                <a:srgbClr val="000000"/>
              </a:solidFill>
              <a:latin typeface="돋움"/>
              <a:ea typeface="돋움"/>
            </a:rPr>
            <a:t>○연금보험 가입자 현황○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7</xdr:row>
      <xdr:rowOff>0</xdr:rowOff>
    </xdr:from>
    <xdr:to>
      <xdr:col>13</xdr:col>
      <xdr:colOff>0</xdr:colOff>
      <xdr:row>9</xdr:row>
      <xdr:rowOff>0</xdr:rowOff>
    </xdr:to>
    <xdr:sp macro="[0]!근무자료" textlink="">
      <xdr:nvSpPr>
        <xdr:cNvPr id="2" name="위쪽 리본 1"/>
        <xdr:cNvSpPr/>
      </xdr:nvSpPr>
      <xdr:spPr>
        <a:xfrm>
          <a:off x="5762625" y="1466850"/>
          <a:ext cx="2047875" cy="419100"/>
        </a:xfrm>
        <a:prstGeom prst="ribbon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총합계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76200</xdr:rowOff>
        </xdr:from>
        <xdr:to>
          <xdr:col>5</xdr:col>
          <xdr:colOff>447675</xdr:colOff>
          <xdr:row>1</xdr:row>
          <xdr:rowOff>123825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2977.89742465278" createdVersion="4" refreshedVersion="4" minRefreshableVersion="3" recordCount="10">
  <cacheSource type="worksheet">
    <worksheetSource ref="A1:H11" sheet="분석작업-1"/>
  </cacheSource>
  <cacheFields count="8">
    <cacheField name="성명" numFmtId="0">
      <sharedItems count="10">
        <s v="강감찬"/>
        <s v="최재석"/>
        <s v="최강석"/>
        <s v="조민준"/>
        <s v="이충렬"/>
        <s v="김재욱"/>
        <s v="서정화"/>
        <s v="송치윤"/>
        <s v="송혜영"/>
        <s v="김구완"/>
      </sharedItems>
    </cacheField>
    <cacheField name="부서명" numFmtId="0">
      <sharedItems/>
    </cacheField>
    <cacheField name="직책" numFmtId="0">
      <sharedItems count="5">
        <s v="부장"/>
        <s v="과장"/>
        <s v="사원"/>
        <s v="대리"/>
        <s v="차장"/>
      </sharedItems>
    </cacheField>
    <cacheField name="근속기간" numFmtId="0">
      <sharedItems/>
    </cacheField>
    <cacheField name="기본급" numFmtId="176">
      <sharedItems containsSemiMixedTypes="0" containsString="0" containsNumber="1" containsInteger="1" minValue="1500" maxValue="2800"/>
    </cacheField>
    <cacheField name="상여금" numFmtId="176">
      <sharedItems containsSemiMixedTypes="0" containsString="0" containsNumber="1" containsInteger="1" minValue="5000" maxValue="11200"/>
    </cacheField>
    <cacheField name="수당" numFmtId="176">
      <sharedItems containsSemiMixedTypes="0" containsString="0" containsNumber="1" containsInteger="1" minValue="20" maxValue="140"/>
    </cacheField>
    <cacheField name="퇴직금" numFmtId="0">
      <sharedItems containsString="0" containsBlank="1" containsNumber="1" containsInteger="1" minValue="18340" maxValue="701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x v="0"/>
    <s v="회계부"/>
    <x v="0"/>
    <s v="25"/>
    <n v="2800"/>
    <n v="11200"/>
    <n v="140"/>
    <n v="18340"/>
  </r>
  <r>
    <x v="1"/>
    <s v="회계부"/>
    <x v="1"/>
    <s v="12"/>
    <n v="2000"/>
    <n v="8000"/>
    <n v="40"/>
    <n v="32040"/>
  </r>
  <r>
    <x v="2"/>
    <s v="기획인사부"/>
    <x v="0"/>
    <s v="21"/>
    <n v="2800"/>
    <n v="11200"/>
    <n v="140"/>
    <n v="70140"/>
  </r>
  <r>
    <x v="3"/>
    <s v="영업부"/>
    <x v="2"/>
    <s v="1"/>
    <n v="1500"/>
    <n v="5000"/>
    <n v="20"/>
    <m/>
  </r>
  <r>
    <x v="4"/>
    <s v="영업부"/>
    <x v="3"/>
    <s v="9"/>
    <n v="1800"/>
    <n v="7200"/>
    <n v="36"/>
    <n v="23436"/>
  </r>
  <r>
    <x v="5"/>
    <s v="회계부"/>
    <x v="1"/>
    <s v="18"/>
    <n v="2000"/>
    <n v="8000"/>
    <n v="40"/>
    <n v="44040"/>
  </r>
  <r>
    <x v="6"/>
    <s v="회계부"/>
    <x v="4"/>
    <s v="22"/>
    <n v="2500"/>
    <n v="10000"/>
    <n v="125"/>
    <n v="65125"/>
  </r>
  <r>
    <x v="7"/>
    <s v="기획인사부"/>
    <x v="3"/>
    <s v="14"/>
    <n v="1800"/>
    <n v="7200"/>
    <n v="36"/>
    <n v="32436"/>
  </r>
  <r>
    <x v="8"/>
    <s v="회계부"/>
    <x v="2"/>
    <s v="1"/>
    <n v="1500"/>
    <n v="5000"/>
    <n v="20"/>
    <m/>
  </r>
  <r>
    <x v="9"/>
    <s v="영업부"/>
    <x v="3"/>
    <s v="7"/>
    <n v="1800"/>
    <n v="7200"/>
    <n v="36"/>
    <n v="1983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43" applyNumberFormats="0" applyBorderFormats="0" applyFontFormats="0" applyPatternFormats="0" applyAlignmentFormats="0" applyWidthHeightFormats="1" dataCaption="값" missingCaption="없음" updatedVersion="4" minRefreshableVersion="3" useAutoFormatting="1" itemPrintTitles="1" createdVersion="4" indent="0" compact="0" outline="1" outlineData="1" compactData="0" multipleFieldFilters="0">
  <location ref="A15:C21" firstHeaderRow="0" firstDataRow="1" firstDataCol="1" rowPageCount="1" colPageCount="1"/>
  <pivotFields count="8">
    <pivotField axis="axisPage" compact="0" showAll="0">
      <items count="11">
        <item x="0"/>
        <item x="9"/>
        <item x="5"/>
        <item x="6"/>
        <item x="7"/>
        <item x="8"/>
        <item x="4"/>
        <item x="3"/>
        <item x="2"/>
        <item x="1"/>
        <item t="default"/>
      </items>
    </pivotField>
    <pivotField compact="0" showAll="0"/>
    <pivotField axis="axisRow" compact="0" showAll="0">
      <items count="6">
        <item x="1"/>
        <item x="3"/>
        <item x="0"/>
        <item x="2"/>
        <item x="4"/>
        <item t="default"/>
      </items>
    </pivotField>
    <pivotField compact="0" showAll="0"/>
    <pivotField dataField="1" compact="0" numFmtId="176" showAll="0"/>
    <pivotField compact="0" numFmtId="176" showAll="0"/>
    <pivotField compact="0" numFmtId="176" showAll="0"/>
    <pivotField dataField="1" compact="0"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합계 : 기본급" fld="4" baseField="2" baseItem="1" numFmtId="41"/>
    <dataField name="합계 : 퇴직금" fld="7" baseField="2" baseItem="1" numFmtId="4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S Access Database_Query" connectionId="1" autoFormatId="16" applyNumberFormats="0" applyBorderFormats="0" applyFontFormats="0" applyPatternFormats="0" applyAlignmentFormats="0" applyWidthHeightFormats="0">
  <queryTableRefresh nextId="7">
    <queryTableFields count="6">
      <queryTableField id="1" name="쇼핑몰" tableColumnId="1"/>
      <queryTableField id="2" name="DB운영비" tableColumnId="2"/>
      <queryTableField id="3" name="광고비" tableColumnId="3"/>
      <queryTableField id="4" name="배너비" tableColumnId="4"/>
      <queryTableField id="5" name="총액" tableColumnId="5"/>
      <queryTableField id="6" name="개설일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표_MS_Access_Database_Query" displayName="표_MS_Access_Database_Query" ref="A3:F14" tableType="queryTable" totalsRowShown="0">
  <autoFilter ref="A3:F14"/>
  <tableColumns count="6">
    <tableColumn id="1" uniqueName="1" name="쇼핑몰" queryTableFieldId="1"/>
    <tableColumn id="2" uniqueName="2" name="DB운영비" queryTableFieldId="2"/>
    <tableColumn id="3" uniqueName="3" name="광고비" queryTableFieldId="3"/>
    <tableColumn id="4" uniqueName="4" name="배너비" queryTableFieldId="4"/>
    <tableColumn id="5" uniqueName="5" name="총액" queryTableFieldId="5"/>
    <tableColumn id="6" uniqueName="6" name="개설일" queryTableFieldId="6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4"/>
  <sheetViews>
    <sheetView windowProtection="1" tabSelected="1" workbookViewId="0"/>
  </sheetViews>
  <sheetFormatPr defaultRowHeight="16.5"/>
  <cols>
    <col min="1" max="1" width="11" customWidth="1"/>
    <col min="2" max="2" width="12" customWidth="1"/>
    <col min="3" max="3" width="9.375" bestFit="1" customWidth="1"/>
    <col min="4" max="4" width="9.5" bestFit="1" customWidth="1"/>
    <col min="5" max="5" width="10.5" customWidth="1"/>
    <col min="6" max="6" width="15.5" customWidth="1"/>
    <col min="7" max="7" width="15.5" bestFit="1" customWidth="1"/>
  </cols>
  <sheetData>
    <row r="1" spans="1:6">
      <c r="A1" s="1" t="s">
        <v>0</v>
      </c>
    </row>
    <row r="3" spans="1:6">
      <c r="A3" t="s">
        <v>151</v>
      </c>
      <c r="B3" t="s">
        <v>152</v>
      </c>
      <c r="C3" t="s">
        <v>153</v>
      </c>
      <c r="D3" t="s">
        <v>154</v>
      </c>
      <c r="E3" t="s">
        <v>157</v>
      </c>
      <c r="F3" t="s">
        <v>155</v>
      </c>
    </row>
    <row r="4" spans="1:6">
      <c r="A4" t="s">
        <v>156</v>
      </c>
      <c r="B4">
        <v>202510</v>
      </c>
      <c r="C4">
        <v>243012</v>
      </c>
      <c r="D4">
        <v>62373.08</v>
      </c>
      <c r="E4">
        <v>507895.08</v>
      </c>
      <c r="F4" s="18">
        <v>42494</v>
      </c>
    </row>
    <row r="5" spans="1:6">
      <c r="A5" t="s">
        <v>156</v>
      </c>
      <c r="B5">
        <v>229920</v>
      </c>
      <c r="C5">
        <v>275904</v>
      </c>
      <c r="D5">
        <v>70815.360000000001</v>
      </c>
      <c r="E5">
        <v>576639.36</v>
      </c>
      <c r="F5" s="18">
        <v>42504</v>
      </c>
    </row>
    <row r="6" spans="1:6">
      <c r="A6" t="s">
        <v>156</v>
      </c>
      <c r="B6">
        <v>199600</v>
      </c>
      <c r="C6">
        <v>239520</v>
      </c>
      <c r="D6">
        <v>61476.800000000003</v>
      </c>
      <c r="E6">
        <v>500596.8</v>
      </c>
      <c r="F6" s="18">
        <v>42505</v>
      </c>
    </row>
    <row r="7" spans="1:6">
      <c r="A7" t="s">
        <v>156</v>
      </c>
      <c r="B7">
        <v>122300</v>
      </c>
      <c r="C7">
        <v>146760</v>
      </c>
      <c r="D7">
        <v>37668.400000000001</v>
      </c>
      <c r="E7">
        <v>306728.40000000002</v>
      </c>
      <c r="F7" s="18">
        <v>42515</v>
      </c>
    </row>
    <row r="8" spans="1:6">
      <c r="A8" t="s">
        <v>156</v>
      </c>
      <c r="B8">
        <v>185280</v>
      </c>
      <c r="C8">
        <v>222336</v>
      </c>
      <c r="D8">
        <v>57066.239999999998</v>
      </c>
      <c r="E8">
        <v>464682.23999999999</v>
      </c>
      <c r="F8" s="18">
        <v>42517</v>
      </c>
    </row>
    <row r="9" spans="1:6">
      <c r="A9" t="s">
        <v>156</v>
      </c>
      <c r="B9">
        <v>144990</v>
      </c>
      <c r="C9">
        <v>173988</v>
      </c>
      <c r="D9">
        <v>44656.92</v>
      </c>
      <c r="E9">
        <v>363634.92</v>
      </c>
      <c r="F9" s="18">
        <v>42519</v>
      </c>
    </row>
    <row r="10" spans="1:6">
      <c r="A10" t="s">
        <v>156</v>
      </c>
      <c r="B10">
        <v>106020</v>
      </c>
      <c r="C10">
        <v>127224</v>
      </c>
      <c r="D10">
        <v>32654.16</v>
      </c>
      <c r="E10">
        <v>265898.15999999997</v>
      </c>
      <c r="F10" s="18">
        <v>42522</v>
      </c>
    </row>
    <row r="11" spans="1:6">
      <c r="A11" t="s">
        <v>156</v>
      </c>
      <c r="B11">
        <v>134610</v>
      </c>
      <c r="C11">
        <v>161532</v>
      </c>
      <c r="D11">
        <v>41459.879999999997</v>
      </c>
      <c r="E11">
        <v>337601.88</v>
      </c>
      <c r="F11" s="18">
        <v>42535</v>
      </c>
    </row>
    <row r="12" spans="1:6">
      <c r="A12" t="s">
        <v>156</v>
      </c>
      <c r="B12">
        <v>127620</v>
      </c>
      <c r="C12">
        <v>153144</v>
      </c>
      <c r="D12">
        <v>39306.959999999999</v>
      </c>
      <c r="E12">
        <v>320070.96000000002</v>
      </c>
      <c r="F12" s="18">
        <v>42539</v>
      </c>
    </row>
    <row r="13" spans="1:6">
      <c r="A13" t="s">
        <v>156</v>
      </c>
      <c r="B13">
        <v>155970</v>
      </c>
      <c r="C13">
        <v>187164</v>
      </c>
      <c r="D13">
        <v>48038.76</v>
      </c>
      <c r="E13">
        <v>391172.76</v>
      </c>
      <c r="F13" s="18">
        <v>42541</v>
      </c>
    </row>
    <row r="14" spans="1:6">
      <c r="A14" t="s">
        <v>156</v>
      </c>
      <c r="B14">
        <v>142260</v>
      </c>
      <c r="C14">
        <v>170712</v>
      </c>
      <c r="D14">
        <v>43816.08</v>
      </c>
      <c r="E14">
        <v>356788.08</v>
      </c>
      <c r="F14" s="18">
        <v>42552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9"/>
  <sheetViews>
    <sheetView windowProtection="1" workbookViewId="0"/>
  </sheetViews>
  <sheetFormatPr defaultRowHeight="16.5"/>
  <cols>
    <col min="1" max="1" width="9.75" style="34" bestFit="1" customWidth="1"/>
    <col min="2" max="2" width="7.75" style="34" bestFit="1" customWidth="1"/>
    <col min="3" max="4" width="9.75" style="34" bestFit="1" customWidth="1"/>
    <col min="5" max="5" width="13.25" style="34" bestFit="1" customWidth="1"/>
    <col min="6" max="6" width="13.125" style="34" bestFit="1" customWidth="1"/>
    <col min="7" max="7" width="9.75" style="34" bestFit="1" customWidth="1"/>
    <col min="8" max="8" width="20.625" style="34" bestFit="1" customWidth="1"/>
    <col min="9" max="9" width="11.875" style="34" bestFit="1" customWidth="1"/>
    <col min="10" max="16384" width="9" style="34"/>
  </cols>
  <sheetData>
    <row r="1" spans="1:9">
      <c r="A1" s="33" t="s">
        <v>1</v>
      </c>
      <c r="B1" s="33" t="s">
        <v>2</v>
      </c>
      <c r="C1" s="33" t="s">
        <v>3</v>
      </c>
      <c r="D1" s="33" t="s">
        <v>4</v>
      </c>
      <c r="E1" s="33" t="s">
        <v>5</v>
      </c>
      <c r="F1" s="33" t="s">
        <v>6</v>
      </c>
      <c r="G1" s="33" t="s">
        <v>7</v>
      </c>
      <c r="H1" s="33" t="s">
        <v>8</v>
      </c>
      <c r="I1" s="33" t="s">
        <v>9</v>
      </c>
    </row>
    <row r="2" spans="1:9">
      <c r="A2" s="35" t="s">
        <v>10</v>
      </c>
      <c r="B2" s="35" t="s">
        <v>11</v>
      </c>
      <c r="C2" s="36">
        <v>6</v>
      </c>
      <c r="D2" s="36">
        <v>6</v>
      </c>
      <c r="E2" s="37">
        <v>220000</v>
      </c>
      <c r="F2" s="37">
        <v>10780</v>
      </c>
      <c r="G2" s="36">
        <v>2</v>
      </c>
      <c r="H2" s="35" t="s">
        <v>12</v>
      </c>
      <c r="I2" s="37">
        <f>(E2-F2)/C2</f>
        <v>34870</v>
      </c>
    </row>
    <row r="3" spans="1:9">
      <c r="A3" s="35" t="s">
        <v>13</v>
      </c>
      <c r="B3" s="35" t="s">
        <v>14</v>
      </c>
      <c r="C3" s="36">
        <v>6</v>
      </c>
      <c r="D3" s="36">
        <v>4</v>
      </c>
      <c r="E3" s="37">
        <v>110000</v>
      </c>
      <c r="F3" s="37">
        <v>43200</v>
      </c>
      <c r="G3" s="36">
        <v>5</v>
      </c>
      <c r="H3" s="35" t="s">
        <v>15</v>
      </c>
      <c r="I3" s="37">
        <f t="shared" ref="I3:I17" si="0">(E3-F3)/C3</f>
        <v>11133.333333333334</v>
      </c>
    </row>
    <row r="4" spans="1:9">
      <c r="A4" s="35" t="s">
        <v>16</v>
      </c>
      <c r="B4" s="35" t="s">
        <v>17</v>
      </c>
      <c r="C4" s="36">
        <v>5</v>
      </c>
      <c r="D4" s="36">
        <v>1</v>
      </c>
      <c r="E4" s="37">
        <v>1650000</v>
      </c>
      <c r="F4" s="37">
        <v>1353000</v>
      </c>
      <c r="G4" s="36">
        <v>1</v>
      </c>
      <c r="H4" s="35" t="s">
        <v>18</v>
      </c>
      <c r="I4" s="37">
        <f t="shared" si="0"/>
        <v>59400</v>
      </c>
    </row>
    <row r="5" spans="1:9">
      <c r="A5" s="35" t="s">
        <v>19</v>
      </c>
      <c r="B5" s="35" t="s">
        <v>20</v>
      </c>
      <c r="C5" s="36">
        <v>5</v>
      </c>
      <c r="D5" s="36">
        <v>3</v>
      </c>
      <c r="E5" s="37">
        <v>33000</v>
      </c>
      <c r="F5" s="37">
        <v>15180</v>
      </c>
      <c r="G5" s="36">
        <v>3</v>
      </c>
      <c r="H5" s="35" t="s">
        <v>21</v>
      </c>
      <c r="I5" s="37">
        <f t="shared" si="0"/>
        <v>3564</v>
      </c>
    </row>
    <row r="6" spans="1:9">
      <c r="A6" s="35" t="s">
        <v>22</v>
      </c>
      <c r="B6" s="35" t="s">
        <v>23</v>
      </c>
      <c r="C6" s="36">
        <v>6</v>
      </c>
      <c r="D6" s="36">
        <v>2</v>
      </c>
      <c r="E6" s="37">
        <v>2420000</v>
      </c>
      <c r="F6" s="37">
        <v>1848000</v>
      </c>
      <c r="G6" s="36">
        <v>4</v>
      </c>
      <c r="H6" s="35" t="s">
        <v>24</v>
      </c>
      <c r="I6" s="37">
        <f t="shared" si="0"/>
        <v>95333.333333333328</v>
      </c>
    </row>
    <row r="7" spans="1:9">
      <c r="A7" s="35" t="s">
        <v>25</v>
      </c>
      <c r="B7" s="35" t="s">
        <v>26</v>
      </c>
      <c r="C7" s="36">
        <v>4</v>
      </c>
      <c r="D7" s="36">
        <v>2</v>
      </c>
      <c r="E7" s="37">
        <v>550000</v>
      </c>
      <c r="F7" s="37">
        <v>302500</v>
      </c>
      <c r="G7" s="36">
        <v>6</v>
      </c>
      <c r="H7" s="35" t="s">
        <v>27</v>
      </c>
      <c r="I7" s="37">
        <f t="shared" si="0"/>
        <v>61875</v>
      </c>
    </row>
    <row r="8" spans="1:9">
      <c r="A8" s="35" t="s">
        <v>28</v>
      </c>
      <c r="B8" s="35" t="s">
        <v>29</v>
      </c>
      <c r="C8" s="36">
        <v>6</v>
      </c>
      <c r="D8" s="36">
        <v>2</v>
      </c>
      <c r="E8" s="37">
        <v>88000</v>
      </c>
      <c r="F8" s="37">
        <v>39600</v>
      </c>
      <c r="G8" s="36">
        <v>4</v>
      </c>
      <c r="H8" s="35" t="s">
        <v>30</v>
      </c>
      <c r="I8" s="37">
        <f t="shared" si="0"/>
        <v>8066.666666666667</v>
      </c>
    </row>
    <row r="9" spans="1:9">
      <c r="A9" s="35" t="s">
        <v>31</v>
      </c>
      <c r="B9" s="35" t="s">
        <v>23</v>
      </c>
      <c r="C9" s="36">
        <v>6</v>
      </c>
      <c r="D9" s="36">
        <v>3</v>
      </c>
      <c r="E9" s="37">
        <v>11000</v>
      </c>
      <c r="F9" s="37">
        <v>5060</v>
      </c>
      <c r="G9" s="36">
        <v>3</v>
      </c>
      <c r="H9" s="35" t="s">
        <v>32</v>
      </c>
      <c r="I9" s="37">
        <f t="shared" si="0"/>
        <v>990</v>
      </c>
    </row>
    <row r="10" spans="1:9">
      <c r="A10" s="35" t="s">
        <v>33</v>
      </c>
      <c r="B10" s="35" t="s">
        <v>20</v>
      </c>
      <c r="C10" s="36">
        <v>5</v>
      </c>
      <c r="D10" s="36">
        <v>3</v>
      </c>
      <c r="E10" s="37">
        <v>60500</v>
      </c>
      <c r="F10" s="37">
        <v>27830</v>
      </c>
      <c r="G10" s="36">
        <v>5</v>
      </c>
      <c r="H10" s="35" t="s">
        <v>34</v>
      </c>
      <c r="I10" s="37">
        <f t="shared" si="0"/>
        <v>6534</v>
      </c>
    </row>
    <row r="11" spans="1:9">
      <c r="A11" s="35" t="s">
        <v>35</v>
      </c>
      <c r="B11" s="35" t="s">
        <v>23</v>
      </c>
      <c r="C11" s="36">
        <v>6</v>
      </c>
      <c r="D11" s="36">
        <v>5</v>
      </c>
      <c r="E11" s="37">
        <v>110000</v>
      </c>
      <c r="F11" s="37">
        <v>17600</v>
      </c>
      <c r="G11" s="36">
        <v>2</v>
      </c>
      <c r="H11" s="35" t="s">
        <v>24</v>
      </c>
      <c r="I11" s="37">
        <f t="shared" si="0"/>
        <v>15400</v>
      </c>
    </row>
    <row r="12" spans="1:9">
      <c r="A12" s="35" t="s">
        <v>36</v>
      </c>
      <c r="B12" s="35" t="s">
        <v>23</v>
      </c>
      <c r="C12" s="36">
        <v>6</v>
      </c>
      <c r="D12" s="36">
        <v>4</v>
      </c>
      <c r="E12" s="37">
        <v>220000</v>
      </c>
      <c r="F12" s="37">
        <v>88000</v>
      </c>
      <c r="G12" s="36">
        <v>3</v>
      </c>
      <c r="H12" s="35" t="s">
        <v>18</v>
      </c>
      <c r="I12" s="37">
        <f t="shared" si="0"/>
        <v>22000</v>
      </c>
    </row>
    <row r="13" spans="1:9">
      <c r="A13" s="35" t="s">
        <v>37</v>
      </c>
      <c r="B13" s="35" t="s">
        <v>38</v>
      </c>
      <c r="C13" s="36">
        <v>4</v>
      </c>
      <c r="D13" s="36">
        <v>3</v>
      </c>
      <c r="E13" s="37">
        <v>440000</v>
      </c>
      <c r="F13" s="37">
        <v>143000</v>
      </c>
      <c r="G13" s="36">
        <v>6</v>
      </c>
      <c r="H13" s="35" t="s">
        <v>39</v>
      </c>
      <c r="I13" s="37">
        <f t="shared" si="0"/>
        <v>74250</v>
      </c>
    </row>
    <row r="14" spans="1:9">
      <c r="A14" s="35" t="s">
        <v>40</v>
      </c>
      <c r="B14" s="35" t="s">
        <v>41</v>
      </c>
      <c r="C14" s="36">
        <v>6</v>
      </c>
      <c r="D14" s="36">
        <v>3</v>
      </c>
      <c r="E14" s="37">
        <v>110000</v>
      </c>
      <c r="F14" s="37">
        <v>60500</v>
      </c>
      <c r="G14" s="36">
        <v>7</v>
      </c>
      <c r="H14" s="35" t="s">
        <v>15</v>
      </c>
      <c r="I14" s="37">
        <f t="shared" si="0"/>
        <v>8250</v>
      </c>
    </row>
    <row r="15" spans="1:9">
      <c r="A15" s="35" t="s">
        <v>42</v>
      </c>
      <c r="B15" s="35" t="s">
        <v>29</v>
      </c>
      <c r="C15" s="36">
        <v>6</v>
      </c>
      <c r="D15" s="36">
        <v>2</v>
      </c>
      <c r="E15" s="37">
        <v>88000</v>
      </c>
      <c r="F15" s="37">
        <v>61600</v>
      </c>
      <c r="G15" s="36">
        <v>8</v>
      </c>
      <c r="H15" s="35" t="s">
        <v>15</v>
      </c>
      <c r="I15" s="37">
        <f t="shared" si="0"/>
        <v>4400</v>
      </c>
    </row>
    <row r="16" spans="1:9">
      <c r="A16" s="35" t="s">
        <v>43</v>
      </c>
      <c r="B16" s="35" t="s">
        <v>26</v>
      </c>
      <c r="C16" s="36">
        <v>3</v>
      </c>
      <c r="D16" s="36">
        <v>1</v>
      </c>
      <c r="E16" s="37">
        <v>66000</v>
      </c>
      <c r="F16" s="37">
        <v>63800</v>
      </c>
      <c r="G16" s="36">
        <v>2</v>
      </c>
      <c r="H16" s="35" t="s">
        <v>44</v>
      </c>
      <c r="I16" s="37">
        <f t="shared" si="0"/>
        <v>733.33333333333337</v>
      </c>
    </row>
    <row r="17" spans="1:9">
      <c r="A17" s="35" t="s">
        <v>45</v>
      </c>
      <c r="B17" s="35" t="s">
        <v>26</v>
      </c>
      <c r="C17" s="36">
        <v>3</v>
      </c>
      <c r="D17" s="36">
        <v>2</v>
      </c>
      <c r="E17" s="37">
        <v>132000</v>
      </c>
      <c r="F17" s="37">
        <v>73700</v>
      </c>
      <c r="G17" s="36">
        <v>6</v>
      </c>
      <c r="H17" s="35" t="s">
        <v>46</v>
      </c>
      <c r="I17" s="37">
        <f t="shared" si="0"/>
        <v>19433.333333333332</v>
      </c>
    </row>
    <row r="18" spans="1:9">
      <c r="H18" s="38"/>
    </row>
    <row r="19" spans="1:9">
      <c r="A19" s="34" t="s">
        <v>47</v>
      </c>
      <c r="B19" s="34" t="s">
        <v>48</v>
      </c>
    </row>
    <row r="20" spans="1:9">
      <c r="A20" s="34" t="s">
        <v>49</v>
      </c>
      <c r="B20" s="34" t="s">
        <v>50</v>
      </c>
    </row>
    <row r="21" spans="1:9">
      <c r="A21" s="34" t="s">
        <v>51</v>
      </c>
      <c r="B21" s="34" t="s">
        <v>52</v>
      </c>
    </row>
    <row r="24" spans="1:9">
      <c r="A24" s="34" t="s">
        <v>47</v>
      </c>
      <c r="B24" s="34" t="s">
        <v>53</v>
      </c>
      <c r="C24" s="34" t="s">
        <v>54</v>
      </c>
      <c r="D24" s="34" t="s">
        <v>48</v>
      </c>
    </row>
    <row r="25" spans="1:9">
      <c r="A25" s="35" t="s">
        <v>23</v>
      </c>
      <c r="B25" s="36">
        <v>6</v>
      </c>
      <c r="C25" s="36">
        <v>2</v>
      </c>
      <c r="D25" s="36">
        <v>4</v>
      </c>
    </row>
    <row r="26" spans="1:9">
      <c r="A26" s="35" t="s">
        <v>26</v>
      </c>
      <c r="B26" s="36">
        <v>4</v>
      </c>
      <c r="C26" s="36">
        <v>2</v>
      </c>
      <c r="D26" s="36">
        <v>6</v>
      </c>
    </row>
    <row r="27" spans="1:9">
      <c r="A27" s="35" t="s">
        <v>23</v>
      </c>
      <c r="B27" s="36">
        <v>6</v>
      </c>
      <c r="C27" s="36">
        <v>3</v>
      </c>
      <c r="D27" s="36">
        <v>3</v>
      </c>
    </row>
    <row r="28" spans="1:9">
      <c r="A28" s="35" t="s">
        <v>23</v>
      </c>
      <c r="B28" s="36">
        <v>6</v>
      </c>
      <c r="C28" s="36">
        <v>4</v>
      </c>
      <c r="D28" s="36">
        <v>3</v>
      </c>
    </row>
    <row r="29" spans="1:9">
      <c r="A29" s="35" t="s">
        <v>26</v>
      </c>
      <c r="B29" s="36">
        <v>3</v>
      </c>
      <c r="C29" s="36">
        <v>2</v>
      </c>
      <c r="D29" s="36">
        <v>6</v>
      </c>
    </row>
  </sheetData>
  <sheetProtection formatCells="0" formatColumns="0" formatRows="0"/>
  <phoneticPr fontId="3" type="noConversion"/>
  <conditionalFormatting sqref="A2:I17">
    <cfRule type="expression" dxfId="4" priority="2">
      <formula>AND(MID($A2,3,1)="G",$C2&gt;=6)</formula>
    </cfRule>
  </conditionalFormatting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F17"/>
  <sheetViews>
    <sheetView windowProtection="1" workbookViewId="0"/>
  </sheetViews>
  <sheetFormatPr defaultRowHeight="16.5"/>
  <cols>
    <col min="1" max="1" width="3.5" customWidth="1"/>
    <col min="5" max="5" width="9.75" customWidth="1"/>
  </cols>
  <sheetData>
    <row r="2" spans="2:6">
      <c r="B2" s="39" t="s">
        <v>195</v>
      </c>
      <c r="D2" s="40"/>
      <c r="E2" s="41"/>
      <c r="F2" s="40"/>
    </row>
    <row r="3" spans="2:6">
      <c r="B3" s="42" t="s">
        <v>196</v>
      </c>
      <c r="C3" s="42" t="s">
        <v>197</v>
      </c>
      <c r="D3" s="42" t="s">
        <v>198</v>
      </c>
      <c r="E3" s="42" t="s">
        <v>237</v>
      </c>
      <c r="F3" s="42" t="s">
        <v>199</v>
      </c>
    </row>
    <row r="4" spans="2:6">
      <c r="B4" s="42" t="s">
        <v>200</v>
      </c>
      <c r="C4" s="42" t="s">
        <v>201</v>
      </c>
      <c r="D4" s="42" t="s">
        <v>202</v>
      </c>
      <c r="E4" s="42">
        <v>25</v>
      </c>
      <c r="F4" s="45" t="str">
        <f>HLOOKUP(MID(B4,3,1),$C$16:$F$17,2,FALSE)</f>
        <v>기획부</v>
      </c>
    </row>
    <row r="5" spans="2:6">
      <c r="B5" s="42" t="s">
        <v>203</v>
      </c>
      <c r="C5" s="42" t="s">
        <v>204</v>
      </c>
      <c r="D5" s="42" t="s">
        <v>205</v>
      </c>
      <c r="E5" s="42">
        <v>35</v>
      </c>
      <c r="F5" s="45" t="str">
        <f t="shared" ref="F5:F13" si="0">HLOOKUP(MID(B5,3,1),$C$16:$F$17,2,FALSE)</f>
        <v>생산부</v>
      </c>
    </row>
    <row r="6" spans="2:6">
      <c r="B6" s="42" t="s">
        <v>206</v>
      </c>
      <c r="C6" s="42" t="s">
        <v>207</v>
      </c>
      <c r="D6" s="42" t="s">
        <v>205</v>
      </c>
      <c r="E6" s="42">
        <v>27</v>
      </c>
      <c r="F6" s="45" t="str">
        <f t="shared" si="0"/>
        <v>영업부</v>
      </c>
    </row>
    <row r="7" spans="2:6">
      <c r="B7" s="42" t="s">
        <v>208</v>
      </c>
      <c r="C7" s="42" t="s">
        <v>209</v>
      </c>
      <c r="D7" s="42" t="s">
        <v>210</v>
      </c>
      <c r="E7" s="42">
        <v>32</v>
      </c>
      <c r="F7" s="45" t="str">
        <f t="shared" si="0"/>
        <v>영업부</v>
      </c>
    </row>
    <row r="8" spans="2:6">
      <c r="B8" s="42" t="s">
        <v>211</v>
      </c>
      <c r="C8" s="42" t="s">
        <v>212</v>
      </c>
      <c r="D8" s="42" t="s">
        <v>210</v>
      </c>
      <c r="E8" s="42">
        <v>55</v>
      </c>
      <c r="F8" s="45" t="str">
        <f t="shared" si="0"/>
        <v>생산부</v>
      </c>
    </row>
    <row r="9" spans="2:6">
      <c r="B9" s="42" t="s">
        <v>213</v>
      </c>
      <c r="C9" s="42" t="s">
        <v>214</v>
      </c>
      <c r="D9" s="42" t="s">
        <v>210</v>
      </c>
      <c r="E9" s="42">
        <v>39</v>
      </c>
      <c r="F9" s="45" t="str">
        <f t="shared" si="0"/>
        <v>생산부</v>
      </c>
    </row>
    <row r="10" spans="2:6">
      <c r="B10" s="42" t="s">
        <v>215</v>
      </c>
      <c r="C10" s="42" t="s">
        <v>216</v>
      </c>
      <c r="D10" s="42" t="s">
        <v>217</v>
      </c>
      <c r="E10" s="42">
        <v>28</v>
      </c>
      <c r="F10" s="45" t="str">
        <f t="shared" si="0"/>
        <v>영업부</v>
      </c>
    </row>
    <row r="11" spans="2:6">
      <c r="B11" s="42" t="s">
        <v>218</v>
      </c>
      <c r="C11" s="42" t="s">
        <v>219</v>
      </c>
      <c r="D11" s="42" t="s">
        <v>220</v>
      </c>
      <c r="E11" s="42">
        <v>45</v>
      </c>
      <c r="F11" s="45" t="str">
        <f t="shared" si="0"/>
        <v>경리부</v>
      </c>
    </row>
    <row r="12" spans="2:6">
      <c r="B12" s="42" t="s">
        <v>221</v>
      </c>
      <c r="C12" s="42" t="s">
        <v>222</v>
      </c>
      <c r="D12" s="42" t="s">
        <v>220</v>
      </c>
      <c r="E12" s="42">
        <v>42</v>
      </c>
      <c r="F12" s="45" t="str">
        <f t="shared" si="0"/>
        <v>기획부</v>
      </c>
    </row>
    <row r="13" spans="2:6">
      <c r="B13" s="42" t="s">
        <v>223</v>
      </c>
      <c r="C13" s="42" t="s">
        <v>224</v>
      </c>
      <c r="D13" s="42" t="s">
        <v>225</v>
      </c>
      <c r="E13" s="42">
        <v>34</v>
      </c>
      <c r="F13" s="45" t="str">
        <f t="shared" si="0"/>
        <v>경리부</v>
      </c>
    </row>
    <row r="14" spans="2:6">
      <c r="B14" s="41"/>
      <c r="C14" s="41"/>
      <c r="D14" s="41"/>
      <c r="E14" s="41"/>
      <c r="F14" s="41"/>
    </row>
    <row r="15" spans="2:6">
      <c r="B15" s="44" t="s">
        <v>226</v>
      </c>
      <c r="C15" s="41"/>
      <c r="D15" s="41"/>
      <c r="E15" s="41"/>
      <c r="F15" s="41"/>
    </row>
    <row r="16" spans="2:6">
      <c r="B16" s="43" t="s">
        <v>227</v>
      </c>
      <c r="C16" s="43" t="s">
        <v>228</v>
      </c>
      <c r="D16" s="43" t="s">
        <v>229</v>
      </c>
      <c r="E16" s="43" t="s">
        <v>230</v>
      </c>
      <c r="F16" s="43" t="s">
        <v>231</v>
      </c>
    </row>
    <row r="17" spans="2:6">
      <c r="B17" s="43" t="s">
        <v>232</v>
      </c>
      <c r="C17" s="43" t="s">
        <v>233</v>
      </c>
      <c r="D17" s="43" t="s">
        <v>234</v>
      </c>
      <c r="E17" s="43" t="s">
        <v>235</v>
      </c>
      <c r="F17" s="43" t="s">
        <v>236</v>
      </c>
    </row>
  </sheetData>
  <sheetProtection sheet="1" objects="1" scenarios="1" formatCells="0" formatColumns="0" formatRows="0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3"/>
  <sheetViews>
    <sheetView windowProtection="1" workbookViewId="0"/>
  </sheetViews>
  <sheetFormatPr defaultRowHeight="16.5"/>
  <cols>
    <col min="1" max="1" width="7.375" style="5" customWidth="1"/>
    <col min="2" max="2" width="7.625" style="5" customWidth="1"/>
    <col min="3" max="3" width="18" style="5" bestFit="1" customWidth="1"/>
    <col min="4" max="4" width="13.5" style="5" customWidth="1"/>
    <col min="5" max="6" width="8.375" style="5" customWidth="1"/>
    <col min="7" max="7" width="10.375" style="5" customWidth="1"/>
    <col min="8" max="8" width="8.125" style="5" customWidth="1"/>
    <col min="9" max="9" width="8.25" style="5" customWidth="1"/>
    <col min="10" max="16384" width="9" style="5"/>
  </cols>
  <sheetData>
    <row r="1" spans="1:9">
      <c r="A1" s="6" t="s">
        <v>55</v>
      </c>
    </row>
    <row r="2" spans="1:9">
      <c r="A2" s="4" t="s">
        <v>56</v>
      </c>
      <c r="B2" s="2" t="s">
        <v>57</v>
      </c>
      <c r="C2" s="2" t="s">
        <v>58</v>
      </c>
    </row>
    <row r="3" spans="1:9">
      <c r="A3" s="4" t="s">
        <v>59</v>
      </c>
      <c r="B3" s="7">
        <f t="array" ref="B3">AVERAGE(IF(($A$9:$A$18=$A3)*(MID($C$9:$C$18,8,1)=MID(B$2,3,1)),$E$9:$E$18))</f>
        <v>6000</v>
      </c>
      <c r="C3" s="7">
        <f t="array" ref="C3">AVERAGE(IF(($A$9:$A$18=$A3)*(MID($C$9:$C$18,8,1)=MID(C$2,3,1)),$E$9:$E$18))</f>
        <v>4500</v>
      </c>
    </row>
    <row r="4" spans="1:9">
      <c r="A4" s="4" t="s">
        <v>60</v>
      </c>
      <c r="B4" s="7">
        <f t="array" ref="B4">AVERAGE(IF(($A$9:$A$18=$A4)*(MID($C$9:$C$18,8,1)=MID(B$2,3,1)),$E$9:$E$18))</f>
        <v>4750</v>
      </c>
      <c r="C4" s="7">
        <f t="array" ref="C4">AVERAGE(IF(($A$9:$A$18=$A4)*(MID($C$9:$C$18,8,1)=MID(C$2,3,1)),$E$9:$E$18))</f>
        <v>8500</v>
      </c>
    </row>
    <row r="5" spans="1:9">
      <c r="A5" s="4" t="s">
        <v>61</v>
      </c>
      <c r="B5" s="7">
        <f t="array" ref="B5">AVERAGE(IF(($A$9:$A$18=$A5)*(MID($C$9:$C$18,8,1)=MID(B$2,3,1)),$E$9:$E$18))</f>
        <v>3000</v>
      </c>
      <c r="C5" s="7">
        <f t="array" ref="C5">AVERAGE(IF(($A$9:$A$18=$A5)*(MID($C$9:$C$18,8,1)=MID(C$2,3,1)),$E$9:$E$18))</f>
        <v>8000</v>
      </c>
    </row>
    <row r="6" spans="1:9">
      <c r="A6" s="8"/>
      <c r="B6" s="8"/>
      <c r="C6" s="8"/>
    </row>
    <row r="7" spans="1:9">
      <c r="A7" s="6" t="s">
        <v>62</v>
      </c>
    </row>
    <row r="8" spans="1:9">
      <c r="A8" s="7" t="s">
        <v>63</v>
      </c>
      <c r="B8" s="7" t="s">
        <v>64</v>
      </c>
      <c r="C8" s="7" t="s">
        <v>65</v>
      </c>
      <c r="D8" s="2" t="s">
        <v>66</v>
      </c>
      <c r="E8" s="7" t="s">
        <v>67</v>
      </c>
      <c r="F8" s="7" t="s">
        <v>68</v>
      </c>
      <c r="G8" s="2" t="s">
        <v>69</v>
      </c>
      <c r="H8" s="7" t="s">
        <v>70</v>
      </c>
      <c r="I8" s="2" t="s">
        <v>71</v>
      </c>
    </row>
    <row r="9" spans="1:9">
      <c r="A9" s="7" t="s">
        <v>72</v>
      </c>
      <c r="B9" s="7" t="s">
        <v>73</v>
      </c>
      <c r="C9" s="4" t="s">
        <v>74</v>
      </c>
      <c r="D9" s="9">
        <f>DATE(MID(C9,1,2),MID(C9,3,2),MID(C9,5,2))</f>
        <v>24857</v>
      </c>
      <c r="E9" s="10">
        <v>1500</v>
      </c>
      <c r="F9" s="7" t="s">
        <v>75</v>
      </c>
      <c r="G9" s="10">
        <f>IF(AND(E9&gt;=8000,F9="기혼"),E9*100%,IF(E9&gt;=5000,E9*80%,E9*60%))</f>
        <v>900</v>
      </c>
      <c r="H9" s="10">
        <v>1500</v>
      </c>
      <c r="I9" s="10">
        <f>sh총대여액(G9,H9)</f>
        <v>2400</v>
      </c>
    </row>
    <row r="10" spans="1:9">
      <c r="A10" s="7" t="s">
        <v>76</v>
      </c>
      <c r="B10" s="7" t="s">
        <v>77</v>
      </c>
      <c r="C10" s="4" t="s">
        <v>78</v>
      </c>
      <c r="D10" s="9">
        <f t="shared" ref="D10:D18" si="0">DATE(MID(C10,1,2),MID(C10,3,2),MID(C10,5,2))</f>
        <v>34957</v>
      </c>
      <c r="E10" s="10">
        <v>8500</v>
      </c>
      <c r="F10" s="7" t="s">
        <v>79</v>
      </c>
      <c r="G10" s="10">
        <f t="shared" ref="G10:G18" si="1">IF(AND(E10&gt;=8000,F10="기혼"),E10*100%,IF(E10&gt;=5000,E10*80%,E10*60%))</f>
        <v>6800</v>
      </c>
      <c r="H10" s="10">
        <v>1500</v>
      </c>
      <c r="I10" s="10">
        <f t="shared" ref="I10:I18" si="2">sh총대여액(G10,H10)</f>
        <v>8300</v>
      </c>
    </row>
    <row r="11" spans="1:9">
      <c r="A11" s="7" t="s">
        <v>80</v>
      </c>
      <c r="B11" s="7" t="s">
        <v>81</v>
      </c>
      <c r="C11" s="4" t="s">
        <v>82</v>
      </c>
      <c r="D11" s="9">
        <f t="shared" si="0"/>
        <v>29790</v>
      </c>
      <c r="E11" s="10">
        <v>6000</v>
      </c>
      <c r="F11" s="7" t="s">
        <v>83</v>
      </c>
      <c r="G11" s="10">
        <f t="shared" si="1"/>
        <v>4800</v>
      </c>
      <c r="H11" s="10">
        <v>2500</v>
      </c>
      <c r="I11" s="10">
        <f t="shared" si="2"/>
        <v>7300</v>
      </c>
    </row>
    <row r="12" spans="1:9">
      <c r="A12" s="7" t="s">
        <v>84</v>
      </c>
      <c r="B12" s="7" t="s">
        <v>85</v>
      </c>
      <c r="C12" s="4" t="s">
        <v>86</v>
      </c>
      <c r="D12" s="9">
        <f t="shared" si="0"/>
        <v>33237</v>
      </c>
      <c r="E12" s="10">
        <v>4500</v>
      </c>
      <c r="F12" s="7" t="s">
        <v>87</v>
      </c>
      <c r="G12" s="10">
        <f t="shared" si="1"/>
        <v>2700</v>
      </c>
      <c r="H12" s="10">
        <v>1000</v>
      </c>
      <c r="I12" s="10">
        <f t="shared" si="2"/>
        <v>3700</v>
      </c>
    </row>
    <row r="13" spans="1:9">
      <c r="A13" s="7" t="s">
        <v>80</v>
      </c>
      <c r="B13" s="7" t="s">
        <v>88</v>
      </c>
      <c r="C13" s="4" t="s">
        <v>89</v>
      </c>
      <c r="D13" s="9">
        <f t="shared" si="0"/>
        <v>34156</v>
      </c>
      <c r="E13" s="10">
        <v>5500</v>
      </c>
      <c r="F13" s="7" t="s">
        <v>83</v>
      </c>
      <c r="G13" s="10">
        <f t="shared" si="1"/>
        <v>4400</v>
      </c>
      <c r="H13" s="10">
        <v>2000</v>
      </c>
      <c r="I13" s="10">
        <f t="shared" si="2"/>
        <v>6400</v>
      </c>
    </row>
    <row r="14" spans="1:9">
      <c r="A14" s="7" t="s">
        <v>80</v>
      </c>
      <c r="B14" s="7" t="s">
        <v>90</v>
      </c>
      <c r="C14" s="4" t="s">
        <v>91</v>
      </c>
      <c r="D14" s="9">
        <f t="shared" si="0"/>
        <v>29606</v>
      </c>
      <c r="E14" s="10">
        <v>3000</v>
      </c>
      <c r="F14" s="7" t="s">
        <v>87</v>
      </c>
      <c r="G14" s="10">
        <f t="shared" si="1"/>
        <v>1800</v>
      </c>
      <c r="H14" s="10">
        <v>2500</v>
      </c>
      <c r="I14" s="10">
        <f t="shared" si="2"/>
        <v>4300</v>
      </c>
    </row>
    <row r="15" spans="1:9">
      <c r="A15" s="7" t="s">
        <v>92</v>
      </c>
      <c r="B15" s="7" t="s">
        <v>93</v>
      </c>
      <c r="C15" s="4" t="s">
        <v>94</v>
      </c>
      <c r="D15" s="9">
        <f t="shared" si="0"/>
        <v>33743</v>
      </c>
      <c r="E15" s="10">
        <v>7500</v>
      </c>
      <c r="F15" s="7" t="s">
        <v>87</v>
      </c>
      <c r="G15" s="10">
        <f t="shared" si="1"/>
        <v>6000</v>
      </c>
      <c r="H15" s="10">
        <v>1500</v>
      </c>
      <c r="I15" s="10">
        <f t="shared" si="2"/>
        <v>7500</v>
      </c>
    </row>
    <row r="16" spans="1:9">
      <c r="A16" s="7" t="s">
        <v>92</v>
      </c>
      <c r="B16" s="7" t="s">
        <v>95</v>
      </c>
      <c r="C16" s="4" t="s">
        <v>96</v>
      </c>
      <c r="D16" s="9">
        <f t="shared" si="0"/>
        <v>31072</v>
      </c>
      <c r="E16" s="10">
        <v>2000</v>
      </c>
      <c r="F16" s="7" t="s">
        <v>83</v>
      </c>
      <c r="G16" s="10">
        <f t="shared" si="1"/>
        <v>1200</v>
      </c>
      <c r="H16" s="10">
        <v>1500</v>
      </c>
      <c r="I16" s="10">
        <f t="shared" si="2"/>
        <v>2700</v>
      </c>
    </row>
    <row r="17" spans="1:9">
      <c r="A17" s="7" t="s">
        <v>84</v>
      </c>
      <c r="B17" s="7" t="s">
        <v>97</v>
      </c>
      <c r="C17" s="4" t="s">
        <v>98</v>
      </c>
      <c r="D17" s="9">
        <f t="shared" si="0"/>
        <v>32467</v>
      </c>
      <c r="E17" s="10">
        <v>8000</v>
      </c>
      <c r="F17" s="7" t="s">
        <v>87</v>
      </c>
      <c r="G17" s="10">
        <f t="shared" si="1"/>
        <v>8000</v>
      </c>
      <c r="H17" s="10">
        <v>1000</v>
      </c>
      <c r="I17" s="10">
        <f t="shared" si="2"/>
        <v>9000</v>
      </c>
    </row>
    <row r="18" spans="1:9">
      <c r="A18" s="7" t="s">
        <v>80</v>
      </c>
      <c r="B18" s="7" t="s">
        <v>99</v>
      </c>
      <c r="C18" s="4" t="s">
        <v>100</v>
      </c>
      <c r="D18" s="9">
        <f t="shared" si="0"/>
        <v>30424</v>
      </c>
      <c r="E18" s="10">
        <v>5000</v>
      </c>
      <c r="F18" s="7" t="s">
        <v>83</v>
      </c>
      <c r="G18" s="10">
        <f t="shared" si="1"/>
        <v>4000</v>
      </c>
      <c r="H18" s="10">
        <v>2500</v>
      </c>
      <c r="I18" s="10">
        <f t="shared" si="2"/>
        <v>6500</v>
      </c>
    </row>
    <row r="19" spans="1:9">
      <c r="A19" s="11"/>
      <c r="B19" s="11"/>
      <c r="C19" s="8"/>
      <c r="D19" s="12"/>
      <c r="E19" s="13"/>
      <c r="F19" s="11"/>
      <c r="G19" s="13"/>
      <c r="H19" s="13"/>
      <c r="I19" s="13"/>
    </row>
    <row r="20" spans="1:9">
      <c r="A20" s="6" t="s">
        <v>101</v>
      </c>
    </row>
    <row r="21" spans="1:9">
      <c r="A21" s="46" t="s">
        <v>102</v>
      </c>
      <c r="B21" s="46"/>
    </row>
    <row r="22" spans="1:9">
      <c r="A22" s="2" t="s">
        <v>87</v>
      </c>
      <c r="B22" s="4" t="str">
        <f t="array" ref="B22">INDEX($A$9:$I$18,MATCH(MIN(IF($F$9:$F$18=A22,$E$9:$E$18)),($F$9:$F$18=A22)*($E$9:$E$18),0),2)</f>
        <v>김기춘</v>
      </c>
    </row>
    <row r="23" spans="1:9">
      <c r="A23" s="2" t="s">
        <v>83</v>
      </c>
      <c r="B23" s="4" t="str">
        <f t="array" ref="B23">INDEX($A$9:$I$18,MATCH(MIN(IF($F$9:$F$18=A23,$E$9:$E$18)),($F$9:$F$18=A23)*($E$9:$E$18),0),2)</f>
        <v>김미영</v>
      </c>
    </row>
  </sheetData>
  <mergeCells count="1">
    <mergeCell ref="A21:B21"/>
  </mergeCells>
  <phoneticPr fontId="3" type="noConversion"/>
  <conditionalFormatting sqref="C19:D19">
    <cfRule type="expression" dxfId="3" priority="4" stopIfTrue="1">
      <formula>$J19=100000</formula>
    </cfRule>
  </conditionalFormatting>
  <conditionalFormatting sqref="C9:C18">
    <cfRule type="expression" dxfId="2" priority="3" stopIfTrue="1">
      <formula>$J9=100000</formula>
    </cfRule>
  </conditionalFormatting>
  <conditionalFormatting sqref="C13">
    <cfRule type="expression" dxfId="1" priority="2" stopIfTrue="1">
      <formula>$J13=100000</formula>
    </cfRule>
  </conditionalFormatting>
  <conditionalFormatting sqref="D9:D18">
    <cfRule type="expression" dxfId="0" priority="1" stopIfTrue="1">
      <formula>$J9=100000</formula>
    </cfRule>
  </conditionalFormatting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2"/>
  <sheetViews>
    <sheetView windowProtection="1" workbookViewId="0">
      <selection activeCell="I18" sqref="I18"/>
    </sheetView>
  </sheetViews>
  <sheetFormatPr defaultRowHeight="16.5"/>
  <cols>
    <col min="1" max="1" width="7.5" style="3" customWidth="1"/>
    <col min="2" max="2" width="13.125" style="3" customWidth="1"/>
    <col min="3" max="3" width="13.125" style="3" bestFit="1" customWidth="1"/>
    <col min="4" max="4" width="10.25" style="3" customWidth="1"/>
    <col min="5" max="8" width="10.625" style="3" customWidth="1"/>
    <col min="9" max="16384" width="9" style="3"/>
  </cols>
  <sheetData>
    <row r="1" spans="1:8">
      <c r="A1" s="20" t="s">
        <v>106</v>
      </c>
      <c r="B1" s="20" t="s">
        <v>56</v>
      </c>
      <c r="C1" s="20" t="s">
        <v>158</v>
      </c>
      <c r="D1" s="20" t="s">
        <v>159</v>
      </c>
      <c r="E1" s="20" t="s">
        <v>160</v>
      </c>
      <c r="F1" s="20" t="s">
        <v>161</v>
      </c>
      <c r="G1" s="20" t="s">
        <v>162</v>
      </c>
      <c r="H1" s="21" t="s">
        <v>163</v>
      </c>
    </row>
    <row r="2" spans="1:8">
      <c r="A2" s="22" t="s">
        <v>164</v>
      </c>
      <c r="B2" s="22" t="s">
        <v>165</v>
      </c>
      <c r="C2" s="22" t="s">
        <v>166</v>
      </c>
      <c r="D2" s="22" t="s">
        <v>167</v>
      </c>
      <c r="E2" s="23">
        <v>2800</v>
      </c>
      <c r="F2" s="23">
        <v>11200</v>
      </c>
      <c r="G2" s="23">
        <v>140</v>
      </c>
      <c r="H2" s="24">
        <v>18340</v>
      </c>
    </row>
    <row r="3" spans="1:8">
      <c r="A3" s="25" t="s">
        <v>168</v>
      </c>
      <c r="B3" s="25" t="s">
        <v>165</v>
      </c>
      <c r="C3" s="25" t="s">
        <v>169</v>
      </c>
      <c r="D3" s="25" t="s">
        <v>170</v>
      </c>
      <c r="E3" s="26">
        <v>2000</v>
      </c>
      <c r="F3" s="26">
        <v>8000</v>
      </c>
      <c r="G3" s="26">
        <v>40</v>
      </c>
      <c r="H3" s="27">
        <v>32040</v>
      </c>
    </row>
    <row r="4" spans="1:8">
      <c r="A4" s="25" t="s">
        <v>171</v>
      </c>
      <c r="B4" s="25" t="s">
        <v>172</v>
      </c>
      <c r="C4" s="25" t="s">
        <v>166</v>
      </c>
      <c r="D4" s="25" t="s">
        <v>173</v>
      </c>
      <c r="E4" s="26">
        <v>2800</v>
      </c>
      <c r="F4" s="26">
        <v>11200</v>
      </c>
      <c r="G4" s="26">
        <v>140</v>
      </c>
      <c r="H4" s="27">
        <v>70140</v>
      </c>
    </row>
    <row r="5" spans="1:8">
      <c r="A5" s="25" t="s">
        <v>174</v>
      </c>
      <c r="B5" s="25" t="s">
        <v>60</v>
      </c>
      <c r="C5" s="25" t="s">
        <v>175</v>
      </c>
      <c r="D5" s="25" t="s">
        <v>176</v>
      </c>
      <c r="E5" s="26">
        <v>1500</v>
      </c>
      <c r="F5" s="26">
        <v>5000</v>
      </c>
      <c r="G5" s="26">
        <v>20</v>
      </c>
      <c r="H5" s="28"/>
    </row>
    <row r="6" spans="1:8">
      <c r="A6" s="25" t="s">
        <v>177</v>
      </c>
      <c r="B6" s="25" t="s">
        <v>60</v>
      </c>
      <c r="C6" s="25" t="s">
        <v>178</v>
      </c>
      <c r="D6" s="25" t="s">
        <v>179</v>
      </c>
      <c r="E6" s="26">
        <v>1800</v>
      </c>
      <c r="F6" s="26">
        <v>7200</v>
      </c>
      <c r="G6" s="26">
        <v>36</v>
      </c>
      <c r="H6" s="27">
        <v>23436</v>
      </c>
    </row>
    <row r="7" spans="1:8">
      <c r="A7" s="25" t="s">
        <v>180</v>
      </c>
      <c r="B7" s="25" t="s">
        <v>165</v>
      </c>
      <c r="C7" s="25" t="s">
        <v>169</v>
      </c>
      <c r="D7" s="25" t="s">
        <v>181</v>
      </c>
      <c r="E7" s="26">
        <v>2000</v>
      </c>
      <c r="F7" s="26">
        <v>8000</v>
      </c>
      <c r="G7" s="26">
        <v>40</v>
      </c>
      <c r="H7" s="27">
        <v>44040</v>
      </c>
    </row>
    <row r="8" spans="1:8">
      <c r="A8" s="25" t="s">
        <v>182</v>
      </c>
      <c r="B8" s="25" t="s">
        <v>165</v>
      </c>
      <c r="C8" s="25" t="s">
        <v>183</v>
      </c>
      <c r="D8" s="25" t="s">
        <v>184</v>
      </c>
      <c r="E8" s="26">
        <v>2500</v>
      </c>
      <c r="F8" s="26">
        <v>10000</v>
      </c>
      <c r="G8" s="26">
        <v>125</v>
      </c>
      <c r="H8" s="27">
        <v>65125</v>
      </c>
    </row>
    <row r="9" spans="1:8">
      <c r="A9" s="25" t="s">
        <v>185</v>
      </c>
      <c r="B9" s="25" t="s">
        <v>172</v>
      </c>
      <c r="C9" s="25" t="s">
        <v>178</v>
      </c>
      <c r="D9" s="25" t="s">
        <v>186</v>
      </c>
      <c r="E9" s="26">
        <v>1800</v>
      </c>
      <c r="F9" s="26">
        <v>7200</v>
      </c>
      <c r="G9" s="26">
        <v>36</v>
      </c>
      <c r="H9" s="27">
        <v>32436</v>
      </c>
    </row>
    <row r="10" spans="1:8">
      <c r="A10" s="25" t="s">
        <v>187</v>
      </c>
      <c r="B10" s="25" t="s">
        <v>165</v>
      </c>
      <c r="C10" s="25" t="s">
        <v>175</v>
      </c>
      <c r="D10" s="25" t="s">
        <v>176</v>
      </c>
      <c r="E10" s="26">
        <v>1500</v>
      </c>
      <c r="F10" s="26">
        <v>5000</v>
      </c>
      <c r="G10" s="26">
        <v>20</v>
      </c>
      <c r="H10" s="28"/>
    </row>
    <row r="11" spans="1:8">
      <c r="A11" s="29" t="s">
        <v>188</v>
      </c>
      <c r="B11" s="29" t="s">
        <v>60</v>
      </c>
      <c r="C11" s="29" t="s">
        <v>178</v>
      </c>
      <c r="D11" s="29" t="s">
        <v>189</v>
      </c>
      <c r="E11" s="30">
        <v>1800</v>
      </c>
      <c r="F11" s="30">
        <v>7200</v>
      </c>
      <c r="G11" s="30">
        <v>36</v>
      </c>
      <c r="H11" s="19">
        <v>19836</v>
      </c>
    </row>
    <row r="13" spans="1:8">
      <c r="A13" s="31" t="s">
        <v>106</v>
      </c>
      <c r="B13" t="s">
        <v>190</v>
      </c>
    </row>
    <row r="15" spans="1:8">
      <c r="A15" s="31" t="s">
        <v>158</v>
      </c>
      <c r="B15" t="s">
        <v>192</v>
      </c>
      <c r="C15" t="s">
        <v>194</v>
      </c>
    </row>
    <row r="16" spans="1:8">
      <c r="A16" t="s">
        <v>169</v>
      </c>
      <c r="B16" s="32">
        <v>4000</v>
      </c>
      <c r="C16" s="32">
        <v>76080</v>
      </c>
    </row>
    <row r="17" spans="1:3">
      <c r="A17" t="s">
        <v>178</v>
      </c>
      <c r="B17" s="32">
        <v>5400</v>
      </c>
      <c r="C17" s="32">
        <v>75708</v>
      </c>
    </row>
    <row r="18" spans="1:3">
      <c r="A18" t="s">
        <v>166</v>
      </c>
      <c r="B18" s="32">
        <v>5600</v>
      </c>
      <c r="C18" s="32">
        <v>88480</v>
      </c>
    </row>
    <row r="19" spans="1:3">
      <c r="A19" t="s">
        <v>175</v>
      </c>
      <c r="B19" s="32">
        <v>3000</v>
      </c>
      <c r="C19" s="32" t="s">
        <v>193</v>
      </c>
    </row>
    <row r="20" spans="1:3">
      <c r="A20" t="s">
        <v>183</v>
      </c>
      <c r="B20" s="32">
        <v>2500</v>
      </c>
      <c r="C20" s="32">
        <v>65125</v>
      </c>
    </row>
    <row r="21" spans="1:3">
      <c r="A21" t="s">
        <v>191</v>
      </c>
      <c r="B21" s="32">
        <v>20500</v>
      </c>
      <c r="C21" s="32">
        <v>305393</v>
      </c>
    </row>
    <row r="22" spans="1:3">
      <c r="A22"/>
      <c r="B22"/>
      <c r="C22"/>
    </row>
    <row r="23" spans="1:3">
      <c r="A23"/>
      <c r="B23"/>
      <c r="C23"/>
    </row>
    <row r="24" spans="1:3">
      <c r="A24"/>
      <c r="B24"/>
      <c r="C24"/>
    </row>
    <row r="25" spans="1:3">
      <c r="A25"/>
      <c r="B25"/>
      <c r="C25"/>
    </row>
    <row r="26" spans="1:3">
      <c r="A26"/>
      <c r="B26"/>
      <c r="C26"/>
    </row>
    <row r="27" spans="1:3">
      <c r="A27"/>
      <c r="B27"/>
      <c r="C27"/>
    </row>
    <row r="28" spans="1:3">
      <c r="A28"/>
      <c r="B28"/>
      <c r="C28"/>
    </row>
    <row r="29" spans="1:3">
      <c r="A29"/>
      <c r="B29"/>
      <c r="C29"/>
    </row>
    <row r="30" spans="1:3">
      <c r="A30"/>
      <c r="B30"/>
      <c r="C30"/>
    </row>
    <row r="31" spans="1:3">
      <c r="A31"/>
      <c r="B31"/>
      <c r="C31"/>
    </row>
    <row r="32" spans="1:3">
      <c r="A32"/>
      <c r="B32"/>
      <c r="C32"/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9"/>
  <sheetViews>
    <sheetView windowProtection="1" workbookViewId="0">
      <selection activeCell="M22" sqref="M22"/>
    </sheetView>
  </sheetViews>
  <sheetFormatPr defaultRowHeight="16.5"/>
  <cols>
    <col min="1" max="1" width="9" style="3"/>
    <col min="2" max="2" width="9.25" style="3" bestFit="1" customWidth="1"/>
    <col min="3" max="3" width="7.375" style="3" bestFit="1" customWidth="1"/>
    <col min="4" max="4" width="9.25" style="3" bestFit="1" customWidth="1"/>
    <col min="5" max="5" width="2.875" style="3" customWidth="1"/>
    <col min="6" max="6" width="9" style="3"/>
    <col min="7" max="7" width="9.25" style="3" bestFit="1" customWidth="1"/>
    <col min="8" max="8" width="7.375" style="3" bestFit="1" customWidth="1"/>
    <col min="9" max="9" width="9.25" style="3" bestFit="1" customWidth="1"/>
    <col min="10" max="10" width="3" style="3" customWidth="1"/>
    <col min="11" max="12" width="9" style="3"/>
    <col min="13" max="13" width="8.875" style="3" customWidth="1"/>
    <col min="14" max="16384" width="9" style="3"/>
  </cols>
  <sheetData>
    <row r="1" spans="1:13">
      <c r="A1" s="47" t="s">
        <v>103</v>
      </c>
      <c r="B1" s="47"/>
      <c r="C1" s="47"/>
      <c r="D1" s="47"/>
      <c r="F1" s="47" t="s">
        <v>104</v>
      </c>
      <c r="G1" s="47"/>
      <c r="H1" s="47"/>
      <c r="I1" s="47"/>
      <c r="K1" s="47" t="s">
        <v>105</v>
      </c>
      <c r="L1" s="47"/>
      <c r="M1" s="47"/>
    </row>
    <row r="2" spans="1:13">
      <c r="A2" s="4" t="s">
        <v>106</v>
      </c>
      <c r="B2" s="4" t="s">
        <v>107</v>
      </c>
      <c r="C2" s="4" t="s">
        <v>108</v>
      </c>
      <c r="D2" s="4" t="s">
        <v>109</v>
      </c>
      <c r="F2" s="4" t="s">
        <v>106</v>
      </c>
      <c r="G2" s="4" t="s">
        <v>107</v>
      </c>
      <c r="H2" s="4" t="s">
        <v>108</v>
      </c>
      <c r="I2" s="4" t="s">
        <v>109</v>
      </c>
      <c r="K2" s="4" t="s">
        <v>106</v>
      </c>
      <c r="L2" s="4" t="s">
        <v>107</v>
      </c>
      <c r="M2" s="4" t="s">
        <v>108</v>
      </c>
    </row>
    <row r="3" spans="1:13">
      <c r="A3" s="4" t="s">
        <v>110</v>
      </c>
      <c r="B3" s="14">
        <v>3</v>
      </c>
      <c r="C3" s="14">
        <v>75</v>
      </c>
      <c r="D3" s="14">
        <v>36</v>
      </c>
      <c r="F3" s="4" t="s">
        <v>110</v>
      </c>
      <c r="G3" s="14">
        <v>1</v>
      </c>
      <c r="H3" s="14">
        <v>77</v>
      </c>
      <c r="I3" s="14">
        <v>38</v>
      </c>
      <c r="K3" s="4" t="s">
        <v>111</v>
      </c>
      <c r="L3" s="14">
        <v>7</v>
      </c>
      <c r="M3" s="14">
        <v>305</v>
      </c>
    </row>
    <row r="4" spans="1:13">
      <c r="A4" s="4" t="s">
        <v>112</v>
      </c>
      <c r="B4" s="14">
        <v>2</v>
      </c>
      <c r="C4" s="14">
        <v>76</v>
      </c>
      <c r="D4" s="14">
        <v>38</v>
      </c>
      <c r="F4" s="4" t="s">
        <v>112</v>
      </c>
      <c r="G4" s="14">
        <v>4</v>
      </c>
      <c r="H4" s="14">
        <v>74</v>
      </c>
      <c r="I4" s="14">
        <v>36</v>
      </c>
      <c r="K4" s="4" t="s">
        <v>113</v>
      </c>
      <c r="L4" s="14">
        <v>7</v>
      </c>
      <c r="M4" s="14">
        <v>305</v>
      </c>
    </row>
    <row r="5" spans="1:13">
      <c r="A5" s="4" t="s">
        <v>111</v>
      </c>
      <c r="B5" s="14">
        <v>1</v>
      </c>
      <c r="C5" s="14">
        <v>77</v>
      </c>
      <c r="D5" s="14">
        <v>38</v>
      </c>
      <c r="F5" s="4" t="s">
        <v>111</v>
      </c>
      <c r="G5" s="14">
        <v>3</v>
      </c>
      <c r="H5" s="14">
        <v>75</v>
      </c>
      <c r="I5" s="14">
        <v>36</v>
      </c>
      <c r="K5" s="4" t="s">
        <v>114</v>
      </c>
      <c r="L5" s="14">
        <v>10</v>
      </c>
      <c r="M5" s="14">
        <v>302</v>
      </c>
    </row>
    <row r="6" spans="1:13">
      <c r="A6" s="4" t="s">
        <v>113</v>
      </c>
      <c r="B6" s="14">
        <v>4</v>
      </c>
      <c r="C6" s="14">
        <v>74</v>
      </c>
      <c r="D6" s="14">
        <v>34</v>
      </c>
      <c r="F6" s="4" t="s">
        <v>113</v>
      </c>
      <c r="G6" s="14">
        <v>2</v>
      </c>
      <c r="H6" s="14">
        <v>76</v>
      </c>
      <c r="I6" s="14">
        <v>38</v>
      </c>
    </row>
    <row r="7" spans="1:13">
      <c r="A7" s="4" t="s">
        <v>114</v>
      </c>
      <c r="B7" s="14">
        <v>3</v>
      </c>
      <c r="C7" s="14">
        <v>75</v>
      </c>
      <c r="D7" s="14">
        <v>38</v>
      </c>
      <c r="F7" s="4" t="s">
        <v>114</v>
      </c>
      <c r="G7" s="14">
        <v>1</v>
      </c>
      <c r="H7" s="14">
        <v>77</v>
      </c>
      <c r="I7" s="14">
        <v>38</v>
      </c>
    </row>
    <row r="8" spans="1:13">
      <c r="A8" s="4" t="s">
        <v>115</v>
      </c>
      <c r="B8" s="14">
        <v>2</v>
      </c>
      <c r="C8" s="14">
        <v>76</v>
      </c>
      <c r="D8" s="14">
        <v>38</v>
      </c>
      <c r="F8" s="4" t="s">
        <v>115</v>
      </c>
      <c r="G8" s="14">
        <v>0</v>
      </c>
      <c r="H8" s="14">
        <v>78</v>
      </c>
      <c r="I8" s="14">
        <v>40</v>
      </c>
    </row>
    <row r="9" spans="1:13">
      <c r="A9" s="4" t="s">
        <v>116</v>
      </c>
      <c r="B9" s="14">
        <v>5</v>
      </c>
      <c r="C9" s="14">
        <v>73</v>
      </c>
      <c r="D9" s="14">
        <v>32</v>
      </c>
      <c r="F9" s="4" t="s">
        <v>116</v>
      </c>
      <c r="G9" s="14">
        <v>3</v>
      </c>
      <c r="H9" s="14">
        <v>75</v>
      </c>
      <c r="I9" s="14">
        <v>38</v>
      </c>
    </row>
    <row r="11" spans="1:13">
      <c r="A11" s="47" t="s">
        <v>117</v>
      </c>
      <c r="B11" s="47"/>
      <c r="C11" s="47"/>
      <c r="D11" s="47"/>
      <c r="F11" s="47" t="s">
        <v>118</v>
      </c>
      <c r="G11" s="47"/>
      <c r="H11" s="47"/>
      <c r="I11" s="47"/>
    </row>
    <row r="12" spans="1:13">
      <c r="A12" s="4" t="s">
        <v>106</v>
      </c>
      <c r="B12" s="4" t="s">
        <v>107</v>
      </c>
      <c r="C12" s="4" t="s">
        <v>108</v>
      </c>
      <c r="D12" s="4" t="s">
        <v>109</v>
      </c>
      <c r="F12" s="4" t="s">
        <v>106</v>
      </c>
      <c r="G12" s="4" t="s">
        <v>107</v>
      </c>
      <c r="H12" s="4" t="s">
        <v>108</v>
      </c>
      <c r="I12" s="4" t="s">
        <v>109</v>
      </c>
    </row>
    <row r="13" spans="1:13">
      <c r="A13" s="4" t="s">
        <v>110</v>
      </c>
      <c r="B13" s="14">
        <v>2</v>
      </c>
      <c r="C13" s="14">
        <v>76</v>
      </c>
      <c r="D13" s="14">
        <v>38</v>
      </c>
      <c r="F13" s="4" t="s">
        <v>110</v>
      </c>
      <c r="G13" s="14">
        <v>6</v>
      </c>
      <c r="H13" s="14">
        <v>72</v>
      </c>
      <c r="I13" s="14">
        <v>30</v>
      </c>
    </row>
    <row r="14" spans="1:13">
      <c r="A14" s="4" t="s">
        <v>112</v>
      </c>
      <c r="B14" s="14">
        <v>0</v>
      </c>
      <c r="C14" s="14">
        <v>78</v>
      </c>
      <c r="D14" s="14">
        <v>40</v>
      </c>
      <c r="F14" s="4" t="s">
        <v>112</v>
      </c>
      <c r="G14" s="14">
        <v>1</v>
      </c>
      <c r="H14" s="14">
        <v>77</v>
      </c>
      <c r="I14" s="14">
        <v>38</v>
      </c>
    </row>
    <row r="15" spans="1:13">
      <c r="A15" s="4" t="s">
        <v>111</v>
      </c>
      <c r="B15" s="14">
        <v>0</v>
      </c>
      <c r="C15" s="14">
        <v>78</v>
      </c>
      <c r="D15" s="14">
        <v>40</v>
      </c>
      <c r="F15" s="4" t="s">
        <v>111</v>
      </c>
      <c r="G15" s="14">
        <v>3</v>
      </c>
      <c r="H15" s="14">
        <v>75</v>
      </c>
      <c r="I15" s="14">
        <v>36</v>
      </c>
    </row>
    <row r="16" spans="1:13">
      <c r="A16" s="4" t="s">
        <v>113</v>
      </c>
      <c r="B16" s="14">
        <v>1</v>
      </c>
      <c r="C16" s="14">
        <v>77</v>
      </c>
      <c r="D16" s="14">
        <v>38</v>
      </c>
      <c r="F16" s="4" t="s">
        <v>113</v>
      </c>
      <c r="G16" s="14">
        <v>0</v>
      </c>
      <c r="H16" s="14">
        <v>78</v>
      </c>
      <c r="I16" s="14">
        <v>40</v>
      </c>
    </row>
    <row r="17" spans="1:9">
      <c r="A17" s="4" t="s">
        <v>114</v>
      </c>
      <c r="B17" s="14">
        <v>4</v>
      </c>
      <c r="C17" s="14">
        <v>74</v>
      </c>
      <c r="D17" s="14">
        <v>36</v>
      </c>
      <c r="F17" s="4" t="s">
        <v>114</v>
      </c>
      <c r="G17" s="14">
        <v>2</v>
      </c>
      <c r="H17" s="14">
        <v>76</v>
      </c>
      <c r="I17" s="14">
        <v>38</v>
      </c>
    </row>
    <row r="18" spans="1:9">
      <c r="A18" s="4" t="s">
        <v>115</v>
      </c>
      <c r="B18" s="14">
        <v>5</v>
      </c>
      <c r="C18" s="14">
        <v>73</v>
      </c>
      <c r="D18" s="14">
        <v>32</v>
      </c>
      <c r="F18" s="4" t="s">
        <v>115</v>
      </c>
      <c r="G18" s="14">
        <v>0</v>
      </c>
      <c r="H18" s="14">
        <v>78</v>
      </c>
      <c r="I18" s="14">
        <v>40</v>
      </c>
    </row>
    <row r="19" spans="1:9">
      <c r="A19" s="4" t="s">
        <v>116</v>
      </c>
      <c r="B19" s="14">
        <v>3</v>
      </c>
      <c r="C19" s="14">
        <v>75</v>
      </c>
      <c r="D19" s="14">
        <v>38</v>
      </c>
      <c r="F19" s="4" t="s">
        <v>116</v>
      </c>
      <c r="G19" s="14">
        <v>4</v>
      </c>
      <c r="H19" s="14">
        <v>74</v>
      </c>
      <c r="I19" s="14">
        <v>36</v>
      </c>
    </row>
  </sheetData>
  <dataConsolidate topLabels="1">
    <dataRefs count="4">
      <dataRef ref="A2:D9" sheet="분석작업-2"/>
      <dataRef ref="F2:I9" sheet="분석작업-2"/>
      <dataRef ref="A12:D19" sheet="분석작업-2"/>
      <dataRef ref="F12:I19" sheet="분석작업-2"/>
    </dataRefs>
  </dataConsolidate>
  <mergeCells count="5">
    <mergeCell ref="A1:D1"/>
    <mergeCell ref="F1:I1"/>
    <mergeCell ref="K1:M1"/>
    <mergeCell ref="A11:D11"/>
    <mergeCell ref="F11:I11"/>
  </mergeCells>
  <phoneticPr fontId="3" type="noConversion"/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7"/>
  <sheetViews>
    <sheetView windowProtection="1" workbookViewId="0"/>
  </sheetViews>
  <sheetFormatPr defaultRowHeight="16.5"/>
  <cols>
    <col min="1" max="5" width="9" style="3"/>
    <col min="6" max="6" width="12.25" style="3" customWidth="1"/>
    <col min="7" max="16384" width="9" style="3"/>
  </cols>
  <sheetData>
    <row r="1" spans="1:5" s="15" customFormat="1">
      <c r="A1" s="3"/>
      <c r="B1" s="48" t="s">
        <v>119</v>
      </c>
      <c r="C1" s="48"/>
      <c r="D1" s="48"/>
      <c r="E1" s="48"/>
    </row>
    <row r="2" spans="1:5">
      <c r="A2" s="4" t="s">
        <v>120</v>
      </c>
      <c r="B2" s="4" t="s">
        <v>121</v>
      </c>
      <c r="C2" s="4" t="s">
        <v>122</v>
      </c>
      <c r="D2" s="4" t="s">
        <v>123</v>
      </c>
      <c r="E2" s="7" t="s">
        <v>124</v>
      </c>
    </row>
    <row r="3" spans="1:5">
      <c r="A3" s="4" t="s">
        <v>125</v>
      </c>
      <c r="B3" s="4" t="s">
        <v>126</v>
      </c>
      <c r="C3" s="4">
        <v>82</v>
      </c>
      <c r="D3" s="4">
        <v>70</v>
      </c>
      <c r="E3" s="4">
        <f>AVERAGE(C3:D3)</f>
        <v>76</v>
      </c>
    </row>
    <row r="4" spans="1:5">
      <c r="A4" s="4" t="s">
        <v>127</v>
      </c>
      <c r="B4" s="4" t="s">
        <v>128</v>
      </c>
      <c r="C4" s="4">
        <v>98</v>
      </c>
      <c r="D4" s="4">
        <v>80</v>
      </c>
      <c r="E4" s="4">
        <f>AVERAGE(C4:D4)</f>
        <v>89</v>
      </c>
    </row>
    <row r="5" spans="1:5">
      <c r="A5" s="4" t="s">
        <v>129</v>
      </c>
      <c r="B5" s="4" t="s">
        <v>130</v>
      </c>
      <c r="C5" s="4">
        <v>68</v>
      </c>
      <c r="D5" s="4">
        <v>74</v>
      </c>
      <c r="E5" s="4">
        <f>AVERAGE(C5:D5)</f>
        <v>71</v>
      </c>
    </row>
    <row r="6" spans="1:5">
      <c r="A6" s="4" t="s">
        <v>131</v>
      </c>
      <c r="B6" s="4" t="s">
        <v>132</v>
      </c>
      <c r="C6" s="4">
        <v>58</v>
      </c>
      <c r="D6" s="4">
        <v>64</v>
      </c>
      <c r="E6" s="4">
        <f>AVERAGE(C6:D6)</f>
        <v>61</v>
      </c>
    </row>
    <row r="7" spans="1:5">
      <c r="A7" s="4" t="s">
        <v>133</v>
      </c>
      <c r="B7" s="4" t="s">
        <v>130</v>
      </c>
      <c r="C7" s="4">
        <v>78</v>
      </c>
      <c r="D7" s="4">
        <v>82</v>
      </c>
      <c r="E7" s="4">
        <f>AVERAGE(C7:D7)</f>
        <v>80</v>
      </c>
    </row>
  </sheetData>
  <mergeCells count="1">
    <mergeCell ref="B1:E1"/>
  </mergeCells>
  <phoneticPr fontId="3" type="noConversion"/>
  <pageMargins left="0.75" right="0.75" top="1" bottom="1" header="0.5" footer="0.5"/>
  <pageSetup paperSize="9" orientation="portrait" verticalDpi="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7"/>
  <sheetViews>
    <sheetView windowProtection="1" workbookViewId="0">
      <selection activeCell="B13" sqref="B13"/>
    </sheetView>
  </sheetViews>
  <sheetFormatPr defaultRowHeight="16.5"/>
  <cols>
    <col min="1" max="1" width="9" style="3"/>
    <col min="2" max="2" width="20" style="3" customWidth="1"/>
    <col min="3" max="6" width="9" style="3"/>
    <col min="7" max="7" width="14.25" style="3" customWidth="1"/>
    <col min="8" max="16384" width="9" style="3"/>
  </cols>
  <sheetData>
    <row r="1" spans="1:8" ht="19.5">
      <c r="A1" s="16" t="s">
        <v>134</v>
      </c>
    </row>
    <row r="3" spans="1:8">
      <c r="A3" s="17" t="s">
        <v>135</v>
      </c>
      <c r="B3" s="17" t="s">
        <v>136</v>
      </c>
      <c r="C3" s="17" t="s">
        <v>137</v>
      </c>
      <c r="D3" s="17" t="s">
        <v>138</v>
      </c>
      <c r="G3" s="3" t="s">
        <v>136</v>
      </c>
      <c r="H3" s="3" t="s">
        <v>138</v>
      </c>
    </row>
    <row r="4" spans="1:8">
      <c r="A4" s="3" t="s">
        <v>139</v>
      </c>
      <c r="B4" s="3" t="s">
        <v>140</v>
      </c>
      <c r="C4" s="3" t="s">
        <v>141</v>
      </c>
      <c r="D4" s="3" t="s">
        <v>142</v>
      </c>
      <c r="G4" s="3" t="s">
        <v>143</v>
      </c>
      <c r="H4" s="3">
        <v>5000</v>
      </c>
    </row>
    <row r="5" spans="1:8">
      <c r="A5" s="3" t="s">
        <v>144</v>
      </c>
      <c r="B5" s="3" t="s">
        <v>140</v>
      </c>
      <c r="C5" s="3" t="s">
        <v>145</v>
      </c>
      <c r="D5" s="3" t="s">
        <v>142</v>
      </c>
      <c r="G5" s="3" t="s">
        <v>146</v>
      </c>
      <c r="H5" s="3">
        <v>6000</v>
      </c>
    </row>
    <row r="6" spans="1:8">
      <c r="A6" s="3" t="s">
        <v>147</v>
      </c>
      <c r="B6" s="3" t="s">
        <v>148</v>
      </c>
      <c r="C6" s="3" t="s">
        <v>145</v>
      </c>
      <c r="D6" s="3" t="s">
        <v>149</v>
      </c>
    </row>
    <row r="7" spans="1:8">
      <c r="A7" s="3" t="s">
        <v>150</v>
      </c>
      <c r="B7" s="3" t="s">
        <v>148</v>
      </c>
      <c r="C7" s="3" t="s">
        <v>141</v>
      </c>
      <c r="D7" s="3" t="s">
        <v>149</v>
      </c>
    </row>
  </sheetData>
  <phoneticPr fontId="3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4</xdr:col>
                <xdr:colOff>19050</xdr:colOff>
                <xdr:row>0</xdr:row>
                <xdr:rowOff>76200</xdr:rowOff>
              </from>
              <to>
                <xdr:col>5</xdr:col>
                <xdr:colOff>447675</xdr:colOff>
                <xdr:row>1</xdr:row>
                <xdr:rowOff>123825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  <vt:lpstr>기준</vt:lpstr>
      <vt:lpstr>내역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dcterms:created xsi:type="dcterms:W3CDTF">2017-08-30T12:14:25Z</dcterms:created>
  <dcterms:modified xsi:type="dcterms:W3CDTF">2018-08-29T07:09:35Z</dcterms:modified>
</cp:coreProperties>
</file>