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workbookProtection lockWindows="1"/>
  <bookViews>
    <workbookView xWindow="480" yWindow="135" windowWidth="26955" windowHeight="13005"/>
  </bookViews>
  <sheets>
    <sheet name="기본작업-1" sheetId="1" r:id="rId1"/>
    <sheet name="기본작업-2" sheetId="2" r:id="rId2"/>
    <sheet name="기본작업-3" sheetId="9" r:id="rId3"/>
    <sheet name="계산작업" sheetId="3" r:id="rId4"/>
    <sheet name="4월종합쇼핑몰" sheetId="10" r:id="rId5"/>
    <sheet name="분석작업-1" sheetId="4" r:id="rId6"/>
    <sheet name="분석작업-2" sheetId="5" r:id="rId7"/>
    <sheet name="기타작업-1" sheetId="6" r:id="rId8"/>
    <sheet name="기타작업-2" sheetId="7" r:id="rId9"/>
  </sheets>
  <functionGroups builtInGroupCount="17"/>
  <definedNames>
    <definedName name="_xlnm._FilterDatabase" localSheetId="1" hidden="1">'기본작업-2'!$A$3:$F$14</definedName>
    <definedName name="_xlnm.Criteria" localSheetId="1">'기본작업-2'!$A$16:$D$19</definedName>
    <definedName name="_xlnm.Extract" localSheetId="1">'기본작업-2'!$A$22:$F$22</definedName>
    <definedName name="MS_Access_Database_Query" localSheetId="1">'기본작업-2'!#REF!</definedName>
    <definedName name="MS_Access_Database_Query_1" localSheetId="1">'기본작업-2'!#REF!</definedName>
    <definedName name="계좌목록">'기타작업-2'!$F$4:$F$7</definedName>
  </definedNames>
  <calcPr calcId="145621"/>
  <pivotCaches>
    <pivotCache cacheId="34" r:id="rId10"/>
  </pivotCaches>
</workbook>
</file>

<file path=xl/calcChain.xml><?xml version="1.0" encoding="utf-8"?>
<calcChain xmlns="http://schemas.openxmlformats.org/spreadsheetml/2006/main">
  <c r="I20" i="9" l="1"/>
  <c r="H20" i="9"/>
  <c r="I19" i="9"/>
  <c r="H19" i="9"/>
  <c r="I18" i="9"/>
  <c r="H18" i="9"/>
  <c r="I17" i="9"/>
  <c r="H17" i="9"/>
  <c r="I16" i="9"/>
  <c r="H16" i="9"/>
  <c r="I15" i="9"/>
  <c r="H15" i="9"/>
  <c r="I14" i="9"/>
  <c r="H14" i="9"/>
  <c r="I13" i="9"/>
  <c r="H13" i="9"/>
  <c r="I12" i="9"/>
  <c r="H12" i="9"/>
  <c r="I11" i="9"/>
  <c r="H11" i="9"/>
  <c r="I10" i="9"/>
  <c r="H10" i="9"/>
  <c r="I9" i="9"/>
  <c r="H9" i="9"/>
  <c r="I8" i="9"/>
  <c r="H8" i="9"/>
  <c r="I7" i="9"/>
  <c r="H7" i="9"/>
  <c r="I6" i="9"/>
  <c r="H6" i="9"/>
  <c r="I5" i="9"/>
  <c r="H5" i="9"/>
  <c r="I4" i="9"/>
  <c r="H4" i="9"/>
  <c r="E8" i="6" l="1"/>
  <c r="E7" i="6"/>
  <c r="E6" i="6"/>
  <c r="E5" i="6"/>
  <c r="E4" i="6"/>
  <c r="F3" i="5"/>
  <c r="G3" i="5" s="1"/>
  <c r="H3" i="5" s="1"/>
  <c r="J11" i="3"/>
  <c r="J10" i="3"/>
  <c r="J9" i="3"/>
  <c r="J8" i="3"/>
  <c r="J7" i="3"/>
  <c r="J6" i="3"/>
  <c r="D6" i="3" a="1"/>
  <c r="D6" i="3" s="1"/>
  <c r="C6" i="3" a="1"/>
  <c r="C6" i="3" s="1"/>
  <c r="B6" i="3" a="1"/>
  <c r="B6" i="3" s="1"/>
  <c r="J5" i="3"/>
  <c r="D5" i="3" a="1"/>
  <c r="D5" i="3" s="1"/>
  <c r="C5" i="3" a="1"/>
  <c r="C5" i="3" s="1"/>
  <c r="B5" i="3" a="1"/>
  <c r="B5" i="3" s="1"/>
  <c r="J4" i="3"/>
  <c r="D4" i="3" a="1"/>
  <c r="D4" i="3" s="1"/>
  <c r="C4" i="3" a="1"/>
  <c r="C4" i="3" s="1"/>
  <c r="B4" i="3" a="1"/>
  <c r="B4" i="3" s="1"/>
  <c r="J3" i="3"/>
  <c r="H24" i="3" s="1" a="1"/>
  <c r="H24" i="3" s="1"/>
  <c r="D3" i="3" a="1"/>
  <c r="D3" i="3" s="1"/>
  <c r="C3" i="3" a="1"/>
  <c r="C3" i="3" s="1"/>
  <c r="B3" i="3" a="1"/>
  <c r="B3" i="3" s="1"/>
  <c r="K8" i="3"/>
  <c r="K6" i="3"/>
  <c r="K5" i="3"/>
  <c r="K9" i="3"/>
  <c r="K3" i="3"/>
  <c r="K10" i="3"/>
  <c r="K4" i="3"/>
  <c r="K7" i="3"/>
  <c r="K11" i="3"/>
  <c r="H25" i="3" l="1" a="1"/>
  <c r="H25" i="3" s="1"/>
  <c r="H27" i="3" a="1"/>
  <c r="H27" i="3" s="1"/>
  <c r="H26" i="3" a="1"/>
  <c r="H26" i="3" s="1"/>
  <c r="H28" i="3" a="1"/>
  <c r="H28" i="3" s="1"/>
</calcChain>
</file>

<file path=xl/sharedStrings.xml><?xml version="1.0" encoding="utf-8"?>
<sst xmlns="http://schemas.openxmlformats.org/spreadsheetml/2006/main" count="482" uniqueCount="262">
  <si>
    <t>학과별 성적</t>
    <phoneticPr fontId="5" type="noConversion"/>
  </si>
  <si>
    <t>게임매장 매출현황</t>
    <phoneticPr fontId="5" type="noConversion"/>
  </si>
  <si>
    <t>게임명</t>
  </si>
  <si>
    <t>대상</t>
  </si>
  <si>
    <t>판매일자</t>
  </si>
  <si>
    <t>수량</t>
  </si>
  <si>
    <t>매출액</t>
  </si>
  <si>
    <t>이익금</t>
  </si>
  <si>
    <t>단풍천국</t>
  </si>
  <si>
    <t>18세</t>
  </si>
  <si>
    <t>당구</t>
  </si>
  <si>
    <t>반지의 왕자</t>
  </si>
  <si>
    <t>16세</t>
  </si>
  <si>
    <t>스타나라</t>
  </si>
  <si>
    <t>17세</t>
  </si>
  <si>
    <t>수량</t>
    <phoneticPr fontId="4" type="noConversion"/>
  </si>
  <si>
    <t>매출액</t>
    <phoneticPr fontId="4" type="noConversion"/>
  </si>
  <si>
    <t>이익금</t>
    <phoneticPr fontId="4" type="noConversion"/>
  </si>
  <si>
    <t>대상</t>
    <phoneticPr fontId="4" type="noConversion"/>
  </si>
  <si>
    <t>&gt;=20</t>
    <phoneticPr fontId="4" type="noConversion"/>
  </si>
  <si>
    <t>&gt;=100000</t>
    <phoneticPr fontId="4" type="noConversion"/>
  </si>
  <si>
    <t>&gt;=80000</t>
    <phoneticPr fontId="4" type="noConversion"/>
  </si>
  <si>
    <t>&lt;=10</t>
    <phoneticPr fontId="4" type="noConversion"/>
  </si>
  <si>
    <t>16세</t>
    <phoneticPr fontId="4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</si>
  <si>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</si>
  <si>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[표3]</t>
    <phoneticPr fontId="5" type="noConversion"/>
  </si>
  <si>
    <t>연말 상여금 지급 현황</t>
    <phoneticPr fontId="5" type="noConversion"/>
  </si>
  <si>
    <t>단위 : 천원</t>
    <phoneticPr fontId="5" type="noConversion"/>
  </si>
  <si>
    <t>직무</t>
    <phoneticPr fontId="5" type="noConversion"/>
  </si>
  <si>
    <t>6급</t>
    <phoneticPr fontId="5" type="noConversion"/>
  </si>
  <si>
    <t>7급</t>
    <phoneticPr fontId="5" type="noConversion"/>
  </si>
  <si>
    <r>
      <t>5</t>
    </r>
    <r>
      <rPr>
        <sz val="11"/>
        <color theme="1"/>
        <rFont val="맑은 고딕"/>
        <family val="3"/>
        <charset val="129"/>
        <scheme val="major"/>
      </rPr>
      <t>0번째 백분위수</t>
    </r>
    <phoneticPr fontId="5" type="noConversion"/>
  </si>
  <si>
    <t>사원명</t>
    <phoneticPr fontId="5" type="noConversion"/>
  </si>
  <si>
    <t>직위</t>
    <phoneticPr fontId="5" type="noConversion"/>
  </si>
  <si>
    <t>기본급</t>
    <phoneticPr fontId="5" type="noConversion"/>
  </si>
  <si>
    <t>상여비율</t>
    <phoneticPr fontId="5" type="noConversion"/>
  </si>
  <si>
    <t>지급액</t>
    <phoneticPr fontId="5" type="noConversion"/>
  </si>
  <si>
    <t>간호</t>
    <phoneticPr fontId="5" type="noConversion"/>
  </si>
  <si>
    <t>신소진</t>
    <phoneticPr fontId="5" type="noConversion"/>
  </si>
  <si>
    <t>사원</t>
    <phoneticPr fontId="5" type="noConversion"/>
  </si>
  <si>
    <t>건축</t>
    <phoneticPr fontId="5" type="noConversion"/>
  </si>
  <si>
    <t>이은철</t>
    <phoneticPr fontId="5" type="noConversion"/>
  </si>
  <si>
    <t>차장</t>
    <phoneticPr fontId="5" type="noConversion"/>
  </si>
  <si>
    <t>행정</t>
    <phoneticPr fontId="5" type="noConversion"/>
  </si>
  <si>
    <t>박희천</t>
    <phoneticPr fontId="5" type="noConversion"/>
  </si>
  <si>
    <t>과장</t>
    <phoneticPr fontId="5" type="noConversion"/>
  </si>
  <si>
    <t>환경</t>
    <phoneticPr fontId="5" type="noConversion"/>
  </si>
  <si>
    <t>노수용</t>
    <phoneticPr fontId="5" type="noConversion"/>
  </si>
  <si>
    <t>조명섭</t>
    <phoneticPr fontId="5" type="noConversion"/>
  </si>
  <si>
    <t>대리</t>
    <phoneticPr fontId="5" type="noConversion"/>
  </si>
  <si>
    <t>[표2]</t>
    <phoneticPr fontId="5" type="noConversion"/>
  </si>
  <si>
    <t>인사현황</t>
    <phoneticPr fontId="5" type="noConversion"/>
  </si>
  <si>
    <t>이기수</t>
    <phoneticPr fontId="5" type="noConversion"/>
  </si>
  <si>
    <t>부장</t>
    <phoneticPr fontId="5" type="noConversion"/>
  </si>
  <si>
    <t>직급</t>
    <phoneticPr fontId="5" type="noConversion"/>
  </si>
  <si>
    <t>성   명</t>
    <phoneticPr fontId="5" type="noConversion"/>
  </si>
  <si>
    <t>소        속</t>
    <phoneticPr fontId="5" type="noConversion"/>
  </si>
  <si>
    <t>성적</t>
    <phoneticPr fontId="5" type="noConversion"/>
  </si>
  <si>
    <t>최신호</t>
    <phoneticPr fontId="5" type="noConversion"/>
  </si>
  <si>
    <t>공재룡</t>
    <phoneticPr fontId="5" type="noConversion"/>
  </si>
  <si>
    <t>위생과</t>
    <phoneticPr fontId="5" type="noConversion"/>
  </si>
  <si>
    <t>박건창</t>
    <phoneticPr fontId="5" type="noConversion"/>
  </si>
  <si>
    <t>곽배동</t>
    <phoneticPr fontId="5" type="noConversion"/>
  </si>
  <si>
    <t>교통행정과</t>
  </si>
  <si>
    <t>김재규</t>
    <phoneticPr fontId="5" type="noConversion"/>
  </si>
  <si>
    <t>김유신</t>
    <phoneticPr fontId="5" type="noConversion"/>
  </si>
  <si>
    <t>보건사업과</t>
  </si>
  <si>
    <t>총상여금</t>
    <phoneticPr fontId="5" type="noConversion"/>
  </si>
  <si>
    <t>김이길</t>
    <phoneticPr fontId="5" type="noConversion"/>
  </si>
  <si>
    <t>7급</t>
  </si>
  <si>
    <t>박경숙</t>
    <phoneticPr fontId="5" type="noConversion"/>
  </si>
  <si>
    <t>[표4]</t>
    <phoneticPr fontId="5" type="noConversion"/>
  </si>
  <si>
    <t>상여금 지급율표</t>
    <phoneticPr fontId="5" type="noConversion"/>
  </si>
  <si>
    <t>박난초</t>
    <phoneticPr fontId="5" type="noConversion"/>
  </si>
  <si>
    <t>상여율</t>
    <phoneticPr fontId="5" type="noConversion"/>
  </si>
  <si>
    <t>박영미</t>
    <phoneticPr fontId="5" type="noConversion"/>
  </si>
  <si>
    <t>사회복지과</t>
  </si>
  <si>
    <t>배승우</t>
    <phoneticPr fontId="5" type="noConversion"/>
  </si>
  <si>
    <t>총무과</t>
    <phoneticPr fontId="5" type="noConversion"/>
  </si>
  <si>
    <t>백수인</t>
    <phoneticPr fontId="5" type="noConversion"/>
  </si>
  <si>
    <t>여종택</t>
    <phoneticPr fontId="5" type="noConversion"/>
  </si>
  <si>
    <t>회계과</t>
  </si>
  <si>
    <t>오장규</t>
    <phoneticPr fontId="5" type="noConversion"/>
  </si>
  <si>
    <t>보건사업과</t>
    <phoneticPr fontId="5" type="noConversion"/>
  </si>
  <si>
    <t>우병순</t>
    <phoneticPr fontId="5" type="noConversion"/>
  </si>
  <si>
    <t>농림과</t>
  </si>
  <si>
    <t>이덕화</t>
    <phoneticPr fontId="5" type="noConversion"/>
  </si>
  <si>
    <t>징수과</t>
  </si>
  <si>
    <r>
      <t>[표5</t>
    </r>
    <r>
      <rPr>
        <sz val="11"/>
        <color theme="1"/>
        <rFont val="맑은 고딕"/>
        <family val="3"/>
        <charset val="129"/>
        <scheme val="major"/>
      </rPr>
      <t>] 직위별 상여금 차지율</t>
    </r>
    <phoneticPr fontId="5" type="noConversion"/>
  </si>
  <si>
    <t>이성만</t>
    <phoneticPr fontId="5" type="noConversion"/>
  </si>
  <si>
    <t>상여금 차지율</t>
    <phoneticPr fontId="5" type="noConversion"/>
  </si>
  <si>
    <t>이순선</t>
    <phoneticPr fontId="5" type="noConversion"/>
  </si>
  <si>
    <t>민방위과</t>
    <phoneticPr fontId="5" type="noConversion"/>
  </si>
  <si>
    <t>장병철</t>
    <phoneticPr fontId="5" type="noConversion"/>
  </si>
  <si>
    <t>장성태</t>
    <phoneticPr fontId="5" type="noConversion"/>
  </si>
  <si>
    <t>장재근</t>
    <phoneticPr fontId="5" type="noConversion"/>
  </si>
  <si>
    <t>최은경</t>
    <phoneticPr fontId="5" type="noConversion"/>
  </si>
  <si>
    <t>추병선</t>
    <phoneticPr fontId="5" type="noConversion"/>
  </si>
  <si>
    <t>매출이익 분석</t>
  </si>
  <si>
    <t>상품단가</t>
  </si>
  <si>
    <t>판매수량</t>
  </si>
  <si>
    <t>인건비</t>
  </si>
  <si>
    <t>광고비</t>
  </si>
  <si>
    <t>관리비</t>
  </si>
  <si>
    <t>매출이익</t>
  </si>
  <si>
    <t>영업이익률</t>
  </si>
  <si>
    <t>부산지점 판매 현황</t>
    <phoneticPr fontId="13" type="noConversion"/>
  </si>
  <si>
    <t>날짜</t>
    <phoneticPr fontId="13" type="noConversion"/>
  </si>
  <si>
    <t>제품</t>
    <phoneticPr fontId="13" type="noConversion"/>
  </si>
  <si>
    <t>판매량</t>
    <phoneticPr fontId="13" type="noConversion"/>
  </si>
  <si>
    <t>판매단가</t>
    <phoneticPr fontId="5" type="noConversion"/>
  </si>
  <si>
    <t>판매금액</t>
    <phoneticPr fontId="5" type="noConversion"/>
  </si>
  <si>
    <t>컴퓨터</t>
    <phoneticPr fontId="13" type="noConversion"/>
  </si>
  <si>
    <t>냉장고</t>
    <phoneticPr fontId="13" type="noConversion"/>
  </si>
  <si>
    <t>카메라</t>
    <phoneticPr fontId="13" type="noConversion"/>
  </si>
  <si>
    <t>모니터</t>
    <phoneticPr fontId="13" type="noConversion"/>
  </si>
  <si>
    <t>불우이웃성금 송금현황</t>
    <phoneticPr fontId="5" type="noConversion"/>
  </si>
  <si>
    <t>송금자</t>
    <phoneticPr fontId="5" type="noConversion"/>
  </si>
  <si>
    <t>계좌</t>
    <phoneticPr fontId="5" type="noConversion"/>
  </si>
  <si>
    <t>금액</t>
    <phoneticPr fontId="5" type="noConversion"/>
  </si>
  <si>
    <t>김천사</t>
  </si>
  <si>
    <t>111-1234-567</t>
  </si>
  <si>
    <t>최하늘</t>
  </si>
  <si>
    <t>222-4567-890</t>
  </si>
  <si>
    <t>최도움</t>
  </si>
  <si>
    <t>333-9876-432</t>
  </si>
  <si>
    <t>박사랑</t>
  </si>
  <si>
    <t>444-1854-325</t>
  </si>
  <si>
    <t>김우상</t>
    <phoneticPr fontId="5" type="noConversion"/>
  </si>
  <si>
    <t>1254-2542-251</t>
    <phoneticPr fontId="5" type="noConversion"/>
  </si>
  <si>
    <t>김원상</t>
    <phoneticPr fontId="5" type="noConversion"/>
  </si>
  <si>
    <t>2452-2451-253</t>
    <phoneticPr fontId="5" type="noConversion"/>
  </si>
  <si>
    <t>학번</t>
  </si>
  <si>
    <t>이름</t>
  </si>
  <si>
    <t>학과코드</t>
  </si>
  <si>
    <t>TOEIC</t>
  </si>
  <si>
    <t>컴퓨터</t>
  </si>
  <si>
    <t>교양</t>
  </si>
  <si>
    <t>평가</t>
  </si>
  <si>
    <t>A03-030</t>
  </si>
  <si>
    <t>조숙희</t>
  </si>
  <si>
    <t>E1</t>
  </si>
  <si>
    <t>D</t>
  </si>
  <si>
    <t>A03-010</t>
  </si>
  <si>
    <t>민들레</t>
  </si>
  <si>
    <t>A03-022</t>
  </si>
  <si>
    <t>이창명</t>
  </si>
  <si>
    <t>E2</t>
  </si>
  <si>
    <t>A03-021</t>
  </si>
  <si>
    <t>배동진</t>
  </si>
  <si>
    <t>A03-019</t>
  </si>
  <si>
    <t>곽영일</t>
  </si>
  <si>
    <t>A03-012</t>
  </si>
  <si>
    <t>이욱현</t>
  </si>
  <si>
    <t>B</t>
  </si>
  <si>
    <t>A03-005</t>
  </si>
  <si>
    <t>권은영</t>
  </si>
  <si>
    <t>A03-003</t>
  </si>
  <si>
    <t>박성미</t>
  </si>
  <si>
    <t>개설일</t>
  </si>
  <si>
    <t>도메인</t>
  </si>
  <si>
    <t>쇼핑몰</t>
  </si>
  <si>
    <t>DB운영비</t>
  </si>
  <si>
    <t>배너비</t>
  </si>
  <si>
    <t>www.Sam.co.kr</t>
  </si>
  <si>
    <t>종합쇼핑몰</t>
  </si>
  <si>
    <t>www.So.co.kr</t>
  </si>
  <si>
    <t>음악쇼핑몰</t>
  </si>
  <si>
    <t>www.Jo.ne.kr</t>
  </si>
  <si>
    <t>www.Namgung.or.kr</t>
  </si>
  <si>
    <t>www.Son.com</t>
  </si>
  <si>
    <t>www.Byun.co.kr</t>
  </si>
  <si>
    <t>www.Maeng.com</t>
  </si>
  <si>
    <t>www.Kyung.com</t>
  </si>
  <si>
    <t>여행정보몰</t>
  </si>
  <si>
    <t>www.So.ne.kr</t>
  </si>
  <si>
    <t>www.Myung.com</t>
  </si>
  <si>
    <t>www.Jang.or.kr</t>
  </si>
  <si>
    <t>가전쇼핑몰</t>
  </si>
  <si>
    <t>www.Kae.or.kr</t>
  </si>
  <si>
    <t>www.Chu.ne.kr</t>
  </si>
  <si>
    <t>예술쇼핑몰</t>
  </si>
  <si>
    <t>www.Bok.or.kr</t>
  </si>
  <si>
    <t>www.Jun.co.kr</t>
  </si>
  <si>
    <t>www.Myung.or.kr</t>
  </si>
  <si>
    <t>www.Mok.com</t>
  </si>
  <si>
    <t>www.Kil.com</t>
  </si>
  <si>
    <t>www.Nae.or.kr</t>
  </si>
  <si>
    <t>www.Maeng.ne.kr</t>
  </si>
  <si>
    <t>www.Won.co.kr</t>
  </si>
  <si>
    <t>www.Bin.ne.kr</t>
  </si>
  <si>
    <t>www.Park.ne.kr</t>
  </si>
  <si>
    <t>www.Dan.or.kr</t>
  </si>
  <si>
    <t>www.Chun.or.kr</t>
  </si>
  <si>
    <t>www.Hong.com</t>
  </si>
  <si>
    <t>www.Jun.ne.kr</t>
  </si>
  <si>
    <t>www.Dan.ne.kr</t>
  </si>
  <si>
    <t>www.Muk.ne.kr</t>
  </si>
  <si>
    <t>www.Su.co.kr</t>
  </si>
  <si>
    <t>www.Mok.ne.kr</t>
  </si>
  <si>
    <t>www.Dong.or.kr</t>
  </si>
  <si>
    <t>www.Jun.com</t>
  </si>
  <si>
    <t>www.Su.com</t>
  </si>
  <si>
    <t>www.Hang.com</t>
  </si>
  <si>
    <t>www.Yong.com</t>
  </si>
  <si>
    <t>www.Won.ne.kr</t>
  </si>
  <si>
    <t>www.Bong.ne.kr</t>
  </si>
  <si>
    <t>www.Kwun.or.kr</t>
  </si>
  <si>
    <t>www.Chu.or.kr</t>
  </si>
  <si>
    <t>www.Kwun.ne.kr</t>
  </si>
  <si>
    <t>www.Chae.ne.kr</t>
  </si>
  <si>
    <t>www.Do.or.kr</t>
  </si>
  <si>
    <t>www.Park.co.kr</t>
  </si>
  <si>
    <t>www.Ku.ne.kr</t>
  </si>
  <si>
    <t>www.Hwang.co.kr</t>
  </si>
  <si>
    <t>www.Jin.or.kr</t>
  </si>
  <si>
    <t>www.Han.or.kr</t>
  </si>
  <si>
    <t>www.Man.co.kr</t>
  </si>
  <si>
    <t>www.Woon.ne.kr</t>
  </si>
  <si>
    <t>www.Jo.co.kr</t>
  </si>
  <si>
    <t>www.Kyun.or.kr</t>
  </si>
  <si>
    <t>www.Jang.com</t>
  </si>
  <si>
    <t>www.Du.or.kr</t>
  </si>
  <si>
    <t>www.Ryu.com</t>
  </si>
  <si>
    <t>www.Song.co.kr</t>
  </si>
  <si>
    <t>www.Maen.or.kr</t>
  </si>
  <si>
    <t>www.Moon.or.kr</t>
  </si>
  <si>
    <t>총합계</t>
  </si>
  <si>
    <t>합계 : DB운영비</t>
  </si>
  <si>
    <t>2016-04-01 - 2016-04-30</t>
  </si>
  <si>
    <t>2016-05-01 - 2016-05-30</t>
  </si>
  <si>
    <t>2016-05-31 - 2016-06-29</t>
  </si>
  <si>
    <t>2016-06-30 - 2016-07-29</t>
  </si>
  <si>
    <t>중간고사 성적표</t>
    <phoneticPr fontId="4" type="noConversion"/>
  </si>
  <si>
    <t>성명</t>
    <phoneticPr fontId="4" type="noConversion"/>
  </si>
  <si>
    <t>성별</t>
    <phoneticPr fontId="4" type="noConversion"/>
  </si>
  <si>
    <t>국어</t>
    <phoneticPr fontId="4" type="noConversion"/>
  </si>
  <si>
    <t>영어</t>
    <phoneticPr fontId="4" type="noConversion"/>
  </si>
  <si>
    <t>수학</t>
    <phoneticPr fontId="4" type="noConversion"/>
  </si>
  <si>
    <t>사회</t>
    <phoneticPr fontId="4" type="noConversion"/>
  </si>
  <si>
    <t>과학</t>
    <phoneticPr fontId="4" type="noConversion"/>
  </si>
  <si>
    <t>총점</t>
    <phoneticPr fontId="4" type="noConversion"/>
  </si>
  <si>
    <t>평균</t>
    <phoneticPr fontId="4" type="noConversion"/>
  </si>
  <si>
    <t>이해자</t>
    <phoneticPr fontId="4" type="noConversion"/>
  </si>
  <si>
    <t>여</t>
    <phoneticPr fontId="4" type="noConversion"/>
  </si>
  <si>
    <t>김용이</t>
    <phoneticPr fontId="4" type="noConversion"/>
  </si>
  <si>
    <t>남</t>
    <phoneticPr fontId="4" type="noConversion"/>
  </si>
  <si>
    <t>한둘이</t>
    <phoneticPr fontId="4" type="noConversion"/>
  </si>
  <si>
    <t>오진아</t>
    <phoneticPr fontId="4" type="noConversion"/>
  </si>
  <si>
    <t>강한율</t>
    <phoneticPr fontId="4" type="noConversion"/>
  </si>
  <si>
    <t>구민호</t>
    <phoneticPr fontId="4" type="noConversion"/>
  </si>
  <si>
    <t>임영숙</t>
    <phoneticPr fontId="4" type="noConversion"/>
  </si>
  <si>
    <t>김찬국</t>
    <phoneticPr fontId="4" type="noConversion"/>
  </si>
  <si>
    <t>최고다</t>
    <phoneticPr fontId="4" type="noConversion"/>
  </si>
  <si>
    <t>신호등</t>
    <phoneticPr fontId="4" type="noConversion"/>
  </si>
  <si>
    <t>고양신</t>
    <phoneticPr fontId="4" type="noConversion"/>
  </si>
  <si>
    <t>우동욱</t>
    <phoneticPr fontId="4" type="noConversion"/>
  </si>
  <si>
    <t>황운기</t>
    <phoneticPr fontId="4" type="noConversion"/>
  </si>
  <si>
    <t>오지영</t>
    <phoneticPr fontId="4" type="noConversion"/>
  </si>
  <si>
    <t>이태원</t>
    <phoneticPr fontId="4" type="noConversion"/>
  </si>
  <si>
    <t>조진영</t>
    <phoneticPr fontId="4" type="noConversion"/>
  </si>
  <si>
    <t>김만도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</si>
</sst>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yyyy&quot;-&quot;m&quot;-&quot;d;@"/>
    <numFmt numFmtId="177" formatCode="&quot;₩&quot;#,##0"/>
    <numFmt numFmtId="178" formatCode="yy&quot;-&quot;m&quot;-&quot;d"/>
    <numFmt numFmtId="179" formatCode="dd\-mmm\-yy"/>
    <numFmt numFmtId="180" formatCode="0.0_);[Red]\(0.0\)"/>
  </numFmts>
  <fonts count="21"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4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0"/>
      <name val="굴림"/>
      <family val="3"/>
      <charset val="129"/>
    </font>
    <font>
      <sz val="12"/>
      <name val="맑은 고딕"/>
      <family val="3"/>
      <charset val="129"/>
      <scheme val="major"/>
    </font>
    <font>
      <sz val="8"/>
      <name val="굴림"/>
      <family val="3"/>
      <charset val="129"/>
    </font>
    <font>
      <sz val="13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3"/>
      <charset val="129"/>
      <scheme val="maj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/>
        <bgColor theme="8"/>
      </patternFill>
    </fill>
  </fills>
  <borders count="3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theme="4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/>
      <bottom/>
      <diagonal/>
    </border>
  </borders>
  <cellStyleXfs count="10">
    <xf numFmtId="0" fontId="0" fillId="0" borderId="0">
      <alignment vertical="center"/>
    </xf>
    <xf numFmtId="0" fontId="2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2" fontId="2" fillId="0" borderId="0" applyFont="0" applyFill="0" applyBorder="0" applyAlignment="0" applyProtection="0"/>
    <xf numFmtId="0" fontId="2" fillId="0" borderId="0"/>
    <xf numFmtId="0" fontId="11" fillId="0" borderId="0"/>
    <xf numFmtId="0" fontId="17" fillId="0" borderId="0"/>
    <xf numFmtId="41" fontId="19" fillId="0" borderId="0" applyFon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3" fillId="0" borderId="0" xfId="1" applyFont="1" applyAlignment="1">
      <alignment vertical="top"/>
    </xf>
    <xf numFmtId="0" fontId="3" fillId="0" borderId="0" xfId="1" applyFont="1"/>
    <xf numFmtId="0" fontId="7" fillId="0" borderId="1" xfId="1" applyFont="1" applyBorder="1" applyAlignment="1">
      <alignment horizontal="left"/>
    </xf>
    <xf numFmtId="0" fontId="7" fillId="0" borderId="1" xfId="1" applyFont="1" applyBorder="1" applyAlignment="1">
      <alignment horizontal="center"/>
    </xf>
    <xf numFmtId="0" fontId="3" fillId="0" borderId="0" xfId="1" applyFont="1" applyAlignment="1">
      <alignment horizontal="right"/>
    </xf>
    <xf numFmtId="0" fontId="3" fillId="0" borderId="2" xfId="1" applyFont="1" applyBorder="1" applyAlignment="1">
      <alignment horizontal="center"/>
    </xf>
    <xf numFmtId="0" fontId="3" fillId="2" borderId="2" xfId="1" applyFont="1" applyFill="1" applyBorder="1" applyAlignment="1">
      <alignment horizontal="center"/>
    </xf>
    <xf numFmtId="0" fontId="3" fillId="0" borderId="2" xfId="1" applyFont="1" applyBorder="1"/>
    <xf numFmtId="41" fontId="3" fillId="0" borderId="2" xfId="2" applyFont="1" applyBorder="1"/>
    <xf numFmtId="9" fontId="3" fillId="0" borderId="2" xfId="3" applyFont="1" applyBorder="1"/>
    <xf numFmtId="0" fontId="3" fillId="0" borderId="0" xfId="1" applyFont="1" applyBorder="1" applyAlignment="1">
      <alignment horizontal="center"/>
    </xf>
    <xf numFmtId="0" fontId="3" fillId="0" borderId="0" xfId="1" applyFont="1" applyBorder="1"/>
    <xf numFmtId="49" fontId="3" fillId="0" borderId="2" xfId="4" applyNumberFormat="1" applyFont="1" applyBorder="1" applyAlignment="1">
      <alignment horizontal="center" vertical="center"/>
    </xf>
    <xf numFmtId="1" fontId="3" fillId="0" borderId="2" xfId="4" applyNumberFormat="1" applyFont="1" applyBorder="1" applyAlignment="1">
      <alignment horizontal="center" vertical="center"/>
    </xf>
    <xf numFmtId="0" fontId="3" fillId="0" borderId="2" xfId="4" applyFont="1" applyBorder="1" applyAlignment="1">
      <alignment horizontal="center"/>
    </xf>
    <xf numFmtId="1" fontId="3" fillId="0" borderId="2" xfId="4" applyNumberFormat="1" applyFont="1" applyBorder="1" applyAlignment="1">
      <alignment horizontal="left" vertical="center" indent="1"/>
    </xf>
    <xf numFmtId="0" fontId="3" fillId="0" borderId="2" xfId="4" applyFont="1" applyFill="1" applyBorder="1" applyAlignment="1">
      <alignment horizontal="center"/>
    </xf>
    <xf numFmtId="0" fontId="3" fillId="0" borderId="2" xfId="3" applyNumberFormat="1" applyFont="1" applyBorder="1"/>
    <xf numFmtId="41" fontId="3" fillId="0" borderId="0" xfId="2" applyFont="1" applyBorder="1"/>
    <xf numFmtId="0" fontId="3" fillId="0" borderId="0" xfId="1" applyFont="1" applyFill="1" applyBorder="1" applyAlignment="1">
      <alignment horizontal="left"/>
    </xf>
    <xf numFmtId="0" fontId="3" fillId="0" borderId="0" xfId="1" applyNumberFormat="1" applyFont="1"/>
    <xf numFmtId="0" fontId="3" fillId="0" borderId="0" xfId="1" applyFont="1" applyFill="1"/>
    <xf numFmtId="0" fontId="10" fillId="0" borderId="6" xfId="6" applyNumberFormat="1" applyFont="1" applyFill="1" applyBorder="1" applyAlignment="1">
      <alignment horizontal="center" vertical="center"/>
    </xf>
    <xf numFmtId="0" fontId="10" fillId="0" borderId="7" xfId="6" applyNumberFormat="1" applyFont="1" applyFill="1" applyBorder="1" applyAlignment="1">
      <alignment horizontal="center" vertical="center"/>
    </xf>
    <xf numFmtId="0" fontId="10" fillId="0" borderId="8" xfId="6" applyNumberFormat="1" applyFont="1" applyFill="1" applyBorder="1" applyAlignment="1">
      <alignment horizontal="center" vertical="center"/>
    </xf>
    <xf numFmtId="177" fontId="10" fillId="0" borderId="9" xfId="6" applyNumberFormat="1" applyFont="1" applyFill="1" applyBorder="1" applyAlignment="1">
      <alignment vertical="center"/>
    </xf>
    <xf numFmtId="0" fontId="10" fillId="0" borderId="10" xfId="6" applyNumberFormat="1" applyFont="1" applyFill="1" applyBorder="1" applyAlignment="1">
      <alignment vertical="center"/>
    </xf>
    <xf numFmtId="177" fontId="10" fillId="0" borderId="10" xfId="6" applyNumberFormat="1" applyFont="1" applyFill="1" applyBorder="1" applyAlignment="1">
      <alignment vertical="center"/>
    </xf>
    <xf numFmtId="9" fontId="10" fillId="0" borderId="11" xfId="3" applyFont="1" applyFill="1" applyBorder="1" applyAlignment="1">
      <alignment vertical="center"/>
    </xf>
    <xf numFmtId="0" fontId="10" fillId="0" borderId="0" xfId="7" applyFont="1" applyFill="1" applyBorder="1" applyAlignment="1">
      <alignment vertical="center"/>
    </xf>
    <xf numFmtId="0" fontId="10" fillId="0" borderId="2" xfId="7" applyFont="1" applyFill="1" applyBorder="1" applyAlignment="1">
      <alignment horizontal="center" vertical="center"/>
    </xf>
    <xf numFmtId="178" fontId="10" fillId="0" borderId="2" xfId="7" applyNumberFormat="1" applyFont="1" applyFill="1" applyBorder="1" applyAlignment="1">
      <alignment horizontal="center" vertical="center"/>
    </xf>
    <xf numFmtId="0" fontId="3" fillId="0" borderId="2" xfId="1" applyFont="1" applyFill="1" applyBorder="1"/>
    <xf numFmtId="0" fontId="14" fillId="0" borderId="0" xfId="1" applyFont="1"/>
    <xf numFmtId="0" fontId="7" fillId="0" borderId="0" xfId="1" applyFont="1" applyAlignment="1">
      <alignment horizontal="center"/>
    </xf>
    <xf numFmtId="41" fontId="8" fillId="0" borderId="0" xfId="2" applyFont="1"/>
    <xf numFmtId="0" fontId="0" fillId="0" borderId="12" xfId="0" applyFont="1" applyBorder="1">
      <alignment vertical="center"/>
    </xf>
    <xf numFmtId="0" fontId="0" fillId="0" borderId="13" xfId="0" applyFont="1" applyBorder="1">
      <alignment vertical="center"/>
    </xf>
    <xf numFmtId="0" fontId="0" fillId="0" borderId="14" xfId="0" applyFont="1" applyBorder="1">
      <alignment vertical="center"/>
    </xf>
    <xf numFmtId="0" fontId="1" fillId="3" borderId="15" xfId="0" applyFont="1" applyFill="1" applyBorder="1">
      <alignment vertical="center"/>
    </xf>
    <xf numFmtId="0" fontId="1" fillId="3" borderId="16" xfId="0" applyFont="1" applyFill="1" applyBorder="1">
      <alignment vertical="center"/>
    </xf>
    <xf numFmtId="0" fontId="1" fillId="3" borderId="17" xfId="0" applyFont="1" applyFill="1" applyBorder="1">
      <alignment vertical="center"/>
    </xf>
    <xf numFmtId="0" fontId="0" fillId="4" borderId="15" xfId="0" applyFont="1" applyFill="1" applyBorder="1">
      <alignment vertical="center"/>
    </xf>
    <xf numFmtId="0" fontId="0" fillId="4" borderId="16" xfId="0" applyFont="1" applyFill="1" applyBorder="1">
      <alignment vertical="center"/>
    </xf>
    <xf numFmtId="0" fontId="0" fillId="4" borderId="17" xfId="0" applyFont="1" applyFill="1" applyBorder="1">
      <alignment vertical="center"/>
    </xf>
    <xf numFmtId="0" fontId="0" fillId="0" borderId="15" xfId="0" applyFont="1" applyBorder="1">
      <alignment vertical="center"/>
    </xf>
    <xf numFmtId="0" fontId="0" fillId="0" borderId="16" xfId="0" applyFont="1" applyBorder="1">
      <alignment vertical="center"/>
    </xf>
    <xf numFmtId="0" fontId="0" fillId="0" borderId="17" xfId="0" applyFont="1" applyBorder="1">
      <alignment vertical="center"/>
    </xf>
    <xf numFmtId="0" fontId="18" fillId="3" borderId="18" xfId="1" applyNumberFormat="1" applyFont="1" applyFill="1" applyBorder="1" applyAlignment="1"/>
    <xf numFmtId="0" fontId="18" fillId="3" borderId="19" xfId="1" applyNumberFormat="1" applyFont="1" applyFill="1" applyBorder="1" applyAlignment="1"/>
    <xf numFmtId="0" fontId="18" fillId="3" borderId="20" xfId="1" applyNumberFormat="1" applyFont="1" applyFill="1" applyBorder="1" applyAlignment="1"/>
    <xf numFmtId="0" fontId="3" fillId="0" borderId="19" xfId="1" applyNumberFormat="1" applyFont="1" applyBorder="1" applyAlignment="1"/>
    <xf numFmtId="0" fontId="3" fillId="0" borderId="20" xfId="1" applyNumberFormat="1" applyFont="1" applyBorder="1" applyAlignment="1"/>
    <xf numFmtId="179" fontId="16" fillId="0" borderId="21" xfId="8" applyNumberFormat="1" applyFont="1" applyBorder="1" applyAlignment="1">
      <alignment horizontal="right" wrapText="1"/>
    </xf>
    <xf numFmtId="0" fontId="3" fillId="0" borderId="22" xfId="1" applyNumberFormat="1" applyFont="1" applyBorder="1" applyAlignment="1"/>
    <xf numFmtId="179" fontId="16" fillId="0" borderId="23" xfId="8" applyNumberFormat="1" applyFont="1" applyBorder="1" applyAlignment="1">
      <alignment horizontal="right" wrapText="1"/>
    </xf>
    <xf numFmtId="0" fontId="3" fillId="0" borderId="24" xfId="1" applyNumberFormat="1" applyFont="1" applyBorder="1" applyAlignment="1"/>
    <xf numFmtId="0" fontId="3" fillId="0" borderId="25" xfId="1" applyNumberFormat="1" applyFont="1" applyBorder="1" applyAlignment="1"/>
    <xf numFmtId="0" fontId="3" fillId="0" borderId="26" xfId="1" applyNumberFormat="1" applyFont="1" applyBorder="1" applyAlignment="1"/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14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3" fillId="0" borderId="0" xfId="1" applyFont="1" applyProtection="1"/>
    <xf numFmtId="0" fontId="7" fillId="0" borderId="0" xfId="1" applyFont="1" applyProtection="1"/>
    <xf numFmtId="176" fontId="3" fillId="0" borderId="0" xfId="1" applyNumberFormat="1" applyFont="1" applyProtection="1"/>
    <xf numFmtId="0" fontId="1" fillId="5" borderId="27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0" fillId="0" borderId="27" xfId="0" applyFont="1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0" fontId="0" fillId="0" borderId="30" xfId="0" applyFont="1" applyBorder="1" applyAlignment="1">
      <alignment horizontal="center" vertical="center"/>
    </xf>
    <xf numFmtId="0" fontId="0" fillId="0" borderId="31" xfId="0" applyFont="1" applyBorder="1" applyAlignment="1">
      <alignment horizontal="center" vertical="center"/>
    </xf>
    <xf numFmtId="180" fontId="0" fillId="0" borderId="29" xfId="0" applyNumberFormat="1" applyFont="1" applyBorder="1" applyAlignment="1">
      <alignment horizontal="center" vertical="center"/>
    </xf>
    <xf numFmtId="180" fontId="0" fillId="0" borderId="32" xfId="0" applyNumberFormat="1" applyFont="1" applyBorder="1" applyAlignment="1">
      <alignment horizontal="center" vertical="center"/>
    </xf>
    <xf numFmtId="180" fontId="0" fillId="0" borderId="33" xfId="9" applyNumberFormat="1" applyFont="1" applyFill="1" applyBorder="1" applyAlignment="1">
      <alignment horizontal="center" vertical="center"/>
    </xf>
    <xf numFmtId="0" fontId="0" fillId="0" borderId="28" xfId="0" applyFont="1" applyBorder="1" applyAlignment="1" applyProtection="1">
      <alignment horizontal="center" vertical="center"/>
      <protection locked="0"/>
    </xf>
    <xf numFmtId="0" fontId="0" fillId="0" borderId="31" xfId="0" applyFont="1" applyBorder="1" applyAlignment="1" applyProtection="1">
      <alignment horizontal="center" vertical="center"/>
      <protection locked="0"/>
    </xf>
    <xf numFmtId="0" fontId="6" fillId="0" borderId="0" xfId="1" applyFont="1" applyAlignment="1" applyProtection="1">
      <alignment horizontal="center"/>
    </xf>
    <xf numFmtId="0" fontId="20" fillId="0" borderId="0" xfId="0" applyFont="1" applyAlignment="1">
      <alignment horizontal="center" vertical="center"/>
    </xf>
    <xf numFmtId="42" fontId="3" fillId="0" borderId="3" xfId="5" applyFont="1" applyFill="1" applyBorder="1" applyAlignment="1">
      <alignment horizontal="center"/>
    </xf>
    <xf numFmtId="0" fontId="3" fillId="0" borderId="4" xfId="1" applyFont="1" applyFill="1" applyBorder="1"/>
    <xf numFmtId="0" fontId="3" fillId="0" borderId="5" xfId="1" applyFont="1" applyFill="1" applyBorder="1"/>
    <xf numFmtId="0" fontId="9" fillId="0" borderId="0" xfId="6" applyNumberFormat="1" applyFont="1" applyFill="1" applyBorder="1" applyAlignment="1">
      <alignment horizontal="center" vertical="center"/>
    </xf>
    <xf numFmtId="0" fontId="12" fillId="0" borderId="0" xfId="7" applyFont="1" applyFill="1" applyBorder="1" applyAlignment="1">
      <alignment horizontal="center" vertical="center"/>
    </xf>
  </cellXfs>
  <cellStyles count="10">
    <cellStyle name="백분율 2" xfId="3"/>
    <cellStyle name="쉼표 [0]" xfId="9" builtinId="6"/>
    <cellStyle name="쉼표 [0] 2" xfId="2"/>
    <cellStyle name="통화 [0] 2" xfId="5"/>
    <cellStyle name="표준" xfId="0" builtinId="0"/>
    <cellStyle name="표준 2" xfId="1"/>
    <cellStyle name="표준_C06-1" xfId="6"/>
    <cellStyle name="표준_문제01(데이터)-김상수" xfId="7"/>
    <cellStyle name="표준_분석작업-1" xfId="8"/>
    <cellStyle name="표준_상공회의소문제" xfId="4"/>
  </cellStyles>
  <dxfs count="2">
    <dxf>
      <numFmt numFmtId="19" formatCode="yyyy/mm/dd"/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 i="1">
              <a:solidFill>
                <a:srgbClr val="0070C0"/>
              </a:solidFill>
            </a:defRPr>
          </a:pPr>
          <a:endParaRPr 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strRef>
              <c:f>'기타작업-1'!$E$3</c:f>
              <c:strCache>
                <c:ptCount val="1"/>
                <c:pt idx="0">
                  <c:v>판매금액</c:v>
                </c:pt>
              </c:strCache>
            </c:strRef>
          </c:tx>
          <c:invertIfNegative val="0"/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numRef>
              <c:f>'기타작업-1'!$A$4:$A$8</c:f>
              <c:numCache>
                <c:formatCode>yy"-"m"-"d</c:formatCode>
                <c:ptCount val="5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</c:numCache>
            </c:numRef>
          </c:cat>
          <c:val>
            <c:numRef>
              <c:f>'기타작업-1'!$E$4:$E$8</c:f>
              <c:numCache>
                <c:formatCode>General</c:formatCode>
                <c:ptCount val="5"/>
                <c:pt idx="0">
                  <c:v>8400</c:v>
                </c:pt>
                <c:pt idx="1">
                  <c:v>18000</c:v>
                </c:pt>
                <c:pt idx="2">
                  <c:v>3200</c:v>
                </c:pt>
                <c:pt idx="3">
                  <c:v>6300</c:v>
                </c:pt>
                <c:pt idx="4">
                  <c:v>1200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731520"/>
        <c:axId val="174248320"/>
      </c:barChart>
      <c:dateAx>
        <c:axId val="144731520"/>
        <c:scaling>
          <c:orientation val="minMax"/>
        </c:scaling>
        <c:delete val="0"/>
        <c:axPos val="l"/>
        <c:numFmt formatCode="yyyy&quot;년&quot;\ m&quot;월&quot;" sourceLinked="0"/>
        <c:majorTickMark val="out"/>
        <c:minorTickMark val="none"/>
        <c:tickLblPos val="nextTo"/>
        <c:crossAx val="174248320"/>
        <c:crosses val="autoZero"/>
        <c:auto val="1"/>
        <c:lblOffset val="100"/>
        <c:baseTimeUnit val="months"/>
      </c:dateAx>
      <c:valAx>
        <c:axId val="174248320"/>
        <c:scaling>
          <c:orientation val="minMax"/>
        </c:scaling>
        <c:delete val="0"/>
        <c:axPos val="b"/>
        <c:numFmt formatCode="_(* #,##0_);_(* \(#,##0\);_(* &quot;-&quot;_);_(@_)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ko-KR"/>
          </a:p>
        </c:txPr>
        <c:crossAx val="144731520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00">
              <a:latin typeface="굴림체" panose="020B0609000101010101" pitchFamily="49" charset="-127"/>
              <a:ea typeface="굴림체" panose="020B0609000101010101" pitchFamily="49" charset="-127"/>
            </a:defRPr>
          </a:pPr>
          <a:endParaRPr lang="ko-KR"/>
        </a:p>
      </c:txPr>
    </c:legend>
    <c:plotVisOnly val="1"/>
    <c:dispBlanksAs val="gap"/>
    <c:showDLblsOverMax val="0"/>
  </c:chart>
  <c:spPr>
    <a:blipFill>
      <a:blip xmlns:r="http://schemas.openxmlformats.org/officeDocument/2006/relationships" r:embed="rId1"/>
      <a:tile tx="0" ty="0" sx="100000" sy="100000" flip="none" algn="tl"/>
    </a:blipFill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285750</xdr:colOff>
      <xdr:row>2</xdr:row>
      <xdr:rowOff>8259</xdr:rowOff>
    </xdr:from>
    <xdr:ext cx="1771650" cy="668901"/>
    <xdr:sp macro="" textlink="">
      <xdr:nvSpPr>
        <xdr:cNvPr id="2" name="TextBox 1"/>
        <xdr:cNvSpPr txBox="1"/>
      </xdr:nvSpPr>
      <xdr:spPr>
        <a:xfrm>
          <a:off x="6457950" y="474984"/>
          <a:ext cx="1771650" cy="668901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300" b="1"/>
            <a:t> </a:t>
          </a:r>
          <a:r>
            <a:rPr lang="ko-KR" altLang="en-US" sz="1300" b="1"/>
            <a:t>전체 학생수</a:t>
          </a:r>
          <a:r>
            <a:rPr lang="ko-KR" altLang="en-US" sz="1300" b="0"/>
            <a:t> </a:t>
          </a:r>
          <a:r>
            <a:rPr lang="en-US" altLang="ko-KR" sz="1300" b="0"/>
            <a:t>: 17</a:t>
          </a:r>
          <a:r>
            <a:rPr lang="ko-KR" altLang="en-US" sz="1300" b="0"/>
            <a:t>명</a:t>
          </a:r>
          <a:endParaRPr lang="en-US" altLang="ko-KR" sz="1300" b="0"/>
        </a:p>
        <a:p>
          <a:pPr algn="l"/>
          <a:r>
            <a:rPr lang="ko-KR" altLang="en-US" sz="1300" b="1"/>
            <a:t> 전체 평균 </a:t>
          </a:r>
          <a:r>
            <a:rPr lang="en-US" altLang="ko-KR" sz="1300"/>
            <a:t>: 82</a:t>
          </a:r>
          <a:r>
            <a:rPr lang="ko-KR" altLang="en-US" sz="1300"/>
            <a:t>점</a:t>
          </a:r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목표값찾기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4</xdr:col>
          <xdr:colOff>9525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원상태로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685799</xdr:colOff>
      <xdr:row>24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</xdr:row>
          <xdr:rowOff>0</xdr:rowOff>
        </xdr:from>
        <xdr:to>
          <xdr:col>4</xdr:col>
          <xdr:colOff>628650</xdr:colOff>
          <xdr:row>2</xdr:row>
          <xdr:rowOff>104775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77.860290046294" createdVersion="4" refreshedVersion="4" minRefreshableVersion="3" recordCount="69">
  <cacheSource type="worksheet">
    <worksheetSource ref="A1:F70" sheet="분석작업-1"/>
  </cacheSource>
  <cacheFields count="6">
    <cacheField name="개설일" numFmtId="179">
      <sharedItems containsSemiMixedTypes="0" containsNonDate="0" containsDate="1" containsString="0" minDate="2016-04-30T00:00:00" maxDate="2016-07-08T00:00:00" count="69">
        <d v="2016-04-30T00:00:00"/>
        <d v="2016-05-01T00:00:00"/>
        <d v="2016-05-02T00:00:00"/>
        <d v="2016-05-03T00:00:00"/>
        <d v="2016-05-04T00:00:00"/>
        <d v="2016-05-05T00:00:00"/>
        <d v="2016-05-06T00:00:00"/>
        <d v="2016-05-07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5T00:00:00"/>
        <d v="2016-05-16T00:00:00"/>
        <d v="2016-05-17T00:00:00"/>
        <d v="2016-05-18T00:00:00"/>
        <d v="2016-05-19T00:00:00"/>
        <d v="2016-05-20T00:00:00"/>
        <d v="2016-05-21T00:00:00"/>
        <d v="2016-05-22T00:00:00"/>
        <d v="2016-05-23T00:00:00"/>
        <d v="2016-05-24T00:00:00"/>
        <d v="2016-05-25T00:00:00"/>
        <d v="2016-05-26T00:00:00"/>
        <d v="2016-05-27T00:00:00"/>
        <d v="2016-05-28T00:00:00"/>
        <d v="2016-05-29T00:00:00"/>
        <d v="2016-05-30T00:00:00"/>
        <d v="2016-05-31T00:00:00"/>
        <d v="2016-06-01T00:00:00"/>
        <d v="2016-06-02T00:00:00"/>
        <d v="2016-06-03T00:00:00"/>
        <d v="2016-06-04T00:00:00"/>
        <d v="2016-06-05T00:00:00"/>
        <d v="2016-06-06T00:00:00"/>
        <d v="2016-06-07T00:00:00"/>
        <d v="2016-06-08T00:00:00"/>
        <d v="2016-06-09T00:00:00"/>
        <d v="2016-06-10T00:00:00"/>
        <d v="2016-06-11T00:00:00"/>
        <d v="2016-06-12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</sharedItems>
      <fieldGroup base="0">
        <rangePr autoStart="0" autoEnd="0" groupBy="days" startDate="2016-04-01T00:00:00" endDate="2016-07-30T00:00:00" groupInterval="30"/>
        <groupItems count="6">
          <s v="&lt;2016-04-01"/>
          <s v="2016-04-01 - 2016-04-30"/>
          <s v="2016-05-01 - 2016-05-30"/>
          <s v="2016-05-31 - 2016-06-29"/>
          <s v="2016-06-30 - 2016-07-29"/>
          <s v="&gt;2016-07-30"/>
        </groupItems>
      </fieldGroup>
    </cacheField>
    <cacheField name="도메인" numFmtId="0">
      <sharedItems/>
    </cacheField>
    <cacheField name="쇼핑몰" numFmtId="0">
      <sharedItems count="5">
        <s v="종합쇼핑몰"/>
        <s v="음악쇼핑몰"/>
        <s v="여행정보몰"/>
        <s v="가전쇼핑몰"/>
        <s v="예술쇼핑몰"/>
      </sharedItems>
    </cacheField>
    <cacheField name="DB운영비" numFmtId="0">
      <sharedItems containsSemiMixedTypes="0" containsString="0" containsNumber="1" containsInteger="1" minValue="106020" maxValue="737280"/>
    </cacheField>
    <cacheField name="광고비" numFmtId="0">
      <sharedItems containsSemiMixedTypes="0" containsString="0" containsNumber="1" containsInteger="1" minValue="127224" maxValue="884736"/>
    </cacheField>
    <cacheField name="배너비" numFmtId="0">
      <sharedItems containsSemiMixedTypes="0" containsString="0" containsNumber="1" minValue="32654.16" maxValue="227082.23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">
  <r>
    <x v="0"/>
    <s v="www.Sam.co.kr"/>
    <x v="0"/>
    <n v="386000"/>
    <n v="463200"/>
    <n v="144364"/>
  </r>
  <r>
    <x v="1"/>
    <s v="www.So.co.kr"/>
    <x v="1"/>
    <n v="737280"/>
    <n v="884736"/>
    <n v="227082.23999999999"/>
  </r>
  <r>
    <x v="2"/>
    <s v="www.Jo.ne.kr"/>
    <x v="0"/>
    <n v="332220"/>
    <n v="398664"/>
    <n v="102323.76"/>
  </r>
  <r>
    <x v="3"/>
    <s v="www.Namgung.or.kr"/>
    <x v="1"/>
    <n v="233970"/>
    <n v="280764"/>
    <n v="72062.759999999995"/>
  </r>
  <r>
    <x v="4"/>
    <s v="www.Son.com"/>
    <x v="0"/>
    <n v="202510"/>
    <n v="243012"/>
    <n v="62373.08"/>
  </r>
  <r>
    <x v="5"/>
    <s v="www.Byun.co.kr"/>
    <x v="0"/>
    <n v="449190"/>
    <n v="539028"/>
    <n v="138350.51999999999"/>
  </r>
  <r>
    <x v="6"/>
    <s v="www.Maeng.com"/>
    <x v="1"/>
    <n v="493810"/>
    <n v="592572"/>
    <n v="152093.48000000001"/>
  </r>
  <r>
    <x v="7"/>
    <s v="www.Kyung.com"/>
    <x v="2"/>
    <n v="163400"/>
    <n v="196080"/>
    <n v="50327.199999999997"/>
  </r>
  <r>
    <x v="8"/>
    <s v="www.So.ne.kr"/>
    <x v="0"/>
    <n v="276840"/>
    <n v="332208"/>
    <n v="85266.72"/>
  </r>
  <r>
    <x v="9"/>
    <s v="www.Myung.com"/>
    <x v="0"/>
    <n v="286560"/>
    <n v="343872"/>
    <n v="88260.479999999996"/>
  </r>
  <r>
    <x v="10"/>
    <s v="www.Jang.or.kr"/>
    <x v="3"/>
    <n v="153600"/>
    <n v="184320"/>
    <n v="47308.800000000003"/>
  </r>
  <r>
    <x v="11"/>
    <s v="www.Kae.or.kr"/>
    <x v="2"/>
    <n v="193680"/>
    <n v="232416"/>
    <n v="59653.440000000002"/>
  </r>
  <r>
    <x v="12"/>
    <s v="www.Chu.ne.kr"/>
    <x v="4"/>
    <n v="162990"/>
    <n v="195588"/>
    <n v="50200.92"/>
  </r>
  <r>
    <x v="13"/>
    <s v="www.Bok.or.kr"/>
    <x v="1"/>
    <n v="353800"/>
    <n v="424560"/>
    <n v="108970.4"/>
  </r>
  <r>
    <x v="14"/>
    <s v="www.Jun.co.kr"/>
    <x v="0"/>
    <n v="229920"/>
    <n v="275904"/>
    <n v="70815.360000000001"/>
  </r>
  <r>
    <x v="15"/>
    <s v="www.Myung.or.kr"/>
    <x v="0"/>
    <n v="199600"/>
    <n v="239520"/>
    <n v="61476.800000000003"/>
  </r>
  <r>
    <x v="16"/>
    <s v="www.Mok.com"/>
    <x v="3"/>
    <n v="558900"/>
    <n v="670680"/>
    <n v="172141.2"/>
  </r>
  <r>
    <x v="17"/>
    <s v="www.Kil.com"/>
    <x v="1"/>
    <n v="371450"/>
    <n v="445740"/>
    <n v="114406.6"/>
  </r>
  <r>
    <x v="18"/>
    <s v="www.Nae.or.kr"/>
    <x v="3"/>
    <n v="371790"/>
    <n v="446148"/>
    <n v="114511.32"/>
  </r>
  <r>
    <x v="19"/>
    <s v="www.Maeng.ne.kr"/>
    <x v="0"/>
    <n v="393720"/>
    <n v="472464"/>
    <n v="121265.76"/>
  </r>
  <r>
    <x v="20"/>
    <s v="www.Won.co.kr"/>
    <x v="4"/>
    <n v="393380"/>
    <n v="472056"/>
    <n v="121161.04"/>
  </r>
  <r>
    <x v="21"/>
    <s v="www.Bin.ne.kr"/>
    <x v="4"/>
    <n v="394570"/>
    <n v="473484"/>
    <n v="121527.56"/>
  </r>
  <r>
    <x v="22"/>
    <s v="www.Park.ne.kr"/>
    <x v="1"/>
    <n v="189990"/>
    <n v="227988"/>
    <n v="58516.92"/>
  </r>
  <r>
    <x v="23"/>
    <s v="www.Dan.or.kr"/>
    <x v="1"/>
    <n v="115050"/>
    <n v="138060"/>
    <n v="35435.4"/>
  </r>
  <r>
    <x v="24"/>
    <s v="www.Chun.or.kr"/>
    <x v="4"/>
    <n v="131760"/>
    <n v="158112"/>
    <n v="40582.080000000002"/>
  </r>
  <r>
    <x v="25"/>
    <s v="www.Hong.com"/>
    <x v="0"/>
    <n v="122300"/>
    <n v="146760"/>
    <n v="37668.400000000001"/>
  </r>
  <r>
    <x v="26"/>
    <s v="www.Jun.ne.kr"/>
    <x v="1"/>
    <n v="265440"/>
    <n v="318528"/>
    <n v="81755.520000000004"/>
  </r>
  <r>
    <x v="27"/>
    <s v="www.Dan.ne.kr"/>
    <x v="0"/>
    <n v="185280"/>
    <n v="222336"/>
    <n v="57066.239999999998"/>
  </r>
  <r>
    <x v="28"/>
    <s v="www.Muk.ne.kr"/>
    <x v="4"/>
    <n v="131950"/>
    <n v="158340"/>
    <n v="40640.6"/>
  </r>
  <r>
    <x v="29"/>
    <s v="www.Su.co.kr"/>
    <x v="0"/>
    <n v="144990"/>
    <n v="173988"/>
    <n v="44656.92"/>
  </r>
  <r>
    <x v="30"/>
    <s v="www.Mok.ne.kr"/>
    <x v="2"/>
    <n v="457160"/>
    <n v="548592"/>
    <n v="140805.28"/>
  </r>
  <r>
    <x v="31"/>
    <s v="www.So.ne.kr"/>
    <x v="3"/>
    <n v="502090"/>
    <n v="602508"/>
    <n v="154643.72"/>
  </r>
  <r>
    <x v="32"/>
    <s v="www.Dong.or.kr"/>
    <x v="0"/>
    <n v="106020"/>
    <n v="127224"/>
    <n v="32654.16"/>
  </r>
  <r>
    <x v="33"/>
    <s v="www.Jun.com"/>
    <x v="0"/>
    <n v="414360"/>
    <n v="497232"/>
    <n v="127622.88"/>
  </r>
  <r>
    <x v="34"/>
    <s v="www.Su.com"/>
    <x v="0"/>
    <n v="404000"/>
    <n v="484800"/>
    <n v="124432"/>
  </r>
  <r>
    <x v="35"/>
    <s v="www.So.co.kr"/>
    <x v="3"/>
    <n v="348000"/>
    <n v="417600"/>
    <n v="107184"/>
  </r>
  <r>
    <x v="36"/>
    <s v="www.Hang.com"/>
    <x v="4"/>
    <n v="323400"/>
    <n v="388080"/>
    <n v="99607.2"/>
  </r>
  <r>
    <x v="37"/>
    <s v="www.Yong.com"/>
    <x v="4"/>
    <n v="272960"/>
    <n v="327552"/>
    <n v="84071.679999999993"/>
  </r>
  <r>
    <x v="38"/>
    <s v="www.Son.com"/>
    <x v="0"/>
    <n v="531300"/>
    <n v="637560"/>
    <n v="163640.4"/>
  </r>
  <r>
    <x v="39"/>
    <s v="www.Bok.or.kr"/>
    <x v="3"/>
    <n v="166980"/>
    <n v="200376"/>
    <n v="62450.52"/>
  </r>
  <r>
    <x v="40"/>
    <s v="www.Mok.com"/>
    <x v="2"/>
    <n v="155300"/>
    <n v="186360"/>
    <n v="47832.4"/>
  </r>
  <r>
    <x v="41"/>
    <s v="www.Su.com"/>
    <x v="4"/>
    <n v="265800"/>
    <n v="318960"/>
    <n v="81866.399999999994"/>
  </r>
  <r>
    <x v="42"/>
    <s v="www.Won.ne.kr"/>
    <x v="1"/>
    <n v="338390"/>
    <n v="406068"/>
    <n v="104224.12"/>
  </r>
  <r>
    <x v="43"/>
    <s v="www.Bong.ne.kr"/>
    <x v="2"/>
    <n v="417120"/>
    <n v="500544"/>
    <n v="128472.96000000001"/>
  </r>
  <r>
    <x v="44"/>
    <s v="www.Kwun.or.kr"/>
    <x v="3"/>
    <n v="308180"/>
    <n v="369816"/>
    <n v="94919.44"/>
  </r>
  <r>
    <x v="45"/>
    <s v="www.Chu.or.kr"/>
    <x v="0"/>
    <n v="134610"/>
    <n v="161532"/>
    <n v="41459.879999999997"/>
  </r>
  <r>
    <x v="46"/>
    <s v="www.Kwun.ne.kr"/>
    <x v="4"/>
    <n v="137760"/>
    <n v="165312"/>
    <n v="42430.080000000002"/>
  </r>
  <r>
    <x v="47"/>
    <s v="www.Chae.ne.kr"/>
    <x v="2"/>
    <n v="387600"/>
    <n v="465120"/>
    <n v="119380.8"/>
  </r>
  <r>
    <x v="48"/>
    <s v="www.Do.or.kr"/>
    <x v="3"/>
    <n v="265800"/>
    <n v="318960"/>
    <n v="81866.399999999994"/>
  </r>
  <r>
    <x v="49"/>
    <s v="www.Park.co.kr"/>
    <x v="0"/>
    <n v="127620"/>
    <n v="153144"/>
    <n v="39306.959999999999"/>
  </r>
  <r>
    <x v="50"/>
    <s v="www.Ku.ne.kr"/>
    <x v="1"/>
    <n v="330400"/>
    <n v="396480"/>
    <n v="101763.2"/>
  </r>
  <r>
    <x v="51"/>
    <s v="www.Hwang.co.kr"/>
    <x v="0"/>
    <n v="155970"/>
    <n v="187164"/>
    <n v="48038.76"/>
  </r>
  <r>
    <x v="52"/>
    <s v="www.Kwun.or.kr"/>
    <x v="1"/>
    <n v="147630"/>
    <n v="177156"/>
    <n v="45470.04"/>
  </r>
  <r>
    <x v="53"/>
    <s v="www.Jin.or.kr"/>
    <x v="4"/>
    <n v="200970"/>
    <n v="241164"/>
    <n v="61898.76"/>
  </r>
  <r>
    <x v="54"/>
    <s v="www.Hang.com"/>
    <x v="0"/>
    <n v="330840"/>
    <n v="397008"/>
    <n v="101898.72"/>
  </r>
  <r>
    <x v="55"/>
    <s v="www.Han.or.kr"/>
    <x v="1"/>
    <n v="208890"/>
    <n v="250668"/>
    <n v="64338.12"/>
  </r>
  <r>
    <x v="56"/>
    <s v="www.Jang.or.kr"/>
    <x v="2"/>
    <n v="149400"/>
    <n v="179280"/>
    <n v="46015.199999999997"/>
  </r>
  <r>
    <x v="57"/>
    <s v="www.Man.co.kr"/>
    <x v="2"/>
    <n v="534960"/>
    <n v="641952"/>
    <n v="164767.67999999999"/>
  </r>
  <r>
    <x v="58"/>
    <s v="www.Woon.ne.kr"/>
    <x v="1"/>
    <n v="400690"/>
    <n v="480828"/>
    <n v="123412.52"/>
  </r>
  <r>
    <x v="59"/>
    <s v="www.Jin.or.kr"/>
    <x v="1"/>
    <n v="197280"/>
    <n v="236736"/>
    <n v="60762.239999999998"/>
  </r>
  <r>
    <x v="60"/>
    <s v="www.Jo.co.kr"/>
    <x v="1"/>
    <n v="207450"/>
    <n v="248940"/>
    <n v="63894.6"/>
  </r>
  <r>
    <x v="61"/>
    <s v="www.Kyun.or.kr"/>
    <x v="3"/>
    <n v="111850"/>
    <n v="134220"/>
    <n v="34449.800000000003"/>
  </r>
  <r>
    <x v="62"/>
    <s v="www.Jang.com"/>
    <x v="0"/>
    <n v="142260"/>
    <n v="170712"/>
    <n v="43816.08"/>
  </r>
  <r>
    <x v="63"/>
    <s v="www.Du.or.kr"/>
    <x v="4"/>
    <n v="322740"/>
    <n v="387288"/>
    <n v="99403.92"/>
  </r>
  <r>
    <x v="64"/>
    <s v="www.Ryu.com"/>
    <x v="4"/>
    <n v="410400"/>
    <n v="492480"/>
    <n v="126403.2"/>
  </r>
  <r>
    <x v="65"/>
    <s v="www.Dan.ne.kr"/>
    <x v="1"/>
    <n v="313760"/>
    <n v="376512"/>
    <n v="96638.080000000002"/>
  </r>
  <r>
    <x v="66"/>
    <s v="www.Song.co.kr"/>
    <x v="1"/>
    <n v="261380"/>
    <n v="313656"/>
    <n v="80505.039999999994"/>
  </r>
  <r>
    <x v="67"/>
    <s v="www.Maen.or.kr"/>
    <x v="4"/>
    <n v="323840"/>
    <n v="388608"/>
    <n v="99742.720000000001"/>
  </r>
  <r>
    <x v="68"/>
    <s v="www.Moon.or.kr"/>
    <x v="0"/>
    <n v="438680"/>
    <n v="526416"/>
    <n v="135113.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34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outline="1" outlineData="1" compactData="0" multipleFieldFilters="0">
  <location ref="H3:N9" firstHeaderRow="1" firstDataRow="2" firstDataCol="1"/>
  <pivotFields count="6">
    <pivotField axis="axisRow" compact="0" numFmtId="179" showAll="0">
      <items count="7">
        <item x="0"/>
        <item x="1"/>
        <item x="2"/>
        <item x="3"/>
        <item x="4"/>
        <item x="5"/>
        <item t="default"/>
      </items>
    </pivotField>
    <pivotField compact="0" showAll="0"/>
    <pivotField axis="axisCol" compact="0" showAll="0">
      <items count="6">
        <item x="3"/>
        <item x="2"/>
        <item x="4"/>
        <item x="1"/>
        <item x="0"/>
        <item t="default"/>
      </items>
    </pivotField>
    <pivotField dataField="1" compact="0" showAll="0"/>
    <pivotField compact="0" showAll="0"/>
    <pivotField compact="0" showAll="0"/>
  </pivotFields>
  <rowFields count="1">
    <field x="0"/>
  </rowFields>
  <rowItems count="5">
    <i>
      <x v="1"/>
    </i>
    <i>
      <x v="2"/>
    </i>
    <i>
      <x v="3"/>
    </i>
    <i>
      <x v="4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합계 : DB운영비" fld="3" baseField="0" baseItem="6" numFmtId="4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표1" displayName="표1" ref="A1:F2" totalsRowShown="0">
  <autoFilter ref="A1:F2"/>
  <tableColumns count="6">
    <tableColumn id="1" name="개설일" dataDxfId="0"/>
    <tableColumn id="2" name="도메인"/>
    <tableColumn id="3" name="쇼핑몰"/>
    <tableColumn id="4" name="DB운영비"/>
    <tableColumn id="5" name="광고비"/>
    <tableColumn id="6" name="배너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1"/>
  <sheetViews>
    <sheetView windowProtection="1" tabSelected="1" workbookViewId="0"/>
  </sheetViews>
  <sheetFormatPr defaultRowHeight="16.5"/>
  <cols>
    <col min="1" max="1" width="8.5" customWidth="1"/>
    <col min="2" max="2" width="7.5" customWidth="1"/>
    <col min="3" max="3" width="11.25" customWidth="1"/>
    <col min="4" max="4" width="9.25" bestFit="1" customWidth="1"/>
    <col min="5" max="5" width="9.375" bestFit="1" customWidth="1"/>
    <col min="6" max="7" width="7.5" customWidth="1"/>
  </cols>
  <sheetData>
    <row r="1" spans="1:7">
      <c r="A1" s="1" t="s">
        <v>0</v>
      </c>
    </row>
    <row r="3" spans="1:7">
      <c r="A3" s="40" t="s">
        <v>132</v>
      </c>
      <c r="B3" s="41" t="s">
        <v>133</v>
      </c>
      <c r="C3" s="41" t="s">
        <v>134</v>
      </c>
      <c r="D3" s="41" t="s">
        <v>135</v>
      </c>
      <c r="E3" s="41" t="s">
        <v>136</v>
      </c>
      <c r="F3" s="41" t="s">
        <v>137</v>
      </c>
      <c r="G3" s="42" t="s">
        <v>138</v>
      </c>
    </row>
    <row r="4" spans="1:7">
      <c r="A4" s="43" t="s">
        <v>139</v>
      </c>
      <c r="B4" s="44" t="s">
        <v>140</v>
      </c>
      <c r="C4" s="44" t="s">
        <v>141</v>
      </c>
      <c r="D4" s="44">
        <v>93</v>
      </c>
      <c r="E4" s="44">
        <v>59</v>
      </c>
      <c r="F4" s="44">
        <v>51</v>
      </c>
      <c r="G4" s="45" t="s">
        <v>142</v>
      </c>
    </row>
    <row r="5" spans="1:7">
      <c r="A5" s="46" t="s">
        <v>143</v>
      </c>
      <c r="B5" s="47" t="s">
        <v>144</v>
      </c>
      <c r="C5" s="47" t="s">
        <v>141</v>
      </c>
      <c r="D5" s="47">
        <v>74</v>
      </c>
      <c r="E5" s="47">
        <v>92</v>
      </c>
      <c r="F5" s="47">
        <v>88</v>
      </c>
      <c r="G5" s="48" t="s">
        <v>142</v>
      </c>
    </row>
    <row r="6" spans="1:7">
      <c r="A6" s="43" t="s">
        <v>145</v>
      </c>
      <c r="B6" s="44" t="s">
        <v>146</v>
      </c>
      <c r="C6" s="44" t="s">
        <v>147</v>
      </c>
      <c r="D6" s="44">
        <v>97</v>
      </c>
      <c r="E6" s="44">
        <v>68</v>
      </c>
      <c r="F6" s="44">
        <v>72</v>
      </c>
      <c r="G6" s="45" t="s">
        <v>142</v>
      </c>
    </row>
    <row r="7" spans="1:7">
      <c r="A7" s="46" t="s">
        <v>148</v>
      </c>
      <c r="B7" s="47" t="s">
        <v>149</v>
      </c>
      <c r="C7" s="47" t="s">
        <v>147</v>
      </c>
      <c r="D7" s="47">
        <v>82</v>
      </c>
      <c r="E7" s="47">
        <v>88</v>
      </c>
      <c r="F7" s="47">
        <v>62</v>
      </c>
      <c r="G7" s="48" t="s">
        <v>142</v>
      </c>
    </row>
    <row r="8" spans="1:7">
      <c r="A8" s="43" t="s">
        <v>150</v>
      </c>
      <c r="B8" s="44" t="s">
        <v>151</v>
      </c>
      <c r="C8" s="44" t="s">
        <v>147</v>
      </c>
      <c r="D8" s="44">
        <v>51</v>
      </c>
      <c r="E8" s="44">
        <v>97</v>
      </c>
      <c r="F8" s="44">
        <v>51</v>
      </c>
      <c r="G8" s="45" t="s">
        <v>142</v>
      </c>
    </row>
    <row r="9" spans="1:7">
      <c r="A9" s="46" t="s">
        <v>152</v>
      </c>
      <c r="B9" s="47" t="s">
        <v>153</v>
      </c>
      <c r="C9" s="47" t="s">
        <v>147</v>
      </c>
      <c r="D9" s="47">
        <v>76</v>
      </c>
      <c r="E9" s="47">
        <v>65</v>
      </c>
      <c r="F9" s="47">
        <v>87</v>
      </c>
      <c r="G9" s="48" t="s">
        <v>154</v>
      </c>
    </row>
    <row r="10" spans="1:7">
      <c r="A10" s="43" t="s">
        <v>155</v>
      </c>
      <c r="B10" s="44" t="s">
        <v>156</v>
      </c>
      <c r="C10" s="44" t="s">
        <v>147</v>
      </c>
      <c r="D10" s="44">
        <v>50</v>
      </c>
      <c r="E10" s="44">
        <v>84</v>
      </c>
      <c r="F10" s="44">
        <v>60</v>
      </c>
      <c r="G10" s="45" t="s">
        <v>142</v>
      </c>
    </row>
    <row r="11" spans="1:7">
      <c r="A11" s="37" t="s">
        <v>157</v>
      </c>
      <c r="B11" s="38" t="s">
        <v>158</v>
      </c>
      <c r="C11" s="38" t="s">
        <v>147</v>
      </c>
      <c r="D11" s="38">
        <v>87</v>
      </c>
      <c r="E11" s="38">
        <v>84</v>
      </c>
      <c r="F11" s="38">
        <v>61</v>
      </c>
      <c r="G11" s="39" t="s">
        <v>142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7"/>
  <sheetViews>
    <sheetView windowProtection="1" workbookViewId="0">
      <selection sqref="A1:F1"/>
    </sheetView>
  </sheetViews>
  <sheetFormatPr defaultColWidth="10" defaultRowHeight="16.5"/>
  <cols>
    <col min="1" max="1" width="11.75" style="64" customWidth="1"/>
    <col min="2" max="2" width="9.5" style="64" bestFit="1" customWidth="1"/>
    <col min="3" max="3" width="20.875" style="64" bestFit="1" customWidth="1"/>
    <col min="4" max="4" width="6.125" style="64" customWidth="1"/>
    <col min="5" max="5" width="9.75" style="64" bestFit="1" customWidth="1"/>
    <col min="6" max="6" width="8" style="64" customWidth="1"/>
    <col min="7" max="7" width="5.75" style="64" customWidth="1"/>
    <col min="8" max="8" width="8.5" style="64" customWidth="1"/>
    <col min="9" max="9" width="7.75" style="64" customWidth="1"/>
    <col min="10" max="10" width="6.875" style="64" customWidth="1"/>
    <col min="11" max="11" width="5.75" style="64" customWidth="1"/>
    <col min="12" max="12" width="8.5" style="64" customWidth="1"/>
    <col min="13" max="13" width="7.75" style="64" customWidth="1"/>
    <col min="14" max="16384" width="10" style="64"/>
  </cols>
  <sheetData>
    <row r="1" spans="1:6" ht="20.25">
      <c r="A1" s="79" t="s">
        <v>1</v>
      </c>
      <c r="B1" s="79"/>
      <c r="C1" s="79"/>
      <c r="D1" s="79"/>
      <c r="E1" s="79"/>
      <c r="F1" s="79"/>
    </row>
    <row r="3" spans="1:6">
      <c r="A3" s="65" t="s">
        <v>2</v>
      </c>
      <c r="B3" s="65" t="s">
        <v>3</v>
      </c>
      <c r="C3" s="65" t="s">
        <v>4</v>
      </c>
      <c r="D3" s="65" t="s">
        <v>5</v>
      </c>
      <c r="E3" s="65" t="s">
        <v>6</v>
      </c>
      <c r="F3" s="65" t="s">
        <v>7</v>
      </c>
    </row>
    <row r="4" spans="1:6">
      <c r="A4" s="64" t="s">
        <v>8</v>
      </c>
      <c r="B4" s="64" t="s">
        <v>9</v>
      </c>
      <c r="C4" s="66">
        <v>42230</v>
      </c>
      <c r="D4" s="64">
        <v>12</v>
      </c>
      <c r="E4" s="64">
        <v>162960</v>
      </c>
      <c r="F4" s="64">
        <v>12000</v>
      </c>
    </row>
    <row r="5" spans="1:6">
      <c r="A5" s="64" t="s">
        <v>10</v>
      </c>
      <c r="B5" s="64" t="s">
        <v>9</v>
      </c>
      <c r="C5" s="66">
        <v>42101</v>
      </c>
      <c r="D5" s="64">
        <v>11</v>
      </c>
      <c r="E5" s="64">
        <v>124058</v>
      </c>
      <c r="F5" s="64">
        <v>8000</v>
      </c>
    </row>
    <row r="6" spans="1:6">
      <c r="A6" s="64" t="s">
        <v>10</v>
      </c>
      <c r="B6" s="64" t="s">
        <v>9</v>
      </c>
      <c r="C6" s="66">
        <v>42013</v>
      </c>
      <c r="D6" s="64">
        <v>15</v>
      </c>
      <c r="E6" s="64">
        <v>169170</v>
      </c>
      <c r="F6" s="64">
        <v>56000</v>
      </c>
    </row>
    <row r="7" spans="1:6">
      <c r="A7" s="64" t="s">
        <v>11</v>
      </c>
      <c r="B7" s="64" t="s">
        <v>12</v>
      </c>
      <c r="C7" s="66">
        <v>42193</v>
      </c>
      <c r="D7" s="64">
        <v>10</v>
      </c>
      <c r="E7" s="64">
        <v>85000</v>
      </c>
      <c r="F7" s="64">
        <v>11700</v>
      </c>
    </row>
    <row r="8" spans="1:6">
      <c r="A8" s="64" t="s">
        <v>11</v>
      </c>
      <c r="B8" s="64" t="s">
        <v>12</v>
      </c>
      <c r="C8" s="66">
        <v>42164</v>
      </c>
      <c r="D8" s="64">
        <v>21</v>
      </c>
      <c r="E8" s="64">
        <v>178500</v>
      </c>
      <c r="F8" s="64">
        <v>27300</v>
      </c>
    </row>
    <row r="9" spans="1:6">
      <c r="A9" s="64" t="s">
        <v>11</v>
      </c>
      <c r="B9" s="64" t="s">
        <v>12</v>
      </c>
      <c r="C9" s="66">
        <v>42132</v>
      </c>
      <c r="D9" s="64">
        <v>25</v>
      </c>
      <c r="E9" s="64">
        <v>593000</v>
      </c>
      <c r="F9" s="64">
        <v>85700</v>
      </c>
    </row>
    <row r="10" spans="1:6">
      <c r="A10" s="64" t="s">
        <v>11</v>
      </c>
      <c r="B10" s="64" t="s">
        <v>12</v>
      </c>
      <c r="C10" s="66">
        <v>42099</v>
      </c>
      <c r="D10" s="64">
        <v>22</v>
      </c>
      <c r="E10" s="64">
        <v>187000</v>
      </c>
      <c r="F10" s="64">
        <v>39000</v>
      </c>
    </row>
    <row r="11" spans="1:6">
      <c r="A11" s="64" t="s">
        <v>11</v>
      </c>
      <c r="B11" s="64" t="s">
        <v>12</v>
      </c>
      <c r="C11" s="66">
        <v>42068</v>
      </c>
      <c r="D11" s="64">
        <v>11</v>
      </c>
      <c r="E11" s="64">
        <v>93500</v>
      </c>
      <c r="F11" s="64">
        <v>39000</v>
      </c>
    </row>
    <row r="12" spans="1:6">
      <c r="A12" s="64" t="s">
        <v>13</v>
      </c>
      <c r="B12" s="64" t="s">
        <v>14</v>
      </c>
      <c r="C12" s="66">
        <v>42067</v>
      </c>
      <c r="D12" s="64">
        <v>15</v>
      </c>
      <c r="E12" s="64">
        <v>243250</v>
      </c>
      <c r="F12" s="64">
        <v>75000</v>
      </c>
    </row>
    <row r="13" spans="1:6">
      <c r="A13" s="64" t="s">
        <v>13</v>
      </c>
      <c r="B13" s="64" t="s">
        <v>14</v>
      </c>
      <c r="C13" s="66">
        <v>42040</v>
      </c>
      <c r="D13" s="64">
        <v>20</v>
      </c>
      <c r="E13" s="64">
        <v>208500</v>
      </c>
      <c r="F13" s="64">
        <v>75000</v>
      </c>
    </row>
    <row r="14" spans="1:6">
      <c r="A14" s="64" t="s">
        <v>13</v>
      </c>
      <c r="B14" s="64" t="s">
        <v>12</v>
      </c>
      <c r="C14" s="66">
        <v>42006</v>
      </c>
      <c r="D14" s="64">
        <v>19</v>
      </c>
      <c r="E14" s="64">
        <v>660250</v>
      </c>
      <c r="F14" s="64">
        <v>19500</v>
      </c>
    </row>
    <row r="16" spans="1:6">
      <c r="A16" s="64" t="s">
        <v>15</v>
      </c>
      <c r="B16" s="64" t="s">
        <v>16</v>
      </c>
      <c r="C16" s="64" t="s">
        <v>17</v>
      </c>
      <c r="D16" s="64" t="s">
        <v>18</v>
      </c>
    </row>
    <row r="17" spans="1:6">
      <c r="A17" s="64" t="s">
        <v>19</v>
      </c>
      <c r="B17" s="64" t="s">
        <v>20</v>
      </c>
    </row>
    <row r="18" spans="1:6">
      <c r="A18" s="64" t="s">
        <v>19</v>
      </c>
      <c r="C18" s="64" t="s">
        <v>21</v>
      </c>
    </row>
    <row r="19" spans="1:6">
      <c r="A19" s="64" t="s">
        <v>22</v>
      </c>
      <c r="D19" s="64" t="s">
        <v>23</v>
      </c>
    </row>
    <row r="22" spans="1:6">
      <c r="A22" s="65" t="s">
        <v>2</v>
      </c>
      <c r="B22" s="65" t="s">
        <v>3</v>
      </c>
      <c r="C22" s="65" t="s">
        <v>4</v>
      </c>
      <c r="D22" s="65" t="s">
        <v>5</v>
      </c>
      <c r="E22" s="65" t="s">
        <v>6</v>
      </c>
      <c r="F22" s="65" t="s">
        <v>7</v>
      </c>
    </row>
    <row r="23" spans="1:6">
      <c r="A23" s="64" t="s">
        <v>11</v>
      </c>
      <c r="B23" s="64" t="s">
        <v>12</v>
      </c>
      <c r="C23" s="66">
        <v>42193</v>
      </c>
      <c r="D23" s="64">
        <v>10</v>
      </c>
      <c r="E23" s="64">
        <v>85000</v>
      </c>
      <c r="F23" s="64">
        <v>11700</v>
      </c>
    </row>
    <row r="24" spans="1:6">
      <c r="A24" s="64" t="s">
        <v>11</v>
      </c>
      <c r="B24" s="64" t="s">
        <v>12</v>
      </c>
      <c r="C24" s="66">
        <v>42164</v>
      </c>
      <c r="D24" s="64">
        <v>21</v>
      </c>
      <c r="E24" s="64">
        <v>178500</v>
      </c>
      <c r="F24" s="64">
        <v>27300</v>
      </c>
    </row>
    <row r="25" spans="1:6">
      <c r="A25" s="64" t="s">
        <v>11</v>
      </c>
      <c r="B25" s="64" t="s">
        <v>12</v>
      </c>
      <c r="C25" s="66">
        <v>42132</v>
      </c>
      <c r="D25" s="64">
        <v>25</v>
      </c>
      <c r="E25" s="64">
        <v>593000</v>
      </c>
      <c r="F25" s="64">
        <v>85700</v>
      </c>
    </row>
    <row r="26" spans="1:6">
      <c r="A26" s="64" t="s">
        <v>11</v>
      </c>
      <c r="B26" s="64" t="s">
        <v>12</v>
      </c>
      <c r="C26" s="66">
        <v>42099</v>
      </c>
      <c r="D26" s="64">
        <v>22</v>
      </c>
      <c r="E26" s="64">
        <v>187000</v>
      </c>
      <c r="F26" s="64">
        <v>39000</v>
      </c>
    </row>
    <row r="27" spans="1:6">
      <c r="A27" s="64" t="s">
        <v>13</v>
      </c>
      <c r="B27" s="64" t="s">
        <v>14</v>
      </c>
      <c r="C27" s="66">
        <v>42040</v>
      </c>
      <c r="D27" s="64">
        <v>20</v>
      </c>
      <c r="E27" s="64">
        <v>208500</v>
      </c>
      <c r="F27" s="64">
        <v>75000</v>
      </c>
    </row>
  </sheetData>
  <sheetProtection insertColumns="0" insertRows="0"/>
  <mergeCells count="1">
    <mergeCell ref="A1:F1"/>
  </mergeCells>
  <phoneticPr fontId="4" type="noConversion"/>
  <conditionalFormatting sqref="A4:F14">
    <cfRule type="expression" dxfId="1" priority="1">
      <formula>OR($E4=MAX($E$4:$E$14),$F4=MAX($F$4:$F$14))</formula>
    </cfRule>
  </conditionalFormatting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"/>
  <sheetViews>
    <sheetView windowProtection="1" workbookViewId="0">
      <selection sqref="A1:I1"/>
    </sheetView>
  </sheetViews>
  <sheetFormatPr defaultRowHeight="16.5"/>
  <sheetData>
    <row r="1" spans="1:9" ht="20.25">
      <c r="A1" s="80" t="s">
        <v>233</v>
      </c>
      <c r="B1" s="80"/>
      <c r="C1" s="80"/>
      <c r="D1" s="80"/>
      <c r="E1" s="80"/>
      <c r="F1" s="80"/>
      <c r="G1" s="80"/>
      <c r="H1" s="80"/>
      <c r="I1" s="80"/>
    </row>
    <row r="3" spans="1:9">
      <c r="A3" s="67" t="s">
        <v>234</v>
      </c>
      <c r="B3" s="68" t="s">
        <v>235</v>
      </c>
      <c r="C3" s="68" t="s">
        <v>236</v>
      </c>
      <c r="D3" s="68" t="s">
        <v>237</v>
      </c>
      <c r="E3" s="68" t="s">
        <v>238</v>
      </c>
      <c r="F3" s="68" t="s">
        <v>239</v>
      </c>
      <c r="G3" s="68" t="s">
        <v>240</v>
      </c>
      <c r="H3" s="68" t="s">
        <v>241</v>
      </c>
      <c r="I3" s="69" t="s">
        <v>242</v>
      </c>
    </row>
    <row r="4" spans="1:9">
      <c r="A4" s="70" t="s">
        <v>243</v>
      </c>
      <c r="B4" s="71" t="s">
        <v>244</v>
      </c>
      <c r="C4" s="77">
        <v>80</v>
      </c>
      <c r="D4" s="77">
        <v>78</v>
      </c>
      <c r="E4" s="77">
        <v>82</v>
      </c>
      <c r="F4" s="77">
        <v>90</v>
      </c>
      <c r="G4" s="77">
        <v>81</v>
      </c>
      <c r="H4" s="71">
        <f>SUM(C4:G4)</f>
        <v>411</v>
      </c>
      <c r="I4" s="74">
        <f>AVERAGE(C4:G4)</f>
        <v>82.2</v>
      </c>
    </row>
    <row r="5" spans="1:9">
      <c r="A5" s="70" t="s">
        <v>245</v>
      </c>
      <c r="B5" s="71" t="s">
        <v>246</v>
      </c>
      <c r="C5" s="77">
        <v>64</v>
      </c>
      <c r="D5" s="77">
        <v>67</v>
      </c>
      <c r="E5" s="77">
        <v>67</v>
      </c>
      <c r="F5" s="77">
        <v>81</v>
      </c>
      <c r="G5" s="77">
        <v>55</v>
      </c>
      <c r="H5" s="71">
        <f t="shared" ref="H5:H20" si="0">SUM(C5:G5)</f>
        <v>334</v>
      </c>
      <c r="I5" s="74">
        <f t="shared" ref="I5:I20" si="1">AVERAGE(C5:G5)</f>
        <v>66.8</v>
      </c>
    </row>
    <row r="6" spans="1:9">
      <c r="A6" s="70" t="s">
        <v>247</v>
      </c>
      <c r="B6" s="71" t="s">
        <v>244</v>
      </c>
      <c r="C6" s="77">
        <v>92</v>
      </c>
      <c r="D6" s="77">
        <v>90</v>
      </c>
      <c r="E6" s="77">
        <v>94</v>
      </c>
      <c r="F6" s="77">
        <v>93</v>
      </c>
      <c r="G6" s="77">
        <v>95</v>
      </c>
      <c r="H6" s="71">
        <f t="shared" si="0"/>
        <v>464</v>
      </c>
      <c r="I6" s="74">
        <f t="shared" si="1"/>
        <v>92.8</v>
      </c>
    </row>
    <row r="7" spans="1:9">
      <c r="A7" s="70" t="s">
        <v>248</v>
      </c>
      <c r="B7" s="71" t="s">
        <v>244</v>
      </c>
      <c r="C7" s="77">
        <v>86</v>
      </c>
      <c r="D7" s="77">
        <v>84</v>
      </c>
      <c r="E7" s="77">
        <v>85</v>
      </c>
      <c r="F7" s="77">
        <v>91</v>
      </c>
      <c r="G7" s="77">
        <v>87</v>
      </c>
      <c r="H7" s="71">
        <f t="shared" si="0"/>
        <v>433</v>
      </c>
      <c r="I7" s="74">
        <f t="shared" si="1"/>
        <v>86.6</v>
      </c>
    </row>
    <row r="8" spans="1:9">
      <c r="A8" s="70" t="s">
        <v>249</v>
      </c>
      <c r="B8" s="71" t="s">
        <v>246</v>
      </c>
      <c r="C8" s="77">
        <v>81</v>
      </c>
      <c r="D8" s="77">
        <v>84</v>
      </c>
      <c r="E8" s="77">
        <v>78</v>
      </c>
      <c r="F8" s="77">
        <v>81</v>
      </c>
      <c r="G8" s="77">
        <v>90</v>
      </c>
      <c r="H8" s="71">
        <f t="shared" si="0"/>
        <v>414</v>
      </c>
      <c r="I8" s="74">
        <f t="shared" si="1"/>
        <v>82.8</v>
      </c>
    </row>
    <row r="9" spans="1:9">
      <c r="A9" s="70" t="s">
        <v>250</v>
      </c>
      <c r="B9" s="71" t="s">
        <v>246</v>
      </c>
      <c r="C9" s="77">
        <v>77</v>
      </c>
      <c r="D9" s="77">
        <v>80</v>
      </c>
      <c r="E9" s="77">
        <v>81</v>
      </c>
      <c r="F9" s="77">
        <v>83</v>
      </c>
      <c r="G9" s="77">
        <v>84</v>
      </c>
      <c r="H9" s="71">
        <f t="shared" si="0"/>
        <v>405</v>
      </c>
      <c r="I9" s="74">
        <f t="shared" si="1"/>
        <v>81</v>
      </c>
    </row>
    <row r="10" spans="1:9">
      <c r="A10" s="70" t="s">
        <v>251</v>
      </c>
      <c r="B10" s="71" t="s">
        <v>244</v>
      </c>
      <c r="C10" s="77">
        <v>95</v>
      </c>
      <c r="D10" s="77">
        <v>93</v>
      </c>
      <c r="E10" s="77">
        <v>95</v>
      </c>
      <c r="F10" s="77">
        <v>96</v>
      </c>
      <c r="G10" s="77">
        <v>97</v>
      </c>
      <c r="H10" s="71">
        <f t="shared" si="0"/>
        <v>476</v>
      </c>
      <c r="I10" s="74">
        <f t="shared" si="1"/>
        <v>95.2</v>
      </c>
    </row>
    <row r="11" spans="1:9">
      <c r="A11" s="70" t="s">
        <v>252</v>
      </c>
      <c r="B11" s="71" t="s">
        <v>246</v>
      </c>
      <c r="C11" s="77">
        <v>93</v>
      </c>
      <c r="D11" s="77">
        <v>91</v>
      </c>
      <c r="E11" s="77">
        <v>92</v>
      </c>
      <c r="F11" s="77">
        <v>94</v>
      </c>
      <c r="G11" s="77">
        <v>95</v>
      </c>
      <c r="H11" s="71">
        <f t="shared" si="0"/>
        <v>465</v>
      </c>
      <c r="I11" s="74">
        <f t="shared" si="1"/>
        <v>93</v>
      </c>
    </row>
    <row r="12" spans="1:9">
      <c r="A12" s="70" t="s">
        <v>253</v>
      </c>
      <c r="B12" s="71" t="s">
        <v>244</v>
      </c>
      <c r="C12" s="77">
        <v>61</v>
      </c>
      <c r="D12" s="77">
        <v>64</v>
      </c>
      <c r="E12" s="77">
        <v>61</v>
      </c>
      <c r="F12" s="77">
        <v>64</v>
      </c>
      <c r="G12" s="77">
        <v>63</v>
      </c>
      <c r="H12" s="71">
        <f t="shared" si="0"/>
        <v>313</v>
      </c>
      <c r="I12" s="74">
        <f t="shared" si="1"/>
        <v>62.6</v>
      </c>
    </row>
    <row r="13" spans="1:9">
      <c r="A13" s="70" t="s">
        <v>254</v>
      </c>
      <c r="B13" s="71" t="s">
        <v>246</v>
      </c>
      <c r="C13" s="77">
        <v>57</v>
      </c>
      <c r="D13" s="77">
        <v>60</v>
      </c>
      <c r="E13" s="77">
        <v>80</v>
      </c>
      <c r="F13" s="77">
        <v>64</v>
      </c>
      <c r="G13" s="77">
        <v>62</v>
      </c>
      <c r="H13" s="71">
        <f t="shared" si="0"/>
        <v>323</v>
      </c>
      <c r="I13" s="74">
        <f t="shared" si="1"/>
        <v>64.599999999999994</v>
      </c>
    </row>
    <row r="14" spans="1:9">
      <c r="A14" s="70" t="s">
        <v>255</v>
      </c>
      <c r="B14" s="71" t="s">
        <v>244</v>
      </c>
      <c r="C14" s="77">
        <v>94</v>
      </c>
      <c r="D14" s="77">
        <v>92</v>
      </c>
      <c r="E14" s="77">
        <v>94</v>
      </c>
      <c r="F14" s="77">
        <v>95</v>
      </c>
      <c r="G14" s="77">
        <v>97</v>
      </c>
      <c r="H14" s="71">
        <f t="shared" si="0"/>
        <v>472</v>
      </c>
      <c r="I14" s="74">
        <f t="shared" si="1"/>
        <v>94.4</v>
      </c>
    </row>
    <row r="15" spans="1:9">
      <c r="A15" s="70" t="s">
        <v>256</v>
      </c>
      <c r="B15" s="71" t="s">
        <v>246</v>
      </c>
      <c r="C15" s="77">
        <v>83</v>
      </c>
      <c r="D15" s="77">
        <v>86</v>
      </c>
      <c r="E15" s="77">
        <v>86</v>
      </c>
      <c r="F15" s="77">
        <v>85</v>
      </c>
      <c r="G15" s="77">
        <v>81</v>
      </c>
      <c r="H15" s="71">
        <f t="shared" si="0"/>
        <v>421</v>
      </c>
      <c r="I15" s="74">
        <f t="shared" si="1"/>
        <v>84.2</v>
      </c>
    </row>
    <row r="16" spans="1:9">
      <c r="A16" s="70" t="s">
        <v>257</v>
      </c>
      <c r="B16" s="71" t="s">
        <v>246</v>
      </c>
      <c r="C16" s="77">
        <v>75</v>
      </c>
      <c r="D16" s="77">
        <v>78</v>
      </c>
      <c r="E16" s="77">
        <v>76</v>
      </c>
      <c r="F16" s="77">
        <v>81</v>
      </c>
      <c r="G16" s="77">
        <v>75</v>
      </c>
      <c r="H16" s="71">
        <f t="shared" si="0"/>
        <v>385</v>
      </c>
      <c r="I16" s="74">
        <f t="shared" si="1"/>
        <v>77</v>
      </c>
    </row>
    <row r="17" spans="1:9">
      <c r="A17" s="70" t="s">
        <v>258</v>
      </c>
      <c r="B17" s="71" t="s">
        <v>244</v>
      </c>
      <c r="C17" s="77">
        <v>88</v>
      </c>
      <c r="D17" s="77">
        <v>86</v>
      </c>
      <c r="E17" s="77">
        <v>88</v>
      </c>
      <c r="F17" s="77">
        <v>90</v>
      </c>
      <c r="G17" s="77">
        <v>77</v>
      </c>
      <c r="H17" s="71">
        <f t="shared" si="0"/>
        <v>429</v>
      </c>
      <c r="I17" s="74">
        <f t="shared" si="1"/>
        <v>85.8</v>
      </c>
    </row>
    <row r="18" spans="1:9">
      <c r="A18" s="70" t="s">
        <v>259</v>
      </c>
      <c r="B18" s="71" t="s">
        <v>246</v>
      </c>
      <c r="C18" s="77">
        <v>99</v>
      </c>
      <c r="D18" s="77">
        <v>97</v>
      </c>
      <c r="E18" s="77">
        <v>98</v>
      </c>
      <c r="F18" s="77">
        <v>97</v>
      </c>
      <c r="G18" s="77">
        <v>99</v>
      </c>
      <c r="H18" s="71">
        <f t="shared" si="0"/>
        <v>490</v>
      </c>
      <c r="I18" s="74">
        <f t="shared" si="1"/>
        <v>98</v>
      </c>
    </row>
    <row r="19" spans="1:9">
      <c r="A19" s="70" t="s">
        <v>260</v>
      </c>
      <c r="B19" s="71" t="s">
        <v>244</v>
      </c>
      <c r="C19" s="77">
        <v>72</v>
      </c>
      <c r="D19" s="77">
        <v>75</v>
      </c>
      <c r="E19" s="77">
        <v>72</v>
      </c>
      <c r="F19" s="77">
        <v>81</v>
      </c>
      <c r="G19" s="77">
        <v>74</v>
      </c>
      <c r="H19" s="71">
        <f t="shared" si="0"/>
        <v>374</v>
      </c>
      <c r="I19" s="74">
        <f t="shared" si="1"/>
        <v>74.8</v>
      </c>
    </row>
    <row r="20" spans="1:9">
      <c r="A20" s="72" t="s">
        <v>261</v>
      </c>
      <c r="B20" s="73" t="s">
        <v>246</v>
      </c>
      <c r="C20" s="78">
        <v>69</v>
      </c>
      <c r="D20" s="78">
        <v>72</v>
      </c>
      <c r="E20" s="78">
        <v>80</v>
      </c>
      <c r="F20" s="78">
        <v>77</v>
      </c>
      <c r="G20" s="78">
        <v>65</v>
      </c>
      <c r="H20" s="73">
        <f t="shared" si="0"/>
        <v>363</v>
      </c>
      <c r="I20" s="75">
        <f t="shared" si="1"/>
        <v>72.599999999999994</v>
      </c>
    </row>
    <row r="21" spans="1:9">
      <c r="I21" s="76"/>
    </row>
  </sheetData>
  <sheetProtection sheet="1" objects="1" scenarios="1" insertColumns="0" insertRows="0"/>
  <mergeCells count="1">
    <mergeCell ref="A1:I1"/>
  </mergeCells>
  <phoneticPr fontId="4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9"/>
  <sheetViews>
    <sheetView windowProtection="1" workbookViewId="0"/>
  </sheetViews>
  <sheetFormatPr defaultRowHeight="16.5"/>
  <cols>
    <col min="1" max="3" width="9" style="2"/>
    <col min="4" max="4" width="14.875" style="2" customWidth="1"/>
    <col min="5" max="5" width="9" style="2"/>
    <col min="6" max="6" width="4" style="2" customWidth="1"/>
    <col min="7" max="7" width="9" style="2"/>
    <col min="8" max="8" width="16" style="2" customWidth="1"/>
    <col min="9" max="16384" width="9" style="2"/>
  </cols>
  <sheetData>
    <row r="1" spans="1:11">
      <c r="A1" s="2" t="s">
        <v>24</v>
      </c>
      <c r="G1" s="2" t="s">
        <v>25</v>
      </c>
      <c r="H1" s="3" t="s">
        <v>26</v>
      </c>
      <c r="I1" s="4"/>
      <c r="J1" s="5" t="s">
        <v>27</v>
      </c>
    </row>
    <row r="2" spans="1:11">
      <c r="A2" s="6" t="s">
        <v>28</v>
      </c>
      <c r="B2" s="7" t="s">
        <v>29</v>
      </c>
      <c r="C2" s="7" t="s">
        <v>30</v>
      </c>
      <c r="D2" s="7" t="s">
        <v>31</v>
      </c>
      <c r="G2" s="6" t="s">
        <v>32</v>
      </c>
      <c r="H2" s="6" t="s">
        <v>33</v>
      </c>
      <c r="I2" s="6" t="s">
        <v>34</v>
      </c>
      <c r="J2" s="7" t="s">
        <v>35</v>
      </c>
      <c r="K2" s="7" t="s">
        <v>36</v>
      </c>
    </row>
    <row r="3" spans="1:11">
      <c r="A3" s="6" t="s">
        <v>37</v>
      </c>
      <c r="B3" s="6" t="str">
        <f t="array" ref="B3">SUM(($A$10:$A$29=$A3)*($B$10:$B$29=B$2))&amp;"명"</f>
        <v>1명</v>
      </c>
      <c r="C3" s="6" t="str">
        <f t="array" ref="C3">SUM(($A$10:$A$29=$A3)*($B$10:$B$29=C$2))&amp;"명"</f>
        <v>3명</v>
      </c>
      <c r="D3" s="8">
        <f t="array" ref="D3">PERCENTILE(IF($A$10:$A$29=A3,$E$10:$E$29),0.5)</f>
        <v>87.5</v>
      </c>
      <c r="G3" s="6" t="s">
        <v>38</v>
      </c>
      <c r="H3" s="6" t="s">
        <v>39</v>
      </c>
      <c r="I3" s="9">
        <v>1000</v>
      </c>
      <c r="J3" s="10">
        <f>VLOOKUP(H3,$G$16:$I$20,3,FALSE)</f>
        <v>0.03</v>
      </c>
      <c r="K3" s="9">
        <f>fn지급액(I3,J3)</f>
        <v>1030</v>
      </c>
    </row>
    <row r="4" spans="1:11">
      <c r="A4" s="6" t="s">
        <v>40</v>
      </c>
      <c r="B4" s="6" t="str">
        <f t="array" ref="B4">SUM(($A$10:$A$29=$A4)*($B$10:$B$29=B$2))&amp;"명"</f>
        <v>2명</v>
      </c>
      <c r="C4" s="6" t="str">
        <f t="array" ref="C4">SUM(($A$10:$A$29=$A4)*($B$10:$B$29=C$2))&amp;"명"</f>
        <v>4명</v>
      </c>
      <c r="D4" s="8">
        <f t="array" ref="D4">PERCENTILE(IF($A$10:$A$29=A4,$E$10:$E$29),0.5)</f>
        <v>86.5</v>
      </c>
      <c r="G4" s="6" t="s">
        <v>41</v>
      </c>
      <c r="H4" s="6" t="s">
        <v>42</v>
      </c>
      <c r="I4" s="9">
        <v>1500</v>
      </c>
      <c r="J4" s="10">
        <f t="shared" ref="J4:J11" si="0">VLOOKUP(H4,$G$16:$I$20,3,FALSE)</f>
        <v>0.06</v>
      </c>
      <c r="K4" s="9">
        <f t="shared" ref="K4" si="1">fn지급액(I4,J4)</f>
        <v>1590</v>
      </c>
    </row>
    <row r="5" spans="1:11">
      <c r="A5" s="6" t="s">
        <v>43</v>
      </c>
      <c r="B5" s="6" t="str">
        <f t="array" ref="B5">SUM(($A$10:$A$29=$A5)*($B$10:$B$29=B$2))&amp;"명"</f>
        <v>4명</v>
      </c>
      <c r="C5" s="6" t="str">
        <f t="array" ref="C5">SUM(($A$10:$A$29=$A5)*($B$10:$B$29=C$2))&amp;"명"</f>
        <v>2명</v>
      </c>
      <c r="D5" s="8">
        <f t="array" ref="D5">PERCENTILE(IF($A$10:$A$29=A5,$E$10:$E$29),0.5)</f>
        <v>85.5</v>
      </c>
      <c r="G5" s="6" t="s">
        <v>44</v>
      </c>
      <c r="H5" s="6" t="s">
        <v>45</v>
      </c>
      <c r="I5" s="9">
        <v>1800</v>
      </c>
      <c r="J5" s="10">
        <f t="shared" si="0"/>
        <v>0.08</v>
      </c>
      <c r="K5" s="9">
        <f t="shared" ref="K5" si="2">fn지급액(I5,J5)</f>
        <v>1944.0000000000002</v>
      </c>
    </row>
    <row r="6" spans="1:11">
      <c r="A6" s="6" t="s">
        <v>46</v>
      </c>
      <c r="B6" s="6" t="str">
        <f t="array" ref="B6">SUM(($A$10:$A$29=$A6)*($B$10:$B$29=B$2))&amp;"명"</f>
        <v>1명</v>
      </c>
      <c r="C6" s="6" t="str">
        <f t="array" ref="C6">SUM(($A$10:$A$29=$A6)*($B$10:$B$29=C$2))&amp;"명"</f>
        <v>3명</v>
      </c>
      <c r="D6" s="8">
        <f t="array" ref="D6">PERCENTILE(IF($A$10:$A$29=A6,$E$10:$E$29),0.5)</f>
        <v>88</v>
      </c>
      <c r="G6" s="6" t="s">
        <v>47</v>
      </c>
      <c r="H6" s="6" t="s">
        <v>42</v>
      </c>
      <c r="I6" s="9">
        <v>1500</v>
      </c>
      <c r="J6" s="10">
        <f t="shared" si="0"/>
        <v>0.06</v>
      </c>
      <c r="K6" s="9">
        <f t="shared" ref="K6:K11" si="3">fn지급액(I6,J6)</f>
        <v>1590</v>
      </c>
    </row>
    <row r="7" spans="1:11">
      <c r="A7" s="11"/>
      <c r="B7" s="12"/>
      <c r="C7" s="12"/>
      <c r="G7" s="6" t="s">
        <v>48</v>
      </c>
      <c r="H7" s="6" t="s">
        <v>49</v>
      </c>
      <c r="I7" s="9">
        <v>1200</v>
      </c>
      <c r="J7" s="10">
        <f t="shared" si="0"/>
        <v>0.05</v>
      </c>
      <c r="K7" s="9">
        <f t="shared" si="3"/>
        <v>1260</v>
      </c>
    </row>
    <row r="8" spans="1:11">
      <c r="A8" s="2" t="s">
        <v>50</v>
      </c>
      <c r="C8" s="2" t="s">
        <v>51</v>
      </c>
      <c r="G8" s="6" t="s">
        <v>52</v>
      </c>
      <c r="H8" s="6" t="s">
        <v>53</v>
      </c>
      <c r="I8" s="9">
        <v>2100</v>
      </c>
      <c r="J8" s="10">
        <f t="shared" si="0"/>
        <v>0.1</v>
      </c>
      <c r="K8" s="9">
        <f t="shared" si="3"/>
        <v>2310</v>
      </c>
    </row>
    <row r="9" spans="1:11">
      <c r="A9" s="13" t="s">
        <v>28</v>
      </c>
      <c r="B9" s="14" t="s">
        <v>54</v>
      </c>
      <c r="C9" s="14" t="s">
        <v>55</v>
      </c>
      <c r="D9" s="14" t="s">
        <v>56</v>
      </c>
      <c r="E9" s="15" t="s">
        <v>57</v>
      </c>
      <c r="G9" s="6" t="s">
        <v>58</v>
      </c>
      <c r="H9" s="6" t="s">
        <v>49</v>
      </c>
      <c r="I9" s="9">
        <v>1200</v>
      </c>
      <c r="J9" s="10">
        <f t="shared" si="0"/>
        <v>0.05</v>
      </c>
      <c r="K9" s="9">
        <f t="shared" si="3"/>
        <v>1260</v>
      </c>
    </row>
    <row r="10" spans="1:11">
      <c r="A10" s="13" t="s">
        <v>46</v>
      </c>
      <c r="B10" s="14" t="s">
        <v>29</v>
      </c>
      <c r="C10" s="14" t="s">
        <v>59</v>
      </c>
      <c r="D10" s="16" t="s">
        <v>60</v>
      </c>
      <c r="E10" s="17">
        <v>77</v>
      </c>
      <c r="G10" s="6" t="s">
        <v>61</v>
      </c>
      <c r="H10" s="6" t="s">
        <v>53</v>
      </c>
      <c r="I10" s="9">
        <v>2100</v>
      </c>
      <c r="J10" s="10">
        <f t="shared" si="0"/>
        <v>0.1</v>
      </c>
      <c r="K10" s="9">
        <f t="shared" si="3"/>
        <v>2310</v>
      </c>
    </row>
    <row r="11" spans="1:11">
      <c r="A11" s="13" t="s">
        <v>43</v>
      </c>
      <c r="B11" s="14" t="s">
        <v>29</v>
      </c>
      <c r="C11" s="14" t="s">
        <v>62</v>
      </c>
      <c r="D11" s="16" t="s">
        <v>63</v>
      </c>
      <c r="E11" s="17">
        <v>86</v>
      </c>
      <c r="G11" s="6" t="s">
        <v>64</v>
      </c>
      <c r="H11" s="6" t="s">
        <v>39</v>
      </c>
      <c r="I11" s="9">
        <v>1000</v>
      </c>
      <c r="J11" s="10">
        <f t="shared" si="0"/>
        <v>0.03</v>
      </c>
      <c r="K11" s="9">
        <f t="shared" si="3"/>
        <v>1030</v>
      </c>
    </row>
    <row r="12" spans="1:11">
      <c r="A12" s="13" t="s">
        <v>40</v>
      </c>
      <c r="B12" s="14" t="s">
        <v>29</v>
      </c>
      <c r="C12" s="14" t="s">
        <v>65</v>
      </c>
      <c r="D12" s="16" t="s">
        <v>66</v>
      </c>
      <c r="E12" s="17">
        <v>85</v>
      </c>
      <c r="G12" s="81" t="s">
        <v>67</v>
      </c>
      <c r="H12" s="82"/>
      <c r="I12" s="83"/>
      <c r="J12" s="18">
        <v>924</v>
      </c>
      <c r="K12" s="19"/>
    </row>
    <row r="13" spans="1:11">
      <c r="A13" s="13" t="s">
        <v>37</v>
      </c>
      <c r="B13" s="14" t="s">
        <v>29</v>
      </c>
      <c r="C13" s="14" t="s">
        <v>68</v>
      </c>
      <c r="D13" s="16" t="s">
        <v>66</v>
      </c>
      <c r="E13" s="17">
        <v>92</v>
      </c>
    </row>
    <row r="14" spans="1:11">
      <c r="A14" s="13" t="s">
        <v>37</v>
      </c>
      <c r="B14" s="14" t="s">
        <v>69</v>
      </c>
      <c r="C14" s="14" t="s">
        <v>70</v>
      </c>
      <c r="D14" s="16" t="s">
        <v>66</v>
      </c>
      <c r="E14" s="17">
        <v>95</v>
      </c>
      <c r="G14" s="20" t="s">
        <v>71</v>
      </c>
      <c r="H14" s="20" t="s">
        <v>72</v>
      </c>
    </row>
    <row r="15" spans="1:11">
      <c r="A15" s="13" t="s">
        <v>46</v>
      </c>
      <c r="B15" s="14" t="s">
        <v>69</v>
      </c>
      <c r="C15" s="14" t="s">
        <v>73</v>
      </c>
      <c r="D15" s="16" t="s">
        <v>66</v>
      </c>
      <c r="E15" s="17">
        <v>89</v>
      </c>
      <c r="G15" s="6" t="s">
        <v>33</v>
      </c>
      <c r="H15" s="6" t="s">
        <v>34</v>
      </c>
      <c r="I15" s="8" t="s">
        <v>74</v>
      </c>
    </row>
    <row r="16" spans="1:11">
      <c r="A16" s="13" t="s">
        <v>43</v>
      </c>
      <c r="B16" s="14" t="s">
        <v>30</v>
      </c>
      <c r="C16" s="14" t="s">
        <v>75</v>
      </c>
      <c r="D16" s="16" t="s">
        <v>76</v>
      </c>
      <c r="E16" s="17">
        <v>95</v>
      </c>
      <c r="G16" s="6" t="s">
        <v>53</v>
      </c>
      <c r="H16" s="9">
        <v>2100</v>
      </c>
      <c r="I16" s="10">
        <v>0.1</v>
      </c>
    </row>
    <row r="17" spans="1:10">
      <c r="A17" s="13" t="s">
        <v>40</v>
      </c>
      <c r="B17" s="14" t="s">
        <v>29</v>
      </c>
      <c r="C17" s="14" t="s">
        <v>77</v>
      </c>
      <c r="D17" s="16" t="s">
        <v>78</v>
      </c>
      <c r="E17" s="15">
        <v>98</v>
      </c>
      <c r="G17" s="6" t="s">
        <v>45</v>
      </c>
      <c r="H17" s="9">
        <v>1800</v>
      </c>
      <c r="I17" s="10">
        <v>0.08</v>
      </c>
      <c r="J17" s="21"/>
    </row>
    <row r="18" spans="1:10">
      <c r="A18" s="13" t="s">
        <v>46</v>
      </c>
      <c r="B18" s="14" t="s">
        <v>30</v>
      </c>
      <c r="C18" s="14" t="s">
        <v>79</v>
      </c>
      <c r="D18" s="16" t="s">
        <v>76</v>
      </c>
      <c r="E18" s="17">
        <v>87</v>
      </c>
      <c r="G18" s="6" t="s">
        <v>42</v>
      </c>
      <c r="H18" s="9">
        <v>1500</v>
      </c>
      <c r="I18" s="10">
        <v>0.06</v>
      </c>
      <c r="J18" s="21"/>
    </row>
    <row r="19" spans="1:10">
      <c r="A19" s="13" t="s">
        <v>40</v>
      </c>
      <c r="B19" s="14" t="s">
        <v>30</v>
      </c>
      <c r="C19" s="14" t="s">
        <v>80</v>
      </c>
      <c r="D19" s="16" t="s">
        <v>81</v>
      </c>
      <c r="E19" s="17">
        <v>93</v>
      </c>
      <c r="G19" s="6" t="s">
        <v>49</v>
      </c>
      <c r="H19" s="9">
        <v>1200</v>
      </c>
      <c r="I19" s="10">
        <v>0.05</v>
      </c>
      <c r="J19" s="21"/>
    </row>
    <row r="20" spans="1:10">
      <c r="A20" s="13" t="s">
        <v>40</v>
      </c>
      <c r="B20" s="14" t="s">
        <v>69</v>
      </c>
      <c r="C20" s="14" t="s">
        <v>82</v>
      </c>
      <c r="D20" s="16" t="s">
        <v>83</v>
      </c>
      <c r="E20" s="17">
        <v>88</v>
      </c>
      <c r="G20" s="6" t="s">
        <v>39</v>
      </c>
      <c r="H20" s="9">
        <v>1000</v>
      </c>
      <c r="I20" s="10">
        <v>0.03</v>
      </c>
      <c r="J20" s="21"/>
    </row>
    <row r="21" spans="1:10">
      <c r="A21" s="13" t="s">
        <v>40</v>
      </c>
      <c r="B21" s="14" t="s">
        <v>69</v>
      </c>
      <c r="C21" s="14" t="s">
        <v>84</v>
      </c>
      <c r="D21" s="16" t="s">
        <v>85</v>
      </c>
      <c r="E21" s="17">
        <v>69</v>
      </c>
      <c r="J21" s="21"/>
    </row>
    <row r="22" spans="1:10">
      <c r="A22" s="13" t="s">
        <v>40</v>
      </c>
      <c r="B22" s="14" t="s">
        <v>30</v>
      </c>
      <c r="C22" s="14" t="s">
        <v>86</v>
      </c>
      <c r="D22" s="16" t="s">
        <v>87</v>
      </c>
      <c r="E22" s="17">
        <v>78</v>
      </c>
      <c r="G22" s="2" t="s">
        <v>88</v>
      </c>
    </row>
    <row r="23" spans="1:10">
      <c r="A23" s="13" t="s">
        <v>43</v>
      </c>
      <c r="B23" s="14" t="s">
        <v>29</v>
      </c>
      <c r="C23" s="14" t="s">
        <v>89</v>
      </c>
      <c r="D23" s="16" t="s">
        <v>76</v>
      </c>
      <c r="E23" s="17">
        <v>83</v>
      </c>
      <c r="G23" s="6" t="s">
        <v>33</v>
      </c>
      <c r="H23" s="7" t="s">
        <v>90</v>
      </c>
    </row>
    <row r="24" spans="1:10">
      <c r="A24" s="13" t="s">
        <v>43</v>
      </c>
      <c r="B24" s="14" t="s">
        <v>30</v>
      </c>
      <c r="C24" s="14" t="s">
        <v>91</v>
      </c>
      <c r="D24" s="16" t="s">
        <v>92</v>
      </c>
      <c r="E24" s="17">
        <v>85</v>
      </c>
      <c r="G24" s="6" t="s">
        <v>53</v>
      </c>
      <c r="H24" s="8">
        <f t="array" ref="H24">ROUNDDOWN(SUM(($H$3:$H$11=G24)*($I$3:$I$11*$J$3:$J$11))/$J$12,2)</f>
        <v>0.45</v>
      </c>
    </row>
    <row r="25" spans="1:10">
      <c r="A25" s="13" t="s">
        <v>43</v>
      </c>
      <c r="B25" s="14" t="s">
        <v>29</v>
      </c>
      <c r="C25" s="14" t="s">
        <v>93</v>
      </c>
      <c r="D25" s="16" t="s">
        <v>78</v>
      </c>
      <c r="E25" s="15">
        <v>78</v>
      </c>
      <c r="G25" s="6" t="s">
        <v>45</v>
      </c>
      <c r="H25" s="8">
        <f t="array" ref="H25">ROUNDDOWN(SUM(($H$3:$H$11=G25)*($I$3:$I$11*$J$3:$J$11))/$J$12,2)</f>
        <v>0.15</v>
      </c>
    </row>
    <row r="26" spans="1:10">
      <c r="A26" s="13" t="s">
        <v>43</v>
      </c>
      <c r="B26" s="14" t="s">
        <v>29</v>
      </c>
      <c r="C26" s="14" t="s">
        <v>94</v>
      </c>
      <c r="D26" s="16" t="s">
        <v>78</v>
      </c>
      <c r="E26" s="15">
        <v>100</v>
      </c>
      <c r="G26" s="6" t="s">
        <v>42</v>
      </c>
      <c r="H26" s="8">
        <f t="array" ref="H26">ROUNDDOWN(SUM(($H$3:$H$11=G26)*($I$3:$I$11*$J$3:$J$11))/$J$12,2)</f>
        <v>0.19</v>
      </c>
    </row>
    <row r="27" spans="1:10">
      <c r="A27" s="13" t="s">
        <v>46</v>
      </c>
      <c r="B27" s="14" t="s">
        <v>30</v>
      </c>
      <c r="C27" s="14" t="s">
        <v>95</v>
      </c>
      <c r="D27" s="16" t="s">
        <v>76</v>
      </c>
      <c r="E27" s="17">
        <v>90</v>
      </c>
      <c r="G27" s="6" t="s">
        <v>49</v>
      </c>
      <c r="H27" s="8">
        <f t="array" ref="H27">ROUNDDOWN(SUM(($H$3:$H$11=G27)*($I$3:$I$11*$J$3:$J$11))/$J$12,2)</f>
        <v>0.12</v>
      </c>
    </row>
    <row r="28" spans="1:10">
      <c r="A28" s="13" t="s">
        <v>37</v>
      </c>
      <c r="B28" s="14" t="s">
        <v>69</v>
      </c>
      <c r="C28" s="14" t="s">
        <v>96</v>
      </c>
      <c r="D28" s="16" t="s">
        <v>66</v>
      </c>
      <c r="E28" s="17">
        <v>83</v>
      </c>
      <c r="G28" s="6" t="s">
        <v>39</v>
      </c>
      <c r="H28" s="8">
        <f t="array" ref="H28">ROUNDDOWN(SUM(($H$3:$H$11=G28)*($I$3:$I$11*$J$3:$J$11))/$J$12,2)</f>
        <v>0.06</v>
      </c>
    </row>
    <row r="29" spans="1:10">
      <c r="A29" s="13" t="s">
        <v>37</v>
      </c>
      <c r="B29" s="14" t="s">
        <v>69</v>
      </c>
      <c r="C29" s="14" t="s">
        <v>97</v>
      </c>
      <c r="D29" s="16" t="s">
        <v>83</v>
      </c>
      <c r="E29" s="17">
        <v>79</v>
      </c>
    </row>
  </sheetData>
  <mergeCells count="1">
    <mergeCell ref="G12:I12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indowProtection="1" workbookViewId="0"/>
  </sheetViews>
  <sheetFormatPr defaultRowHeight="16.5"/>
  <cols>
    <col min="1" max="1" width="11.125" bestFit="1" customWidth="1"/>
    <col min="2" max="2" width="14.375" bestFit="1" customWidth="1"/>
    <col min="3" max="3" width="11" bestFit="1" customWidth="1"/>
    <col min="4" max="4" width="12" bestFit="1" customWidth="1"/>
    <col min="5" max="6" width="9.375" bestFit="1" customWidth="1"/>
  </cols>
  <sheetData>
    <row r="1" spans="1:6">
      <c r="A1" t="s">
        <v>159</v>
      </c>
      <c r="B1" t="s">
        <v>160</v>
      </c>
      <c r="C1" t="s">
        <v>161</v>
      </c>
      <c r="D1" t="s">
        <v>162</v>
      </c>
      <c r="E1" t="s">
        <v>102</v>
      </c>
      <c r="F1" t="s">
        <v>163</v>
      </c>
    </row>
    <row r="2" spans="1:6">
      <c r="A2" s="62">
        <v>42490</v>
      </c>
      <c r="B2" t="s">
        <v>164</v>
      </c>
      <c r="C2" t="s">
        <v>165</v>
      </c>
      <c r="D2">
        <v>386000</v>
      </c>
      <c r="E2">
        <v>463200</v>
      </c>
      <c r="F2">
        <v>144364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4"/>
  <sheetViews>
    <sheetView windowProtection="1" workbookViewId="0"/>
  </sheetViews>
  <sheetFormatPr defaultRowHeight="16.5"/>
  <cols>
    <col min="1" max="1" width="10.625" style="2" bestFit="1" customWidth="1"/>
    <col min="2" max="2" width="19.5" style="2" bestFit="1" customWidth="1"/>
    <col min="3" max="3" width="11" style="2" bestFit="1" customWidth="1"/>
    <col min="4" max="4" width="10.875" style="2" customWidth="1"/>
    <col min="5" max="5" width="8.375" style="2" customWidth="1"/>
    <col min="6" max="6" width="9.875" style="2" bestFit="1" customWidth="1"/>
    <col min="7" max="7" width="9" style="2"/>
    <col min="8" max="8" width="23.875" style="2" bestFit="1" customWidth="1"/>
    <col min="9" max="9" width="12.375" style="2" customWidth="1"/>
    <col min="10" max="13" width="12.375" style="2" bestFit="1" customWidth="1"/>
    <col min="14" max="14" width="13.625" style="2" bestFit="1" customWidth="1"/>
    <col min="15" max="16384" width="9" style="2"/>
  </cols>
  <sheetData>
    <row r="1" spans="1:14">
      <c r="A1" s="49" t="s">
        <v>159</v>
      </c>
      <c r="B1" s="50" t="s">
        <v>160</v>
      </c>
      <c r="C1" s="50" t="s">
        <v>161</v>
      </c>
      <c r="D1" s="50" t="s">
        <v>162</v>
      </c>
      <c r="E1" s="50" t="s">
        <v>102</v>
      </c>
      <c r="F1" s="51" t="s">
        <v>163</v>
      </c>
    </row>
    <row r="2" spans="1:14">
      <c r="A2" s="54">
        <v>42490</v>
      </c>
      <c r="B2" s="55" t="s">
        <v>164</v>
      </c>
      <c r="C2" s="52" t="s">
        <v>165</v>
      </c>
      <c r="D2" s="52">
        <v>386000</v>
      </c>
      <c r="E2" s="52">
        <v>463200</v>
      </c>
      <c r="F2" s="53">
        <v>144364</v>
      </c>
    </row>
    <row r="3" spans="1:14">
      <c r="A3" s="54">
        <v>42491</v>
      </c>
      <c r="B3" s="55" t="s">
        <v>166</v>
      </c>
      <c r="C3" s="52" t="s">
        <v>167</v>
      </c>
      <c r="D3" s="52">
        <v>737280</v>
      </c>
      <c r="E3" s="52">
        <v>884736</v>
      </c>
      <c r="F3" s="53">
        <v>227082.23999999999</v>
      </c>
      <c r="H3" s="60" t="s">
        <v>228</v>
      </c>
      <c r="I3" s="60" t="s">
        <v>161</v>
      </c>
      <c r="J3"/>
      <c r="K3"/>
      <c r="L3"/>
      <c r="M3"/>
      <c r="N3"/>
    </row>
    <row r="4" spans="1:14">
      <c r="A4" s="54">
        <v>42492</v>
      </c>
      <c r="B4" s="55" t="s">
        <v>168</v>
      </c>
      <c r="C4" s="52" t="s">
        <v>165</v>
      </c>
      <c r="D4" s="52">
        <v>332220</v>
      </c>
      <c r="E4" s="52">
        <v>398664</v>
      </c>
      <c r="F4" s="53">
        <v>102323.76</v>
      </c>
      <c r="H4" s="60" t="s">
        <v>159</v>
      </c>
      <c r="I4" t="s">
        <v>178</v>
      </c>
      <c r="J4" t="s">
        <v>174</v>
      </c>
      <c r="K4" t="s">
        <v>181</v>
      </c>
      <c r="L4" t="s">
        <v>167</v>
      </c>
      <c r="M4" t="s">
        <v>165</v>
      </c>
      <c r="N4" t="s">
        <v>227</v>
      </c>
    </row>
    <row r="5" spans="1:14">
      <c r="A5" s="54">
        <v>42493</v>
      </c>
      <c r="B5" s="55" t="s">
        <v>169</v>
      </c>
      <c r="C5" s="52" t="s">
        <v>167</v>
      </c>
      <c r="D5" s="52">
        <v>233970</v>
      </c>
      <c r="E5" s="52">
        <v>280764</v>
      </c>
      <c r="F5" s="53">
        <v>72062.759999999995</v>
      </c>
      <c r="H5" s="63" t="s">
        <v>229</v>
      </c>
      <c r="I5" s="61"/>
      <c r="J5" s="61"/>
      <c r="K5" s="61"/>
      <c r="L5" s="61"/>
      <c r="M5" s="61">
        <v>386000</v>
      </c>
      <c r="N5" s="61">
        <v>386000</v>
      </c>
    </row>
    <row r="6" spans="1:14">
      <c r="A6" s="54">
        <v>42494</v>
      </c>
      <c r="B6" s="55" t="s">
        <v>170</v>
      </c>
      <c r="C6" s="52" t="s">
        <v>165</v>
      </c>
      <c r="D6" s="52">
        <v>202510</v>
      </c>
      <c r="E6" s="52">
        <v>243012</v>
      </c>
      <c r="F6" s="53">
        <v>62373.08</v>
      </c>
      <c r="H6" s="63" t="s">
        <v>230</v>
      </c>
      <c r="I6" s="61">
        <v>1084290</v>
      </c>
      <c r="J6" s="61">
        <v>814240</v>
      </c>
      <c r="K6" s="61">
        <v>1214650</v>
      </c>
      <c r="L6" s="61">
        <v>2760790</v>
      </c>
      <c r="M6" s="61">
        <v>2823130</v>
      </c>
      <c r="N6" s="61">
        <v>8697100</v>
      </c>
    </row>
    <row r="7" spans="1:14">
      <c r="A7" s="54">
        <v>42495</v>
      </c>
      <c r="B7" s="55" t="s">
        <v>171</v>
      </c>
      <c r="C7" s="52" t="s">
        <v>165</v>
      </c>
      <c r="D7" s="52">
        <v>449190</v>
      </c>
      <c r="E7" s="52">
        <v>539028</v>
      </c>
      <c r="F7" s="53">
        <v>138350.51999999999</v>
      </c>
      <c r="H7" s="63" t="s">
        <v>231</v>
      </c>
      <c r="I7" s="61">
        <v>1591050</v>
      </c>
      <c r="J7" s="61">
        <v>1644380</v>
      </c>
      <c r="K7" s="61">
        <v>1200890</v>
      </c>
      <c r="L7" s="61">
        <v>1830730</v>
      </c>
      <c r="M7" s="61">
        <v>2204720</v>
      </c>
      <c r="N7" s="61">
        <v>8471770</v>
      </c>
    </row>
    <row r="8" spans="1:14">
      <c r="A8" s="54">
        <v>42496</v>
      </c>
      <c r="B8" s="55" t="s">
        <v>172</v>
      </c>
      <c r="C8" s="52" t="s">
        <v>167</v>
      </c>
      <c r="D8" s="52">
        <v>493810</v>
      </c>
      <c r="E8" s="52">
        <v>592572</v>
      </c>
      <c r="F8" s="53">
        <v>152093.48000000001</v>
      </c>
      <c r="H8" s="63" t="s">
        <v>232</v>
      </c>
      <c r="I8" s="61">
        <v>111850</v>
      </c>
      <c r="J8" s="61"/>
      <c r="K8" s="61">
        <v>1056980</v>
      </c>
      <c r="L8" s="61">
        <v>575140</v>
      </c>
      <c r="M8" s="61">
        <v>580940</v>
      </c>
      <c r="N8" s="61">
        <v>2324910</v>
      </c>
    </row>
    <row r="9" spans="1:14">
      <c r="A9" s="54">
        <v>42497</v>
      </c>
      <c r="B9" s="55" t="s">
        <v>173</v>
      </c>
      <c r="C9" s="52" t="s">
        <v>174</v>
      </c>
      <c r="D9" s="52">
        <v>163400</v>
      </c>
      <c r="E9" s="52">
        <v>196080</v>
      </c>
      <c r="F9" s="53">
        <v>50327.199999999997</v>
      </c>
      <c r="H9" s="63" t="s">
        <v>227</v>
      </c>
      <c r="I9" s="61">
        <v>2787190</v>
      </c>
      <c r="J9" s="61">
        <v>2458620</v>
      </c>
      <c r="K9" s="61">
        <v>3472520</v>
      </c>
      <c r="L9" s="61">
        <v>5166660</v>
      </c>
      <c r="M9" s="61">
        <v>5994790</v>
      </c>
      <c r="N9" s="61">
        <v>19879780</v>
      </c>
    </row>
    <row r="10" spans="1:14">
      <c r="A10" s="54">
        <v>42498</v>
      </c>
      <c r="B10" s="55" t="s">
        <v>175</v>
      </c>
      <c r="C10" s="52" t="s">
        <v>165</v>
      </c>
      <c r="D10" s="52">
        <v>276840</v>
      </c>
      <c r="E10" s="52">
        <v>332208</v>
      </c>
      <c r="F10" s="53">
        <v>85266.72</v>
      </c>
      <c r="H10"/>
      <c r="I10"/>
      <c r="J10"/>
      <c r="K10"/>
      <c r="L10"/>
      <c r="M10"/>
      <c r="N10"/>
    </row>
    <row r="11" spans="1:14">
      <c r="A11" s="54">
        <v>42499</v>
      </c>
      <c r="B11" s="55" t="s">
        <v>176</v>
      </c>
      <c r="C11" s="52" t="s">
        <v>165</v>
      </c>
      <c r="D11" s="52">
        <v>286560</v>
      </c>
      <c r="E11" s="52">
        <v>343872</v>
      </c>
      <c r="F11" s="53">
        <v>88260.479999999996</v>
      </c>
      <c r="H11"/>
      <c r="I11"/>
      <c r="J11"/>
      <c r="K11"/>
      <c r="L11"/>
      <c r="M11"/>
      <c r="N11"/>
    </row>
    <row r="12" spans="1:14">
      <c r="A12" s="54">
        <v>42500</v>
      </c>
      <c r="B12" s="55" t="s">
        <v>177</v>
      </c>
      <c r="C12" s="52" t="s">
        <v>178</v>
      </c>
      <c r="D12" s="52">
        <v>153600</v>
      </c>
      <c r="E12" s="52">
        <v>184320</v>
      </c>
      <c r="F12" s="53">
        <v>47308.800000000003</v>
      </c>
      <c r="H12"/>
      <c r="I12"/>
      <c r="J12"/>
      <c r="K12"/>
      <c r="L12"/>
      <c r="M12"/>
      <c r="N12"/>
    </row>
    <row r="13" spans="1:14">
      <c r="A13" s="54">
        <v>42501</v>
      </c>
      <c r="B13" s="55" t="s">
        <v>179</v>
      </c>
      <c r="C13" s="52" t="s">
        <v>174</v>
      </c>
      <c r="D13" s="52">
        <v>193680</v>
      </c>
      <c r="E13" s="52">
        <v>232416</v>
      </c>
      <c r="F13" s="53">
        <v>59653.440000000002</v>
      </c>
      <c r="H13"/>
      <c r="I13"/>
      <c r="J13"/>
      <c r="K13"/>
      <c r="L13"/>
      <c r="M13"/>
      <c r="N13"/>
    </row>
    <row r="14" spans="1:14">
      <c r="A14" s="54">
        <v>42502</v>
      </c>
      <c r="B14" s="55" t="s">
        <v>180</v>
      </c>
      <c r="C14" s="52" t="s">
        <v>181</v>
      </c>
      <c r="D14" s="52">
        <v>162990</v>
      </c>
      <c r="E14" s="52">
        <v>195588</v>
      </c>
      <c r="F14" s="53">
        <v>50200.92</v>
      </c>
      <c r="H14"/>
      <c r="I14"/>
      <c r="J14"/>
      <c r="K14"/>
      <c r="L14"/>
      <c r="M14"/>
      <c r="N14"/>
    </row>
    <row r="15" spans="1:14">
      <c r="A15" s="54">
        <v>42503</v>
      </c>
      <c r="B15" s="55" t="s">
        <v>182</v>
      </c>
      <c r="C15" s="52" t="s">
        <v>167</v>
      </c>
      <c r="D15" s="52">
        <v>353800</v>
      </c>
      <c r="E15" s="52">
        <v>424560</v>
      </c>
      <c r="F15" s="53">
        <v>108970.4</v>
      </c>
      <c r="H15"/>
      <c r="I15"/>
      <c r="J15"/>
      <c r="K15"/>
      <c r="L15"/>
      <c r="M15"/>
      <c r="N15"/>
    </row>
    <row r="16" spans="1:14">
      <c r="A16" s="54">
        <v>42504</v>
      </c>
      <c r="B16" s="55" t="s">
        <v>183</v>
      </c>
      <c r="C16" s="52" t="s">
        <v>165</v>
      </c>
      <c r="D16" s="52">
        <v>229920</v>
      </c>
      <c r="E16" s="52">
        <v>275904</v>
      </c>
      <c r="F16" s="53">
        <v>70815.360000000001</v>
      </c>
      <c r="H16"/>
      <c r="I16"/>
      <c r="J16"/>
      <c r="K16"/>
      <c r="L16"/>
      <c r="M16"/>
      <c r="N16"/>
    </row>
    <row r="17" spans="1:14">
      <c r="A17" s="54">
        <v>42505</v>
      </c>
      <c r="B17" s="55" t="s">
        <v>184</v>
      </c>
      <c r="C17" s="52" t="s">
        <v>165</v>
      </c>
      <c r="D17" s="52">
        <v>199600</v>
      </c>
      <c r="E17" s="52">
        <v>239520</v>
      </c>
      <c r="F17" s="53">
        <v>61476.800000000003</v>
      </c>
      <c r="H17"/>
      <c r="I17"/>
      <c r="J17"/>
      <c r="K17"/>
      <c r="L17"/>
      <c r="M17"/>
      <c r="N17"/>
    </row>
    <row r="18" spans="1:14">
      <c r="A18" s="54">
        <v>42506</v>
      </c>
      <c r="B18" s="55" t="s">
        <v>185</v>
      </c>
      <c r="C18" s="52" t="s">
        <v>178</v>
      </c>
      <c r="D18" s="52">
        <v>558900</v>
      </c>
      <c r="E18" s="52">
        <v>670680</v>
      </c>
      <c r="F18" s="53">
        <v>172141.2</v>
      </c>
      <c r="H18"/>
      <c r="I18"/>
      <c r="J18"/>
      <c r="K18"/>
      <c r="L18"/>
      <c r="M18"/>
      <c r="N18"/>
    </row>
    <row r="19" spans="1:14">
      <c r="A19" s="54">
        <v>42507</v>
      </c>
      <c r="B19" s="55" t="s">
        <v>186</v>
      </c>
      <c r="C19" s="52" t="s">
        <v>167</v>
      </c>
      <c r="D19" s="52">
        <v>371450</v>
      </c>
      <c r="E19" s="52">
        <v>445740</v>
      </c>
      <c r="F19" s="53">
        <v>114406.6</v>
      </c>
      <c r="H19"/>
      <c r="I19"/>
      <c r="J19"/>
      <c r="K19"/>
      <c r="L19"/>
      <c r="M19"/>
      <c r="N19"/>
    </row>
    <row r="20" spans="1:14">
      <c r="A20" s="54">
        <v>42508</v>
      </c>
      <c r="B20" s="55" t="s">
        <v>187</v>
      </c>
      <c r="C20" s="52" t="s">
        <v>178</v>
      </c>
      <c r="D20" s="52">
        <v>371790</v>
      </c>
      <c r="E20" s="52">
        <v>446148</v>
      </c>
      <c r="F20" s="53">
        <v>114511.32</v>
      </c>
      <c r="H20"/>
      <c r="I20"/>
      <c r="J20"/>
      <c r="K20"/>
      <c r="L20"/>
      <c r="M20"/>
      <c r="N20"/>
    </row>
    <row r="21" spans="1:14">
      <c r="A21" s="54">
        <v>42509</v>
      </c>
      <c r="B21" s="55" t="s">
        <v>188</v>
      </c>
      <c r="C21" s="52" t="s">
        <v>165</v>
      </c>
      <c r="D21" s="52">
        <v>393720</v>
      </c>
      <c r="E21" s="52">
        <v>472464</v>
      </c>
      <c r="F21" s="53">
        <v>121265.76</v>
      </c>
      <c r="H21"/>
      <c r="I21"/>
      <c r="J21"/>
      <c r="K21"/>
      <c r="L21"/>
      <c r="M21"/>
      <c r="N21"/>
    </row>
    <row r="22" spans="1:14">
      <c r="A22" s="54">
        <v>42510</v>
      </c>
      <c r="B22" s="55" t="s">
        <v>189</v>
      </c>
      <c r="C22" s="52" t="s">
        <v>181</v>
      </c>
      <c r="D22" s="52">
        <v>393380</v>
      </c>
      <c r="E22" s="52">
        <v>472056</v>
      </c>
      <c r="F22" s="53">
        <v>121161.04</v>
      </c>
      <c r="H22"/>
      <c r="I22"/>
      <c r="J22"/>
      <c r="K22"/>
      <c r="L22"/>
      <c r="M22"/>
      <c r="N22"/>
    </row>
    <row r="23" spans="1:14">
      <c r="A23" s="54">
        <v>42511</v>
      </c>
      <c r="B23" s="55" t="s">
        <v>190</v>
      </c>
      <c r="C23" s="52" t="s">
        <v>181</v>
      </c>
      <c r="D23" s="52">
        <v>394570</v>
      </c>
      <c r="E23" s="52">
        <v>473484</v>
      </c>
      <c r="F23" s="53">
        <v>121527.56</v>
      </c>
      <c r="H23"/>
      <c r="I23"/>
      <c r="J23"/>
      <c r="K23"/>
      <c r="L23"/>
      <c r="M23"/>
      <c r="N23"/>
    </row>
    <row r="24" spans="1:14">
      <c r="A24" s="54">
        <v>42512</v>
      </c>
      <c r="B24" s="55" t="s">
        <v>191</v>
      </c>
      <c r="C24" s="52" t="s">
        <v>167</v>
      </c>
      <c r="D24" s="52">
        <v>189990</v>
      </c>
      <c r="E24" s="52">
        <v>227988</v>
      </c>
      <c r="F24" s="53">
        <v>58516.92</v>
      </c>
      <c r="H24"/>
      <c r="I24"/>
      <c r="J24"/>
      <c r="K24"/>
      <c r="L24"/>
      <c r="M24"/>
      <c r="N24"/>
    </row>
    <row r="25" spans="1:14">
      <c r="A25" s="54">
        <v>42513</v>
      </c>
      <c r="B25" s="55" t="s">
        <v>192</v>
      </c>
      <c r="C25" s="52" t="s">
        <v>167</v>
      </c>
      <c r="D25" s="52">
        <v>115050</v>
      </c>
      <c r="E25" s="52">
        <v>138060</v>
      </c>
      <c r="F25" s="53">
        <v>35435.4</v>
      </c>
      <c r="H25"/>
      <c r="I25"/>
      <c r="J25"/>
      <c r="K25"/>
      <c r="L25"/>
      <c r="M25"/>
      <c r="N25"/>
    </row>
    <row r="26" spans="1:14">
      <c r="A26" s="54">
        <v>42514</v>
      </c>
      <c r="B26" s="55" t="s">
        <v>193</v>
      </c>
      <c r="C26" s="52" t="s">
        <v>181</v>
      </c>
      <c r="D26" s="52">
        <v>131760</v>
      </c>
      <c r="E26" s="52">
        <v>158112</v>
      </c>
      <c r="F26" s="53">
        <v>40582.080000000002</v>
      </c>
      <c r="H26"/>
      <c r="I26"/>
      <c r="J26"/>
      <c r="K26"/>
      <c r="L26"/>
      <c r="M26"/>
      <c r="N26"/>
    </row>
    <row r="27" spans="1:14">
      <c r="A27" s="54">
        <v>42515</v>
      </c>
      <c r="B27" s="55" t="s">
        <v>194</v>
      </c>
      <c r="C27" s="52" t="s">
        <v>165</v>
      </c>
      <c r="D27" s="52">
        <v>122300</v>
      </c>
      <c r="E27" s="52">
        <v>146760</v>
      </c>
      <c r="F27" s="53">
        <v>37668.400000000001</v>
      </c>
      <c r="H27"/>
      <c r="I27"/>
      <c r="J27"/>
      <c r="K27"/>
      <c r="L27"/>
      <c r="M27"/>
      <c r="N27"/>
    </row>
    <row r="28" spans="1:14">
      <c r="A28" s="54">
        <v>42516</v>
      </c>
      <c r="B28" s="55" t="s">
        <v>195</v>
      </c>
      <c r="C28" s="52" t="s">
        <v>167</v>
      </c>
      <c r="D28" s="52">
        <v>265440</v>
      </c>
      <c r="E28" s="52">
        <v>318528</v>
      </c>
      <c r="F28" s="53">
        <v>81755.520000000004</v>
      </c>
      <c r="H28"/>
      <c r="I28"/>
      <c r="J28"/>
      <c r="K28"/>
      <c r="L28"/>
      <c r="M28"/>
      <c r="N28"/>
    </row>
    <row r="29" spans="1:14">
      <c r="A29" s="54">
        <v>42517</v>
      </c>
      <c r="B29" s="55" t="s">
        <v>196</v>
      </c>
      <c r="C29" s="52" t="s">
        <v>165</v>
      </c>
      <c r="D29" s="52">
        <v>185280</v>
      </c>
      <c r="E29" s="52">
        <v>222336</v>
      </c>
      <c r="F29" s="53">
        <v>57066.239999999998</v>
      </c>
      <c r="H29"/>
      <c r="I29"/>
      <c r="J29"/>
      <c r="K29"/>
      <c r="L29"/>
      <c r="M29"/>
      <c r="N29"/>
    </row>
    <row r="30" spans="1:14">
      <c r="A30" s="54">
        <v>42518</v>
      </c>
      <c r="B30" s="55" t="s">
        <v>197</v>
      </c>
      <c r="C30" s="52" t="s">
        <v>181</v>
      </c>
      <c r="D30" s="52">
        <v>131950</v>
      </c>
      <c r="E30" s="52">
        <v>158340</v>
      </c>
      <c r="F30" s="53">
        <v>40640.6</v>
      </c>
      <c r="H30"/>
      <c r="I30"/>
      <c r="J30"/>
      <c r="K30"/>
      <c r="L30"/>
      <c r="M30"/>
      <c r="N30"/>
    </row>
    <row r="31" spans="1:14">
      <c r="A31" s="54">
        <v>42519</v>
      </c>
      <c r="B31" s="55" t="s">
        <v>198</v>
      </c>
      <c r="C31" s="52" t="s">
        <v>165</v>
      </c>
      <c r="D31" s="52">
        <v>144990</v>
      </c>
      <c r="E31" s="52">
        <v>173988</v>
      </c>
      <c r="F31" s="53">
        <v>44656.92</v>
      </c>
      <c r="H31"/>
      <c r="I31"/>
      <c r="J31"/>
      <c r="K31"/>
      <c r="L31"/>
      <c r="M31"/>
      <c r="N31"/>
    </row>
    <row r="32" spans="1:14">
      <c r="A32" s="54">
        <v>42520</v>
      </c>
      <c r="B32" s="55" t="s">
        <v>199</v>
      </c>
      <c r="C32" s="52" t="s">
        <v>174</v>
      </c>
      <c r="D32" s="52">
        <v>457160</v>
      </c>
      <c r="E32" s="52">
        <v>548592</v>
      </c>
      <c r="F32" s="53">
        <v>140805.28</v>
      </c>
      <c r="H32"/>
      <c r="I32"/>
      <c r="J32"/>
      <c r="K32"/>
      <c r="L32"/>
      <c r="M32"/>
      <c r="N32"/>
    </row>
    <row r="33" spans="1:14">
      <c r="A33" s="54">
        <v>42521</v>
      </c>
      <c r="B33" s="55" t="s">
        <v>175</v>
      </c>
      <c r="C33" s="52" t="s">
        <v>178</v>
      </c>
      <c r="D33" s="52">
        <v>502090</v>
      </c>
      <c r="E33" s="52">
        <v>602508</v>
      </c>
      <c r="F33" s="53">
        <v>154643.72</v>
      </c>
      <c r="H33"/>
      <c r="I33"/>
      <c r="J33"/>
      <c r="K33"/>
      <c r="L33"/>
      <c r="M33"/>
      <c r="N33"/>
    </row>
    <row r="34" spans="1:14">
      <c r="A34" s="54">
        <v>42522</v>
      </c>
      <c r="B34" s="55" t="s">
        <v>200</v>
      </c>
      <c r="C34" s="52" t="s">
        <v>165</v>
      </c>
      <c r="D34" s="52">
        <v>106020</v>
      </c>
      <c r="E34" s="52">
        <v>127224</v>
      </c>
      <c r="F34" s="53">
        <v>32654.16</v>
      </c>
      <c r="H34"/>
      <c r="I34"/>
      <c r="J34"/>
      <c r="K34"/>
      <c r="L34"/>
      <c r="M34"/>
      <c r="N34"/>
    </row>
    <row r="35" spans="1:14">
      <c r="A35" s="54">
        <v>42523</v>
      </c>
      <c r="B35" s="55" t="s">
        <v>201</v>
      </c>
      <c r="C35" s="52" t="s">
        <v>165</v>
      </c>
      <c r="D35" s="52">
        <v>414360</v>
      </c>
      <c r="E35" s="52">
        <v>497232</v>
      </c>
      <c r="F35" s="53">
        <v>127622.88</v>
      </c>
      <c r="H35"/>
      <c r="I35"/>
      <c r="J35"/>
      <c r="K35"/>
      <c r="L35"/>
      <c r="M35"/>
      <c r="N35"/>
    </row>
    <row r="36" spans="1:14">
      <c r="A36" s="54">
        <v>42524</v>
      </c>
      <c r="B36" s="55" t="s">
        <v>202</v>
      </c>
      <c r="C36" s="52" t="s">
        <v>165</v>
      </c>
      <c r="D36" s="52">
        <v>404000</v>
      </c>
      <c r="E36" s="52">
        <v>484800</v>
      </c>
      <c r="F36" s="53">
        <v>124432</v>
      </c>
      <c r="H36"/>
      <c r="I36"/>
      <c r="J36"/>
      <c r="K36"/>
      <c r="L36"/>
      <c r="M36"/>
      <c r="N36"/>
    </row>
    <row r="37" spans="1:14">
      <c r="A37" s="54">
        <v>42525</v>
      </c>
      <c r="B37" s="55" t="s">
        <v>166</v>
      </c>
      <c r="C37" s="52" t="s">
        <v>178</v>
      </c>
      <c r="D37" s="52">
        <v>348000</v>
      </c>
      <c r="E37" s="52">
        <v>417600</v>
      </c>
      <c r="F37" s="53">
        <v>107184</v>
      </c>
      <c r="H37"/>
      <c r="I37"/>
      <c r="J37"/>
      <c r="K37"/>
      <c r="L37"/>
      <c r="M37"/>
      <c r="N37"/>
    </row>
    <row r="38" spans="1:14">
      <c r="A38" s="54">
        <v>42526</v>
      </c>
      <c r="B38" s="55" t="s">
        <v>203</v>
      </c>
      <c r="C38" s="52" t="s">
        <v>181</v>
      </c>
      <c r="D38" s="52">
        <v>323400</v>
      </c>
      <c r="E38" s="52">
        <v>388080</v>
      </c>
      <c r="F38" s="53">
        <v>99607.2</v>
      </c>
      <c r="H38"/>
      <c r="I38"/>
      <c r="J38"/>
      <c r="K38"/>
      <c r="L38"/>
      <c r="M38"/>
      <c r="N38"/>
    </row>
    <row r="39" spans="1:14">
      <c r="A39" s="54">
        <v>42527</v>
      </c>
      <c r="B39" s="55" t="s">
        <v>204</v>
      </c>
      <c r="C39" s="52" t="s">
        <v>181</v>
      </c>
      <c r="D39" s="52">
        <v>272960</v>
      </c>
      <c r="E39" s="52">
        <v>327552</v>
      </c>
      <c r="F39" s="53">
        <v>84071.679999999993</v>
      </c>
      <c r="H39"/>
      <c r="I39"/>
      <c r="J39"/>
      <c r="K39"/>
      <c r="L39"/>
      <c r="M39"/>
      <c r="N39"/>
    </row>
    <row r="40" spans="1:14">
      <c r="A40" s="54">
        <v>42528</v>
      </c>
      <c r="B40" s="55" t="s">
        <v>170</v>
      </c>
      <c r="C40" s="52" t="s">
        <v>165</v>
      </c>
      <c r="D40" s="52">
        <v>531300</v>
      </c>
      <c r="E40" s="52">
        <v>637560</v>
      </c>
      <c r="F40" s="53">
        <v>163640.4</v>
      </c>
      <c r="H40"/>
      <c r="I40"/>
      <c r="J40"/>
      <c r="K40"/>
      <c r="L40"/>
      <c r="M40"/>
      <c r="N40"/>
    </row>
    <row r="41" spans="1:14">
      <c r="A41" s="54">
        <v>42529</v>
      </c>
      <c r="B41" s="55" t="s">
        <v>182</v>
      </c>
      <c r="C41" s="52" t="s">
        <v>178</v>
      </c>
      <c r="D41" s="52">
        <v>166980</v>
      </c>
      <c r="E41" s="52">
        <v>200376</v>
      </c>
      <c r="F41" s="53">
        <v>62450.52</v>
      </c>
      <c r="H41"/>
      <c r="I41"/>
      <c r="J41"/>
      <c r="K41"/>
      <c r="L41"/>
      <c r="M41"/>
      <c r="N41"/>
    </row>
    <row r="42" spans="1:14">
      <c r="A42" s="54">
        <v>42530</v>
      </c>
      <c r="B42" s="55" t="s">
        <v>185</v>
      </c>
      <c r="C42" s="52" t="s">
        <v>174</v>
      </c>
      <c r="D42" s="52">
        <v>155300</v>
      </c>
      <c r="E42" s="52">
        <v>186360</v>
      </c>
      <c r="F42" s="53">
        <v>47832.4</v>
      </c>
      <c r="H42"/>
      <c r="I42"/>
      <c r="J42"/>
      <c r="K42"/>
      <c r="L42"/>
      <c r="M42"/>
      <c r="N42"/>
    </row>
    <row r="43" spans="1:14">
      <c r="A43" s="54">
        <v>42531</v>
      </c>
      <c r="B43" s="55" t="s">
        <v>202</v>
      </c>
      <c r="C43" s="52" t="s">
        <v>181</v>
      </c>
      <c r="D43" s="52">
        <v>265800</v>
      </c>
      <c r="E43" s="52">
        <v>318960</v>
      </c>
      <c r="F43" s="53">
        <v>81866.399999999994</v>
      </c>
      <c r="H43"/>
      <c r="I43"/>
      <c r="J43"/>
      <c r="K43"/>
      <c r="L43"/>
      <c r="M43"/>
      <c r="N43"/>
    </row>
    <row r="44" spans="1:14">
      <c r="A44" s="54">
        <v>42532</v>
      </c>
      <c r="B44" s="55" t="s">
        <v>205</v>
      </c>
      <c r="C44" s="52" t="s">
        <v>167</v>
      </c>
      <c r="D44" s="52">
        <v>338390</v>
      </c>
      <c r="E44" s="52">
        <v>406068</v>
      </c>
      <c r="F44" s="53">
        <v>104224.12</v>
      </c>
      <c r="H44"/>
      <c r="I44"/>
      <c r="J44"/>
      <c r="K44"/>
      <c r="L44"/>
      <c r="M44"/>
      <c r="N44"/>
    </row>
    <row r="45" spans="1:14">
      <c r="A45" s="54">
        <v>42533</v>
      </c>
      <c r="B45" s="55" t="s">
        <v>206</v>
      </c>
      <c r="C45" s="52" t="s">
        <v>174</v>
      </c>
      <c r="D45" s="52">
        <v>417120</v>
      </c>
      <c r="E45" s="52">
        <v>500544</v>
      </c>
      <c r="F45" s="53">
        <v>128472.96000000001</v>
      </c>
      <c r="H45"/>
      <c r="I45"/>
      <c r="J45"/>
      <c r="K45"/>
      <c r="L45"/>
      <c r="M45"/>
      <c r="N45"/>
    </row>
    <row r="46" spans="1:14">
      <c r="A46" s="54">
        <v>42534</v>
      </c>
      <c r="B46" s="55" t="s">
        <v>207</v>
      </c>
      <c r="C46" s="52" t="s">
        <v>178</v>
      </c>
      <c r="D46" s="52">
        <v>308180</v>
      </c>
      <c r="E46" s="52">
        <v>369816</v>
      </c>
      <c r="F46" s="53">
        <v>94919.44</v>
      </c>
      <c r="H46"/>
      <c r="I46"/>
      <c r="J46"/>
      <c r="K46"/>
      <c r="L46"/>
      <c r="M46"/>
      <c r="N46"/>
    </row>
    <row r="47" spans="1:14">
      <c r="A47" s="54">
        <v>42535</v>
      </c>
      <c r="B47" s="55" t="s">
        <v>208</v>
      </c>
      <c r="C47" s="52" t="s">
        <v>165</v>
      </c>
      <c r="D47" s="52">
        <v>134610</v>
      </c>
      <c r="E47" s="52">
        <v>161532</v>
      </c>
      <c r="F47" s="53">
        <v>41459.879999999997</v>
      </c>
      <c r="H47"/>
      <c r="I47"/>
      <c r="J47"/>
      <c r="K47"/>
      <c r="L47"/>
      <c r="M47"/>
      <c r="N47"/>
    </row>
    <row r="48" spans="1:14">
      <c r="A48" s="54">
        <v>42536</v>
      </c>
      <c r="B48" s="55" t="s">
        <v>209</v>
      </c>
      <c r="C48" s="52" t="s">
        <v>181</v>
      </c>
      <c r="D48" s="52">
        <v>137760</v>
      </c>
      <c r="E48" s="52">
        <v>165312</v>
      </c>
      <c r="F48" s="53">
        <v>42430.080000000002</v>
      </c>
      <c r="H48"/>
      <c r="I48"/>
      <c r="J48"/>
      <c r="K48"/>
      <c r="L48"/>
      <c r="M48"/>
      <c r="N48"/>
    </row>
    <row r="49" spans="1:14">
      <c r="A49" s="54">
        <v>42537</v>
      </c>
      <c r="B49" s="55" t="s">
        <v>210</v>
      </c>
      <c r="C49" s="52" t="s">
        <v>174</v>
      </c>
      <c r="D49" s="52">
        <v>387600</v>
      </c>
      <c r="E49" s="52">
        <v>465120</v>
      </c>
      <c r="F49" s="53">
        <v>119380.8</v>
      </c>
      <c r="H49"/>
      <c r="I49"/>
      <c r="J49"/>
      <c r="K49"/>
      <c r="L49"/>
      <c r="M49"/>
      <c r="N49"/>
    </row>
    <row r="50" spans="1:14">
      <c r="A50" s="54">
        <v>42538</v>
      </c>
      <c r="B50" s="55" t="s">
        <v>211</v>
      </c>
      <c r="C50" s="52" t="s">
        <v>178</v>
      </c>
      <c r="D50" s="52">
        <v>265800</v>
      </c>
      <c r="E50" s="52">
        <v>318960</v>
      </c>
      <c r="F50" s="53">
        <v>81866.399999999994</v>
      </c>
      <c r="H50"/>
      <c r="I50"/>
      <c r="J50"/>
      <c r="K50"/>
      <c r="L50"/>
      <c r="M50"/>
      <c r="N50"/>
    </row>
    <row r="51" spans="1:14">
      <c r="A51" s="54">
        <v>42539</v>
      </c>
      <c r="B51" s="55" t="s">
        <v>212</v>
      </c>
      <c r="C51" s="52" t="s">
        <v>165</v>
      </c>
      <c r="D51" s="52">
        <v>127620</v>
      </c>
      <c r="E51" s="52">
        <v>153144</v>
      </c>
      <c r="F51" s="53">
        <v>39306.959999999999</v>
      </c>
      <c r="H51"/>
      <c r="I51"/>
      <c r="J51"/>
      <c r="K51"/>
      <c r="L51"/>
      <c r="M51"/>
      <c r="N51"/>
    </row>
    <row r="52" spans="1:14">
      <c r="A52" s="54">
        <v>42540</v>
      </c>
      <c r="B52" s="55" t="s">
        <v>213</v>
      </c>
      <c r="C52" s="52" t="s">
        <v>167</v>
      </c>
      <c r="D52" s="52">
        <v>330400</v>
      </c>
      <c r="E52" s="52">
        <v>396480</v>
      </c>
      <c r="F52" s="53">
        <v>101763.2</v>
      </c>
      <c r="H52"/>
      <c r="I52"/>
      <c r="J52"/>
      <c r="K52"/>
      <c r="L52"/>
      <c r="M52"/>
      <c r="N52"/>
    </row>
    <row r="53" spans="1:14">
      <c r="A53" s="54">
        <v>42541</v>
      </c>
      <c r="B53" s="55" t="s">
        <v>214</v>
      </c>
      <c r="C53" s="52" t="s">
        <v>165</v>
      </c>
      <c r="D53" s="52">
        <v>155970</v>
      </c>
      <c r="E53" s="52">
        <v>187164</v>
      </c>
      <c r="F53" s="53">
        <v>48038.76</v>
      </c>
      <c r="H53"/>
      <c r="I53"/>
      <c r="J53"/>
      <c r="K53"/>
      <c r="L53"/>
      <c r="M53"/>
      <c r="N53"/>
    </row>
    <row r="54" spans="1:14">
      <c r="A54" s="54">
        <v>42542</v>
      </c>
      <c r="B54" s="55" t="s">
        <v>207</v>
      </c>
      <c r="C54" s="52" t="s">
        <v>167</v>
      </c>
      <c r="D54" s="52">
        <v>147630</v>
      </c>
      <c r="E54" s="52">
        <v>177156</v>
      </c>
      <c r="F54" s="53">
        <v>45470.04</v>
      </c>
      <c r="H54"/>
      <c r="I54"/>
      <c r="J54"/>
      <c r="K54"/>
      <c r="L54"/>
      <c r="M54"/>
      <c r="N54"/>
    </row>
    <row r="55" spans="1:14">
      <c r="A55" s="54">
        <v>42543</v>
      </c>
      <c r="B55" s="55" t="s">
        <v>215</v>
      </c>
      <c r="C55" s="52" t="s">
        <v>181</v>
      </c>
      <c r="D55" s="52">
        <v>200970</v>
      </c>
      <c r="E55" s="52">
        <v>241164</v>
      </c>
      <c r="F55" s="53">
        <v>61898.76</v>
      </c>
      <c r="H55"/>
      <c r="I55"/>
      <c r="J55"/>
      <c r="K55"/>
      <c r="L55"/>
      <c r="M55"/>
      <c r="N55"/>
    </row>
    <row r="56" spans="1:14">
      <c r="A56" s="54">
        <v>42544</v>
      </c>
      <c r="B56" s="55" t="s">
        <v>203</v>
      </c>
      <c r="C56" s="52" t="s">
        <v>165</v>
      </c>
      <c r="D56" s="52">
        <v>330840</v>
      </c>
      <c r="E56" s="52">
        <v>397008</v>
      </c>
      <c r="F56" s="53">
        <v>101898.72</v>
      </c>
      <c r="H56"/>
      <c r="I56"/>
      <c r="J56"/>
      <c r="K56"/>
      <c r="L56"/>
      <c r="M56"/>
      <c r="N56"/>
    </row>
    <row r="57" spans="1:14">
      <c r="A57" s="54">
        <v>42545</v>
      </c>
      <c r="B57" s="55" t="s">
        <v>216</v>
      </c>
      <c r="C57" s="52" t="s">
        <v>167</v>
      </c>
      <c r="D57" s="52">
        <v>208890</v>
      </c>
      <c r="E57" s="52">
        <v>250668</v>
      </c>
      <c r="F57" s="53">
        <v>64338.12</v>
      </c>
      <c r="H57"/>
      <c r="I57"/>
      <c r="J57"/>
      <c r="K57"/>
      <c r="L57"/>
      <c r="M57"/>
      <c r="N57"/>
    </row>
    <row r="58" spans="1:14">
      <c r="A58" s="54">
        <v>42546</v>
      </c>
      <c r="B58" s="55" t="s">
        <v>177</v>
      </c>
      <c r="C58" s="52" t="s">
        <v>174</v>
      </c>
      <c r="D58" s="52">
        <v>149400</v>
      </c>
      <c r="E58" s="52">
        <v>179280</v>
      </c>
      <c r="F58" s="53">
        <v>46015.199999999997</v>
      </c>
      <c r="H58"/>
      <c r="I58"/>
      <c r="J58"/>
      <c r="K58"/>
      <c r="L58"/>
      <c r="M58"/>
      <c r="N58"/>
    </row>
    <row r="59" spans="1:14">
      <c r="A59" s="54">
        <v>42547</v>
      </c>
      <c r="B59" s="55" t="s">
        <v>217</v>
      </c>
      <c r="C59" s="52" t="s">
        <v>174</v>
      </c>
      <c r="D59" s="52">
        <v>534960</v>
      </c>
      <c r="E59" s="52">
        <v>641952</v>
      </c>
      <c r="F59" s="53">
        <v>164767.67999999999</v>
      </c>
      <c r="H59"/>
      <c r="I59"/>
      <c r="J59"/>
      <c r="K59"/>
      <c r="L59"/>
      <c r="M59"/>
      <c r="N59"/>
    </row>
    <row r="60" spans="1:14">
      <c r="A60" s="54">
        <v>42548</v>
      </c>
      <c r="B60" s="55" t="s">
        <v>218</v>
      </c>
      <c r="C60" s="52" t="s">
        <v>167</v>
      </c>
      <c r="D60" s="52">
        <v>400690</v>
      </c>
      <c r="E60" s="52">
        <v>480828</v>
      </c>
      <c r="F60" s="53">
        <v>123412.52</v>
      </c>
      <c r="H60"/>
      <c r="I60"/>
      <c r="J60"/>
      <c r="K60"/>
      <c r="L60"/>
      <c r="M60"/>
      <c r="N60"/>
    </row>
    <row r="61" spans="1:14">
      <c r="A61" s="54">
        <v>42549</v>
      </c>
      <c r="B61" s="55" t="s">
        <v>215</v>
      </c>
      <c r="C61" s="52" t="s">
        <v>167</v>
      </c>
      <c r="D61" s="52">
        <v>197280</v>
      </c>
      <c r="E61" s="52">
        <v>236736</v>
      </c>
      <c r="F61" s="53">
        <v>60762.239999999998</v>
      </c>
      <c r="H61"/>
      <c r="I61"/>
      <c r="J61"/>
      <c r="K61"/>
      <c r="L61"/>
      <c r="M61"/>
      <c r="N61"/>
    </row>
    <row r="62" spans="1:14">
      <c r="A62" s="54">
        <v>42550</v>
      </c>
      <c r="B62" s="55" t="s">
        <v>219</v>
      </c>
      <c r="C62" s="52" t="s">
        <v>167</v>
      </c>
      <c r="D62" s="52">
        <v>207450</v>
      </c>
      <c r="E62" s="52">
        <v>248940</v>
      </c>
      <c r="F62" s="53">
        <v>63894.6</v>
      </c>
      <c r="H62"/>
      <c r="I62"/>
      <c r="J62"/>
      <c r="K62"/>
      <c r="L62"/>
      <c r="M62"/>
      <c r="N62"/>
    </row>
    <row r="63" spans="1:14">
      <c r="A63" s="54">
        <v>42551</v>
      </c>
      <c r="B63" s="55" t="s">
        <v>220</v>
      </c>
      <c r="C63" s="52" t="s">
        <v>178</v>
      </c>
      <c r="D63" s="52">
        <v>111850</v>
      </c>
      <c r="E63" s="52">
        <v>134220</v>
      </c>
      <c r="F63" s="53">
        <v>34449.800000000003</v>
      </c>
      <c r="H63"/>
      <c r="I63"/>
      <c r="J63"/>
      <c r="K63"/>
      <c r="L63"/>
      <c r="M63"/>
      <c r="N63"/>
    </row>
    <row r="64" spans="1:14">
      <c r="A64" s="54">
        <v>42552</v>
      </c>
      <c r="B64" s="55" t="s">
        <v>221</v>
      </c>
      <c r="C64" s="52" t="s">
        <v>165</v>
      </c>
      <c r="D64" s="52">
        <v>142260</v>
      </c>
      <c r="E64" s="52">
        <v>170712</v>
      </c>
      <c r="F64" s="53">
        <v>43816.08</v>
      </c>
      <c r="H64"/>
      <c r="I64"/>
      <c r="J64"/>
      <c r="K64"/>
      <c r="L64"/>
      <c r="M64"/>
      <c r="N64"/>
    </row>
    <row r="65" spans="1:14">
      <c r="A65" s="54">
        <v>42553</v>
      </c>
      <c r="B65" s="55" t="s">
        <v>222</v>
      </c>
      <c r="C65" s="52" t="s">
        <v>181</v>
      </c>
      <c r="D65" s="52">
        <v>322740</v>
      </c>
      <c r="E65" s="52">
        <v>387288</v>
      </c>
      <c r="F65" s="53">
        <v>99403.92</v>
      </c>
      <c r="H65"/>
      <c r="I65"/>
      <c r="J65"/>
      <c r="K65"/>
      <c r="L65"/>
      <c r="M65"/>
      <c r="N65"/>
    </row>
    <row r="66" spans="1:14">
      <c r="A66" s="54">
        <v>42554</v>
      </c>
      <c r="B66" s="55" t="s">
        <v>223</v>
      </c>
      <c r="C66" s="52" t="s">
        <v>181</v>
      </c>
      <c r="D66" s="52">
        <v>410400</v>
      </c>
      <c r="E66" s="52">
        <v>492480</v>
      </c>
      <c r="F66" s="53">
        <v>126403.2</v>
      </c>
      <c r="H66"/>
      <c r="I66"/>
      <c r="J66"/>
      <c r="K66"/>
      <c r="L66"/>
      <c r="M66"/>
      <c r="N66"/>
    </row>
    <row r="67" spans="1:14">
      <c r="A67" s="54">
        <v>42555</v>
      </c>
      <c r="B67" s="55" t="s">
        <v>196</v>
      </c>
      <c r="C67" s="52" t="s">
        <v>167</v>
      </c>
      <c r="D67" s="52">
        <v>313760</v>
      </c>
      <c r="E67" s="52">
        <v>376512</v>
      </c>
      <c r="F67" s="53">
        <v>96638.080000000002</v>
      </c>
      <c r="H67"/>
      <c r="I67"/>
      <c r="J67"/>
      <c r="K67"/>
      <c r="L67"/>
      <c r="M67"/>
      <c r="N67"/>
    </row>
    <row r="68" spans="1:14">
      <c r="A68" s="54">
        <v>42556</v>
      </c>
      <c r="B68" s="55" t="s">
        <v>224</v>
      </c>
      <c r="C68" s="52" t="s">
        <v>167</v>
      </c>
      <c r="D68" s="52">
        <v>261380</v>
      </c>
      <c r="E68" s="52">
        <v>313656</v>
      </c>
      <c r="F68" s="53">
        <v>80505.039999999994</v>
      </c>
      <c r="H68"/>
      <c r="I68"/>
      <c r="J68"/>
      <c r="K68"/>
      <c r="L68"/>
      <c r="M68"/>
      <c r="N68"/>
    </row>
    <row r="69" spans="1:14">
      <c r="A69" s="54">
        <v>42557</v>
      </c>
      <c r="B69" s="55" t="s">
        <v>225</v>
      </c>
      <c r="C69" s="52" t="s">
        <v>181</v>
      </c>
      <c r="D69" s="52">
        <v>323840</v>
      </c>
      <c r="E69" s="52">
        <v>388608</v>
      </c>
      <c r="F69" s="53">
        <v>99742.720000000001</v>
      </c>
      <c r="H69"/>
      <c r="I69"/>
      <c r="J69"/>
      <c r="K69"/>
      <c r="L69"/>
      <c r="M69"/>
      <c r="N69"/>
    </row>
    <row r="70" spans="1:14">
      <c r="A70" s="56">
        <v>42558</v>
      </c>
      <c r="B70" s="57" t="s">
        <v>226</v>
      </c>
      <c r="C70" s="58" t="s">
        <v>165</v>
      </c>
      <c r="D70" s="58">
        <v>438680</v>
      </c>
      <c r="E70" s="58">
        <v>526416</v>
      </c>
      <c r="F70" s="59">
        <v>135113.44</v>
      </c>
      <c r="H70"/>
      <c r="I70"/>
      <c r="J70"/>
      <c r="K70"/>
      <c r="L70"/>
      <c r="M70"/>
      <c r="N70"/>
    </row>
    <row r="71" spans="1:14">
      <c r="H71"/>
      <c r="I71"/>
      <c r="J71"/>
      <c r="K71"/>
      <c r="L71"/>
      <c r="M71"/>
      <c r="N71"/>
    </row>
    <row r="72" spans="1:14">
      <c r="H72"/>
      <c r="I72"/>
      <c r="J72"/>
      <c r="K72"/>
      <c r="L72"/>
      <c r="M72"/>
      <c r="N72"/>
    </row>
    <row r="73" spans="1:14">
      <c r="H73"/>
      <c r="I73"/>
      <c r="J73"/>
      <c r="K73"/>
      <c r="L73"/>
      <c r="M73"/>
      <c r="N73"/>
    </row>
    <row r="74" spans="1:14">
      <c r="H74"/>
      <c r="I74"/>
      <c r="J74"/>
      <c r="K74"/>
      <c r="L74"/>
      <c r="M74"/>
      <c r="N74"/>
    </row>
  </sheetData>
  <phoneticPr fontId="4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3"/>
  <sheetViews>
    <sheetView windowProtection="1" workbookViewId="0">
      <selection sqref="A1:B1"/>
    </sheetView>
  </sheetViews>
  <sheetFormatPr defaultRowHeight="16.5"/>
  <cols>
    <col min="1" max="2" width="9" style="2"/>
    <col min="3" max="3" width="12.75" style="2" customWidth="1"/>
    <col min="4" max="5" width="9" style="2"/>
    <col min="6" max="6" width="10.25" style="2" bestFit="1" customWidth="1"/>
    <col min="7" max="16384" width="9" style="2"/>
  </cols>
  <sheetData>
    <row r="1" spans="1:8" ht="17.25" thickBot="1">
      <c r="A1" s="84" t="s">
        <v>98</v>
      </c>
      <c r="B1" s="84"/>
      <c r="C1" s="22"/>
      <c r="D1" s="22"/>
      <c r="E1" s="22"/>
      <c r="F1" s="22"/>
      <c r="G1" s="22"/>
      <c r="H1" s="22"/>
    </row>
    <row r="2" spans="1:8">
      <c r="A2" s="23" t="s">
        <v>99</v>
      </c>
      <c r="B2" s="24" t="s">
        <v>100</v>
      </c>
      <c r="C2" s="24" t="s">
        <v>101</v>
      </c>
      <c r="D2" s="24" t="s">
        <v>102</v>
      </c>
      <c r="E2" s="24" t="s">
        <v>103</v>
      </c>
      <c r="F2" s="24" t="s">
        <v>6</v>
      </c>
      <c r="G2" s="24" t="s">
        <v>104</v>
      </c>
      <c r="H2" s="25" t="s">
        <v>105</v>
      </c>
    </row>
    <row r="3" spans="1:8" ht="17.25" thickBot="1">
      <c r="A3" s="26">
        <v>4000</v>
      </c>
      <c r="B3" s="27">
        <v>1000</v>
      </c>
      <c r="C3" s="28">
        <v>600000.00000000023</v>
      </c>
      <c r="D3" s="28">
        <v>100000</v>
      </c>
      <c r="E3" s="28">
        <v>500000</v>
      </c>
      <c r="F3" s="28">
        <f>A3*B3</f>
        <v>4000000</v>
      </c>
      <c r="G3" s="28">
        <f>F3-C3-D3-E3</f>
        <v>2800000</v>
      </c>
      <c r="H3" s="29">
        <f>G3/F3</f>
        <v>0.7</v>
      </c>
    </row>
  </sheetData>
  <mergeCells count="1">
    <mergeCell ref="A1:B1"/>
  </mergeCells>
  <phoneticPr fontId="4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영업이익률증가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원상태로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4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8"/>
  <sheetViews>
    <sheetView windowProtection="1" workbookViewId="0"/>
  </sheetViews>
  <sheetFormatPr defaultRowHeight="16.5"/>
  <cols>
    <col min="1" max="1" width="9" style="2"/>
    <col min="2" max="2" width="11.875" style="2" customWidth="1"/>
    <col min="3" max="3" width="9" style="2"/>
    <col min="4" max="4" width="11" style="2" customWidth="1"/>
    <col min="5" max="16384" width="9" style="2"/>
  </cols>
  <sheetData>
    <row r="1" spans="1:5" ht="17.25">
      <c r="B1" s="85" t="s">
        <v>106</v>
      </c>
      <c r="C1" s="85"/>
      <c r="D1" s="85"/>
    </row>
    <row r="2" spans="1:5">
      <c r="A2" s="30"/>
      <c r="B2" s="30"/>
      <c r="C2" s="30"/>
      <c r="D2" s="22"/>
    </row>
    <row r="3" spans="1:5">
      <c r="A3" s="31" t="s">
        <v>107</v>
      </c>
      <c r="B3" s="31" t="s">
        <v>108</v>
      </c>
      <c r="C3" s="31" t="s">
        <v>109</v>
      </c>
      <c r="D3" s="31" t="s">
        <v>110</v>
      </c>
      <c r="E3" s="31" t="s">
        <v>111</v>
      </c>
    </row>
    <row r="4" spans="1:5">
      <c r="A4" s="32">
        <v>42370</v>
      </c>
      <c r="B4" s="31" t="s">
        <v>112</v>
      </c>
      <c r="C4" s="31">
        <v>7</v>
      </c>
      <c r="D4" s="33">
        <v>1200</v>
      </c>
      <c r="E4" s="8">
        <f>C4*D4</f>
        <v>8400</v>
      </c>
    </row>
    <row r="5" spans="1:5">
      <c r="A5" s="32">
        <v>42401</v>
      </c>
      <c r="B5" s="31" t="s">
        <v>113</v>
      </c>
      <c r="C5" s="31">
        <v>12</v>
      </c>
      <c r="D5" s="33">
        <v>1500</v>
      </c>
      <c r="E5" s="8">
        <f>C5*D5</f>
        <v>18000</v>
      </c>
    </row>
    <row r="6" spans="1:5">
      <c r="A6" s="32">
        <v>42430</v>
      </c>
      <c r="B6" s="31" t="s">
        <v>114</v>
      </c>
      <c r="C6" s="31">
        <v>8</v>
      </c>
      <c r="D6" s="33">
        <v>400</v>
      </c>
      <c r="E6" s="8">
        <f>C6*D6</f>
        <v>3200</v>
      </c>
    </row>
    <row r="7" spans="1:5">
      <c r="A7" s="32">
        <v>42461</v>
      </c>
      <c r="B7" s="31" t="s">
        <v>115</v>
      </c>
      <c r="C7" s="31">
        <v>9</v>
      </c>
      <c r="D7" s="33">
        <v>700</v>
      </c>
      <c r="E7" s="8">
        <f>C7*D7</f>
        <v>6300</v>
      </c>
    </row>
    <row r="8" spans="1:5">
      <c r="A8" s="32">
        <v>42491</v>
      </c>
      <c r="B8" s="31" t="s">
        <v>114</v>
      </c>
      <c r="C8" s="31">
        <v>3</v>
      </c>
      <c r="D8" s="33">
        <v>400</v>
      </c>
      <c r="E8" s="8">
        <f>C8*D8</f>
        <v>1200</v>
      </c>
    </row>
  </sheetData>
  <mergeCells count="1">
    <mergeCell ref="B1:D1"/>
  </mergeCells>
  <phoneticPr fontId="4" type="noConversion"/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F9"/>
  <sheetViews>
    <sheetView windowProtection="1" workbookViewId="0"/>
  </sheetViews>
  <sheetFormatPr defaultRowHeight="16.5"/>
  <cols>
    <col min="1" max="1" width="15" style="2" customWidth="1"/>
    <col min="2" max="2" width="15.375" style="2" bestFit="1" customWidth="1"/>
    <col min="3" max="3" width="11.125" style="2" bestFit="1" customWidth="1"/>
    <col min="4" max="16384" width="9" style="2"/>
  </cols>
  <sheetData>
    <row r="1" spans="1:6" ht="19.5">
      <c r="A1" s="34" t="s">
        <v>116</v>
      </c>
    </row>
    <row r="2" spans="1:6">
      <c r="F2"/>
    </row>
    <row r="3" spans="1:6">
      <c r="A3" s="35" t="s">
        <v>117</v>
      </c>
      <c r="B3" s="35" t="s">
        <v>118</v>
      </c>
      <c r="C3" s="35" t="s">
        <v>119</v>
      </c>
    </row>
    <row r="4" spans="1:6">
      <c r="A4" s="2" t="s">
        <v>120</v>
      </c>
      <c r="B4" s="2" t="s">
        <v>121</v>
      </c>
      <c r="C4" s="36">
        <v>10000</v>
      </c>
    </row>
    <row r="5" spans="1:6">
      <c r="A5" s="2" t="s">
        <v>122</v>
      </c>
      <c r="B5" s="2" t="s">
        <v>123</v>
      </c>
      <c r="C5" s="36">
        <v>20000</v>
      </c>
    </row>
    <row r="6" spans="1:6">
      <c r="A6" s="2" t="s">
        <v>124</v>
      </c>
      <c r="B6" s="2" t="s">
        <v>125</v>
      </c>
      <c r="C6" s="36">
        <v>10000</v>
      </c>
    </row>
    <row r="7" spans="1:6">
      <c r="A7" s="2" t="s">
        <v>126</v>
      </c>
      <c r="B7" s="2" t="s">
        <v>127</v>
      </c>
      <c r="C7" s="36">
        <v>5000</v>
      </c>
    </row>
    <row r="8" spans="1:6">
      <c r="A8" s="2" t="s">
        <v>128</v>
      </c>
      <c r="B8" s="2" t="s">
        <v>129</v>
      </c>
      <c r="C8" s="36">
        <v>100000</v>
      </c>
    </row>
    <row r="9" spans="1:6">
      <c r="A9" s="2" t="s">
        <v>130</v>
      </c>
      <c r="B9" s="2" t="s">
        <v>131</v>
      </c>
      <c r="C9" s="36">
        <v>250000</v>
      </c>
    </row>
  </sheetData>
  <phoneticPr fontId="4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</xdr:col>
                <xdr:colOff>295275</xdr:colOff>
                <xdr:row>1</xdr:row>
                <xdr:rowOff>0</xdr:rowOff>
              </from>
              <to>
                <xdr:col>4</xdr:col>
                <xdr:colOff>628650</xdr:colOff>
                <xdr:row>2</xdr:row>
                <xdr:rowOff>104775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4월종합쇼핑몰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  <vt:lpstr>계좌목록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dcterms:created xsi:type="dcterms:W3CDTF">2017-08-30T11:22:55Z</dcterms:created>
  <dcterms:modified xsi:type="dcterms:W3CDTF">2018-08-29T07:06:09Z</dcterms:modified>
</cp:coreProperties>
</file>