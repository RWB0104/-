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95" windowWidth="26955" windowHeight="1294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'기본작업-2'!$A$1:$L$23</definedName>
    <definedName name="_xlnm._FilterDatabase" localSheetId="5" hidden="1">'기타작업-1'!#REF!</definedName>
    <definedName name="_xlnm.Criteria" localSheetId="1">'기본작업-2'!$A$25:$C$26</definedName>
    <definedName name="_xlnm.Extract" localSheetId="1">'기본작업-2'!$A$28:$D$28</definedName>
    <definedName name="MS_Access_Database_Query" localSheetId="0" hidden="1">'기본작업-1'!$B$3:$F$13</definedName>
    <definedName name="_xlnm.Print_Area" localSheetId="1">'기본작업-2'!$A$1:$L$23</definedName>
    <definedName name="_xlnm.Print_Titles" localSheetId="1">'기본작업-2'!$A:$A</definedName>
  </definedNames>
  <calcPr calcId="145621"/>
  <pivotCaches>
    <pivotCache cacheId="22" r:id="rId8"/>
  </pivotCaches>
</workbook>
</file>

<file path=xl/calcChain.xml><?xml version="1.0" encoding="utf-8"?>
<calcChain xmlns="http://schemas.openxmlformats.org/spreadsheetml/2006/main">
  <c r="B31" i="3" l="1" a="1"/>
  <c r="B31" i="3" s="1"/>
  <c r="B30" i="3" a="1"/>
  <c r="B30" i="3" s="1"/>
  <c r="B29" i="3" a="1"/>
  <c r="B29" i="3" s="1"/>
  <c r="F8" i="3"/>
  <c r="F7" i="3"/>
  <c r="F6" i="3"/>
  <c r="F5" i="3"/>
  <c r="F4" i="3"/>
  <c r="H3" i="3" a="1"/>
  <c r="H3" i="3" s="1"/>
  <c r="F3" i="3"/>
  <c r="E25" i="3"/>
  <c r="E23" i="3"/>
  <c r="E22" i="3"/>
  <c r="E20" i="3"/>
  <c r="E17" i="3"/>
  <c r="E18" i="3"/>
  <c r="E19" i="3"/>
  <c r="E21" i="3"/>
  <c r="E24" i="3"/>
  <c r="D29" i="3" l="1" a="1"/>
  <c r="D29" i="3" s="1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1 엑셀\04 실전모의고사\도서대여.accdb;DefaultDir=C:\길벗컴활1급\01 엑셀\04 실전모의고사;DriverId=25;FIL=MS Access;MaxBufferSize=2048;PageTimeout=5;" command="SELECT 도서대여.도서번호, 도서대여.대여권수, 도서대여.이름, 도서대여.대여일, 도서대여.반납예정일_x000d__x000a_FROM `C:\길벗컴활1급\01 엑셀\04 실전모의고사\도서대여.accdb`.도서대여 도서대여_x000d__x000a_WHERE (도서대여.도서번호='A200') AND (도서대여.대여일&lt;={ts '2016-03-30 00:00:00'}) OR (도서대여.도서번호='A300') AND (도서대여.대여일&lt;={ts '2016-03-30 00:00:00'})_x000d__x000a_ORDER BY 도서대여.도서번호, 도서대여.이름"/>
  </connection>
</connections>
</file>

<file path=xl/sharedStrings.xml><?xml version="1.0" encoding="utf-8"?>
<sst xmlns="http://schemas.openxmlformats.org/spreadsheetml/2006/main" count="463" uniqueCount="269">
  <si>
    <t xml:space="preserve"> </t>
    <phoneticPr fontId="4" type="noConversion"/>
  </si>
  <si>
    <t>도서별 대여현황</t>
    <phoneticPr fontId="4" type="noConversion"/>
  </si>
  <si>
    <t>사원번호</t>
  </si>
  <si>
    <t>이름</t>
  </si>
  <si>
    <t>부서명</t>
  </si>
  <si>
    <t>직위</t>
  </si>
  <si>
    <t>입사일자</t>
  </si>
  <si>
    <t>업무수행</t>
  </si>
  <si>
    <t>영어독해</t>
  </si>
  <si>
    <t>영어듣기</t>
  </si>
  <si>
    <t>전산이론</t>
  </si>
  <si>
    <t>전산실기</t>
  </si>
  <si>
    <t>점수</t>
    <phoneticPr fontId="4" type="noConversion"/>
  </si>
  <si>
    <t>평가</t>
  </si>
  <si>
    <t>강감찬</t>
  </si>
  <si>
    <t>기획부</t>
  </si>
  <si>
    <t>대리</t>
  </si>
  <si>
    <t>하</t>
  </si>
  <si>
    <t>김규리</t>
  </si>
  <si>
    <t>영업부</t>
  </si>
  <si>
    <t>부장</t>
    <phoneticPr fontId="4" type="noConversion"/>
  </si>
  <si>
    <t>상</t>
  </si>
  <si>
    <t>김나비</t>
  </si>
  <si>
    <t>총무부</t>
  </si>
  <si>
    <t>중</t>
  </si>
  <si>
    <t>김대진</t>
  </si>
  <si>
    <t>과장</t>
    <phoneticPr fontId="4" type="noConversion"/>
  </si>
  <si>
    <t>김윤선</t>
  </si>
  <si>
    <t>김정식</t>
  </si>
  <si>
    <t>사원</t>
  </si>
  <si>
    <t>마소희</t>
  </si>
  <si>
    <t>기술부</t>
  </si>
  <si>
    <t>방정환</t>
  </si>
  <si>
    <t>배기성</t>
  </si>
  <si>
    <t>배우리</t>
  </si>
  <si>
    <t>소식가</t>
  </si>
  <si>
    <t>아유라</t>
  </si>
  <si>
    <t>과장</t>
  </si>
  <si>
    <t>엄화정</t>
  </si>
  <si>
    <t>왕연</t>
  </si>
  <si>
    <t>우희진</t>
  </si>
  <si>
    <t>유강현</t>
  </si>
  <si>
    <t>이기자</t>
  </si>
  <si>
    <t>이순신</t>
  </si>
  <si>
    <t>조용히</t>
  </si>
  <si>
    <t>최민영</t>
  </si>
  <si>
    <t>최민정</t>
  </si>
  <si>
    <t>홍난수</t>
  </si>
  <si>
    <t>부서명</t>
    <phoneticPr fontId="3" type="noConversion"/>
  </si>
  <si>
    <t>직위</t>
    <phoneticPr fontId="3" type="noConversion"/>
  </si>
  <si>
    <t>업무수행</t>
    <phoneticPr fontId="3" type="noConversion"/>
  </si>
  <si>
    <t>기획부</t>
    <phoneticPr fontId="3" type="noConversion"/>
  </si>
  <si>
    <t>사원</t>
    <phoneticPr fontId="3" type="noConversion"/>
  </si>
  <si>
    <t>이름</t>
    <phoneticPr fontId="3" type="noConversion"/>
  </si>
  <si>
    <t>입사일자</t>
    <phoneticPr fontId="3" type="noConversion"/>
  </si>
  <si>
    <t>점수</t>
    <phoneticPr fontId="3" type="noConversion"/>
  </si>
  <si>
    <t>평가</t>
    <phoneticPr fontId="3" type="noConversion"/>
  </si>
  <si>
    <t>[표1]</t>
    <phoneticPr fontId="4" type="noConversion"/>
  </si>
  <si>
    <t>이름</t>
    <phoneticPr fontId="4" type="noConversion"/>
  </si>
  <si>
    <t>고향주소</t>
    <phoneticPr fontId="4" type="noConversion"/>
  </si>
  <si>
    <t>생년월일</t>
    <phoneticPr fontId="4" type="noConversion"/>
  </si>
  <si>
    <t>가족 수(아이 수)</t>
    <phoneticPr fontId="4" type="noConversion"/>
  </si>
  <si>
    <t>회비</t>
    <phoneticPr fontId="4" type="noConversion"/>
  </si>
  <si>
    <t>조</t>
    <phoneticPr fontId="4" type="noConversion"/>
  </si>
  <si>
    <t>회비합</t>
    <phoneticPr fontId="4" type="noConversion"/>
  </si>
  <si>
    <t>김승호</t>
    <phoneticPr fontId="4" type="noConversion"/>
  </si>
  <si>
    <t>서울시 성동구</t>
    <phoneticPr fontId="4" type="noConversion"/>
  </si>
  <si>
    <t>4(2)</t>
    <phoneticPr fontId="4" type="noConversion"/>
  </si>
  <si>
    <t>정재호</t>
    <phoneticPr fontId="4" type="noConversion"/>
  </si>
  <si>
    <t>서울시 성북구</t>
    <phoneticPr fontId="4" type="noConversion"/>
  </si>
  <si>
    <t>3(1)</t>
    <phoneticPr fontId="4" type="noConversion"/>
  </si>
  <si>
    <t>성은희</t>
    <phoneticPr fontId="4" type="noConversion"/>
  </si>
  <si>
    <t>부천시 오정구</t>
    <phoneticPr fontId="4" type="noConversion"/>
  </si>
  <si>
    <t>5(3)</t>
    <phoneticPr fontId="4" type="noConversion"/>
  </si>
  <si>
    <t>이영주</t>
    <phoneticPr fontId="4" type="noConversion"/>
  </si>
  <si>
    <t>부천시 원미구</t>
    <phoneticPr fontId="4" type="noConversion"/>
  </si>
  <si>
    <t>2(0)</t>
    <phoneticPr fontId="4" type="noConversion"/>
  </si>
  <si>
    <t>배수인</t>
    <phoneticPr fontId="4" type="noConversion"/>
  </si>
  <si>
    <t>안양시 동안구</t>
    <phoneticPr fontId="4" type="noConversion"/>
  </si>
  <si>
    <t>표영호</t>
    <phoneticPr fontId="4" type="noConversion"/>
  </si>
  <si>
    <t>성남시 수정구</t>
    <phoneticPr fontId="4" type="noConversion"/>
  </si>
  <si>
    <t>1(0)</t>
    <phoneticPr fontId="4" type="noConversion"/>
  </si>
  <si>
    <t>[표2]</t>
    <phoneticPr fontId="4" type="noConversion"/>
  </si>
  <si>
    <t>가족 인원별 회비</t>
    <phoneticPr fontId="4" type="noConversion"/>
  </si>
  <si>
    <t>가족 수</t>
    <phoneticPr fontId="4" type="noConversion"/>
  </si>
  <si>
    <t>회비1</t>
    <phoneticPr fontId="4" type="noConversion"/>
  </si>
  <si>
    <t>회비2</t>
    <phoneticPr fontId="4" type="noConversion"/>
  </si>
  <si>
    <t>[표3]</t>
    <phoneticPr fontId="4" type="noConversion"/>
  </si>
  <si>
    <t>회원명</t>
    <phoneticPr fontId="4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</si>
  <si>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</si>
  <si>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</si>
  <si>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</si>
  <si>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</si>
  <si>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</si>
  <si>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</si>
  <si>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</si>
  <si>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</si>
  <si>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</si>
  <si>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</si>
  <si>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</si>
  <si>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</si>
  <si>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</si>
  <si>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</si>
  <si>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</si>
  <si>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</si>
  <si>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</si>
  <si>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4" type="noConversion"/>
  </si>
  <si>
    <t>운동명</t>
    <phoneticPr fontId="4" type="noConversion"/>
  </si>
  <si>
    <t>중간값의 차</t>
    <phoneticPr fontId="4" type="noConversion"/>
  </si>
  <si>
    <t>최소 사용요금</t>
    <phoneticPr fontId="4" type="noConversion"/>
  </si>
  <si>
    <t>수영</t>
    <phoneticPr fontId="4" type="noConversion"/>
  </si>
  <si>
    <t>헬스</t>
    <phoneticPr fontId="4" type="noConversion"/>
  </si>
  <si>
    <t>스쿼시</t>
    <phoneticPr fontId="4" type="noConversion"/>
  </si>
  <si>
    <t>2014년 영업소별 판매대수</t>
    <phoneticPr fontId="4" type="noConversion"/>
  </si>
  <si>
    <t>2015년 영업소별 판매대수</t>
    <phoneticPr fontId="4" type="noConversion"/>
  </si>
  <si>
    <t>2016년 영업소별 판매대수</t>
    <phoneticPr fontId="4" type="noConversion"/>
  </si>
  <si>
    <t>단위:   대</t>
  </si>
  <si>
    <t>영업소명</t>
  </si>
  <si>
    <t>쏘나더</t>
  </si>
  <si>
    <t>마가넷</t>
  </si>
  <si>
    <t>크레포스</t>
  </si>
  <si>
    <t>강남영업소</t>
  </si>
  <si>
    <t>강서영업소</t>
  </si>
  <si>
    <t>강북영업소</t>
  </si>
  <si>
    <t>강동영업소</t>
  </si>
  <si>
    <t>동경영업소</t>
  </si>
  <si>
    <t>3년간 영업소별 평균 판매대수</t>
  </si>
  <si>
    <t xml:space="preserve"> 중간고사  현황</t>
    <phoneticPr fontId="4" type="noConversion"/>
  </si>
  <si>
    <t>번호</t>
    <phoneticPr fontId="4" type="noConversion"/>
  </si>
  <si>
    <t>성명</t>
    <phoneticPr fontId="4" type="noConversion"/>
  </si>
  <si>
    <t>국어</t>
    <phoneticPr fontId="4" type="noConversion"/>
  </si>
  <si>
    <t>영어</t>
    <phoneticPr fontId="4" type="noConversion"/>
  </si>
  <si>
    <t>수학</t>
    <phoneticPr fontId="4" type="noConversion"/>
  </si>
  <si>
    <t>김수정</t>
    <phoneticPr fontId="4" type="noConversion"/>
  </si>
  <si>
    <t>박정호</t>
    <phoneticPr fontId="4" type="noConversion"/>
  </si>
  <si>
    <t>최아름</t>
    <phoneticPr fontId="4" type="noConversion"/>
  </si>
  <si>
    <t>박진수</t>
    <phoneticPr fontId="4" type="noConversion"/>
  </si>
  <si>
    <t>이영호</t>
    <phoneticPr fontId="4" type="noConversion"/>
  </si>
  <si>
    <t>권민수</t>
    <phoneticPr fontId="4" type="noConversion"/>
  </si>
  <si>
    <t>이강호</t>
    <phoneticPr fontId="4" type="noConversion"/>
  </si>
  <si>
    <t>박동희</t>
    <phoneticPr fontId="4" type="noConversion"/>
  </si>
  <si>
    <t>서영수</t>
    <phoneticPr fontId="4" type="noConversion"/>
  </si>
  <si>
    <t>강남영</t>
    <phoneticPr fontId="4" type="noConversion"/>
  </si>
  <si>
    <t>티켓 관리</t>
    <phoneticPr fontId="4" type="noConversion"/>
  </si>
  <si>
    <t>영화명</t>
    <phoneticPr fontId="4" type="noConversion"/>
  </si>
  <si>
    <t>단가</t>
    <phoneticPr fontId="4" type="noConversion"/>
  </si>
  <si>
    <t>매수</t>
    <phoneticPr fontId="4" type="noConversion"/>
  </si>
  <si>
    <t>금액</t>
    <phoneticPr fontId="4" type="noConversion"/>
  </si>
  <si>
    <t>할인금액</t>
    <phoneticPr fontId="4" type="noConversion"/>
  </si>
  <si>
    <t>1파란하늘</t>
    <phoneticPr fontId="3" type="noConversion"/>
  </si>
  <si>
    <t>파란하늘</t>
    <phoneticPr fontId="4" type="noConversion"/>
  </si>
  <si>
    <t>2별자리</t>
    <phoneticPr fontId="3" type="noConversion"/>
  </si>
  <si>
    <t>별자리</t>
    <phoneticPr fontId="4" type="noConversion"/>
  </si>
  <si>
    <t>3내일</t>
    <phoneticPr fontId="3" type="noConversion"/>
  </si>
  <si>
    <t>내일</t>
    <phoneticPr fontId="4" type="noConversion"/>
  </si>
  <si>
    <t>4ACTION</t>
    <phoneticPr fontId="3" type="noConversion"/>
  </si>
  <si>
    <t>ACTION</t>
    <phoneticPr fontId="4" type="noConversion"/>
  </si>
  <si>
    <t>도서번호</t>
  </si>
  <si>
    <t>대여권수</t>
  </si>
  <si>
    <t>대여일</t>
  </si>
  <si>
    <t>반납예정일</t>
  </si>
  <si>
    <t>A200</t>
  </si>
  <si>
    <t>서은수</t>
  </si>
  <si>
    <t>송지나</t>
  </si>
  <si>
    <t>양근배</t>
  </si>
  <si>
    <t>오정근</t>
  </si>
  <si>
    <t>이미옥</t>
  </si>
  <si>
    <t>이순식</t>
  </si>
  <si>
    <t>이현숙</t>
  </si>
  <si>
    <t>A300</t>
  </si>
  <si>
    <t>김상면</t>
  </si>
  <si>
    <t>이경실</t>
  </si>
  <si>
    <t>황민석</t>
  </si>
  <si>
    <t>주소</t>
  </si>
  <si>
    <t>나이</t>
  </si>
  <si>
    <t>이메일</t>
  </si>
  <si>
    <t>아현1동</t>
  </si>
  <si>
    <t>Yunmu@gilbut.co.kr</t>
  </si>
  <si>
    <t>공덕2동</t>
  </si>
  <si>
    <t>Kanpan@gilbut.co.kr</t>
  </si>
  <si>
    <t>A100</t>
  </si>
  <si>
    <t>강석구</t>
  </si>
  <si>
    <t>아현3동</t>
  </si>
  <si>
    <t>Biman@gilbut.co.kr</t>
  </si>
  <si>
    <t>Kyunyoung@gilbut.co.kr</t>
  </si>
  <si>
    <t>A700</t>
  </si>
  <si>
    <t>오영석</t>
  </si>
  <si>
    <t>도화1동</t>
  </si>
  <si>
    <t>Kilna@gilbut.co.kr</t>
  </si>
  <si>
    <t>신공덕동</t>
  </si>
  <si>
    <t>Kanji@gilbut.co.kr</t>
  </si>
  <si>
    <t>조성준</t>
  </si>
  <si>
    <t>서교동</t>
  </si>
  <si>
    <t>Leejun@gilbut.co.kr</t>
  </si>
  <si>
    <t>A400</t>
  </si>
  <si>
    <t>박성원</t>
  </si>
  <si>
    <t>도화2동</t>
  </si>
  <si>
    <t>Kimu@gilbut.co.kr</t>
  </si>
  <si>
    <t>A600</t>
  </si>
  <si>
    <t>이승호</t>
  </si>
  <si>
    <t>아현2동</t>
  </si>
  <si>
    <t>Chujong@gilbut.co.kr</t>
  </si>
  <si>
    <t>A800</t>
  </si>
  <si>
    <t>강희찬</t>
  </si>
  <si>
    <t>Junkum@gilbut.co.kr</t>
  </si>
  <si>
    <t>A500</t>
  </si>
  <si>
    <t>조연우</t>
  </si>
  <si>
    <t>Mochan@gilbut.co.kr</t>
  </si>
  <si>
    <t>A900</t>
  </si>
  <si>
    <t>오수빈</t>
  </si>
  <si>
    <t>Kilyoung@gilbut.co.kr</t>
  </si>
  <si>
    <t>Johwa@gilbut.co.kr</t>
  </si>
  <si>
    <t>Sae@gilbut.co.kr</t>
  </si>
  <si>
    <t>도현우</t>
  </si>
  <si>
    <t>Binsun@gilbut.co.kr</t>
  </si>
  <si>
    <t>이상숙</t>
  </si>
  <si>
    <t>Machan@gilbut.co.kr</t>
  </si>
  <si>
    <t>Yongtong@gilbut.co.kr</t>
  </si>
  <si>
    <t>박주원</t>
  </si>
  <si>
    <t>Soonra@gilbut.co.kr</t>
  </si>
  <si>
    <t>곽영배</t>
  </si>
  <si>
    <t>Binjeo@gilbut.co.kr</t>
  </si>
  <si>
    <t>서국희</t>
  </si>
  <si>
    <t>Jinsin@gilbut.co.kr</t>
  </si>
  <si>
    <t>Parkane@gilbut.co.kr</t>
  </si>
  <si>
    <t>김현경</t>
  </si>
  <si>
    <t>Dongyang@gilbut.co.kr</t>
  </si>
  <si>
    <t>Soonsul@gilbut.co.kr</t>
  </si>
  <si>
    <t>조영남</t>
  </si>
  <si>
    <t>Kunchan@gilbut.co.kr</t>
  </si>
  <si>
    <t>황금희</t>
  </si>
  <si>
    <t>Minlim@gilbut.co.kr</t>
  </si>
  <si>
    <t>오상벽</t>
  </si>
  <si>
    <t>Yoyang@gilbut.co.kr</t>
  </si>
  <si>
    <t>반효정</t>
  </si>
  <si>
    <t>Kwanhwa@gilbut.co.kr</t>
  </si>
  <si>
    <t>Dangbo@gilbut.co.kr</t>
  </si>
  <si>
    <t>윤다훈</t>
  </si>
  <si>
    <t>Janghoon@gilbut.co.kr</t>
  </si>
  <si>
    <t>진경희</t>
  </si>
  <si>
    <t>성산동</t>
  </si>
  <si>
    <t>Kwanpan@gilbut.co.kr</t>
  </si>
  <si>
    <t>오유진</t>
  </si>
  <si>
    <t>공덕1동</t>
  </si>
  <si>
    <t>Kuemso@gilbut.co.kr</t>
  </si>
  <si>
    <t>곽부성</t>
  </si>
  <si>
    <t>Bungmu@gilbut.co.kr</t>
  </si>
  <si>
    <t>성인기</t>
  </si>
  <si>
    <t>Konglim@gilbut.co.kr</t>
  </si>
  <si>
    <t>강현철</t>
  </si>
  <si>
    <t>Leean@gilbut.co.kr</t>
  </si>
  <si>
    <t>공진아</t>
  </si>
  <si>
    <t>Kalmin@gilbut.co.kr</t>
  </si>
  <si>
    <t>박한석</t>
  </si>
  <si>
    <t>Naepyo@gilbut.co.kr</t>
  </si>
  <si>
    <t>이상우</t>
  </si>
  <si>
    <t>Naee@gilbut.co.kr</t>
  </si>
  <si>
    <t>양진주</t>
  </si>
  <si>
    <t>Kyunsung@gilbut.co.kr</t>
  </si>
  <si>
    <t>오현란</t>
  </si>
  <si>
    <t>Chundoo@gilbut.co.kr</t>
  </si>
  <si>
    <t>정휘림</t>
  </si>
  <si>
    <t>Busul@gilbut.co.kr</t>
  </si>
  <si>
    <t>(모두)</t>
  </si>
  <si>
    <t>총합계</t>
  </si>
  <si>
    <t>평균 : 나이</t>
  </si>
  <si>
    <t>2월</t>
  </si>
  <si>
    <t>3월</t>
  </si>
  <si>
    <t>4월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</si>
</sst>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dd\-mmm\-yy"/>
    <numFmt numFmtId="177" formatCode="_(* #,##0_);_(* \(#,##0\);_(* &quot;-&quot;_);_(@_)"/>
    <numFmt numFmtId="178" formatCode="#,###"/>
    <numFmt numFmtId="179" formatCode="0.0%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9"/>
      <color indexed="8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5" fillId="0" borderId="0"/>
    <xf numFmtId="177" fontId="1" fillId="0" borderId="0" applyFont="0" applyFill="0" applyBorder="0" applyAlignment="0" applyProtection="0"/>
    <xf numFmtId="0" fontId="12" fillId="0" borderId="0"/>
  </cellStyleXfs>
  <cellXfs count="45">
    <xf numFmtId="0" fontId="0" fillId="0" borderId="0" xfId="0">
      <alignment vertical="center"/>
    </xf>
    <xf numFmtId="0" fontId="2" fillId="0" borderId="0" xfId="1" applyFont="1"/>
    <xf numFmtId="0" fontId="2" fillId="0" borderId="0" xfId="1" applyFont="1" applyAlignment="1">
      <alignment vertical="top"/>
    </xf>
    <xf numFmtId="0" fontId="7" fillId="0" borderId="0" xfId="1" applyFont="1" applyAlignment="1">
      <alignment vertical="center"/>
    </xf>
    <xf numFmtId="0" fontId="6" fillId="0" borderId="2" xfId="2" applyFont="1" applyFill="1" applyBorder="1" applyAlignment="1">
      <alignment horizontal="center" vertical="center" wrapText="1"/>
    </xf>
    <xf numFmtId="176" fontId="6" fillId="0" borderId="2" xfId="2" applyNumberFormat="1" applyFont="1" applyFill="1" applyBorder="1" applyAlignment="1">
      <alignment horizontal="center" vertical="center" wrapText="1"/>
    </xf>
    <xf numFmtId="0" fontId="6" fillId="0" borderId="2" xfId="2" applyFont="1" applyFill="1" applyBorder="1" applyAlignment="1">
      <alignment horizontal="right" vertical="center" wrapText="1"/>
    </xf>
    <xf numFmtId="0" fontId="7" fillId="0" borderId="0" xfId="1" applyFont="1" applyAlignment="1">
      <alignment horizontal="center" vertical="center"/>
    </xf>
    <xf numFmtId="0" fontId="2" fillId="0" borderId="3" xfId="1" applyFont="1" applyBorder="1" applyAlignment="1">
      <alignment horizontal="center"/>
    </xf>
    <xf numFmtId="0" fontId="2" fillId="0" borderId="3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14" fontId="2" fillId="0" borderId="3" xfId="1" applyNumberFormat="1" applyFont="1" applyBorder="1" applyAlignment="1">
      <alignment horizontal="center"/>
    </xf>
    <xf numFmtId="177" fontId="8" fillId="0" borderId="3" xfId="3" applyFont="1" applyFill="1" applyBorder="1" applyAlignment="1">
      <alignment horizontal="center"/>
    </xf>
    <xf numFmtId="177" fontId="8" fillId="0" borderId="3" xfId="3" applyFont="1" applyBorder="1"/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0" fontId="2" fillId="0" borderId="3" xfId="1" applyFont="1" applyBorder="1" applyAlignment="1">
      <alignment horizontal="right"/>
    </xf>
    <xf numFmtId="0" fontId="2" fillId="0" borderId="3" xfId="1" applyFont="1" applyBorder="1"/>
    <xf numFmtId="177" fontId="8" fillId="0" borderId="3" xfId="3" applyFont="1" applyBorder="1" applyAlignment="1">
      <alignment horizontal="center"/>
    </xf>
    <xf numFmtId="177" fontId="8" fillId="0" borderId="0" xfId="3" applyFont="1" applyFill="1" applyBorder="1" applyAlignment="1">
      <alignment horizontal="center"/>
    </xf>
    <xf numFmtId="0" fontId="2" fillId="0" borderId="0" xfId="1" applyFont="1" applyBorder="1"/>
    <xf numFmtId="177" fontId="8" fillId="0" borderId="0" xfId="3" applyFont="1" applyBorder="1"/>
    <xf numFmtId="177" fontId="2" fillId="0" borderId="0" xfId="1" applyNumberFormat="1" applyFont="1"/>
    <xf numFmtId="0" fontId="2" fillId="0" borderId="0" xfId="1" applyFont="1" applyAlignment="1">
      <alignment vertical="center"/>
    </xf>
    <xf numFmtId="0" fontId="2" fillId="3" borderId="3" xfId="1" applyFont="1" applyFill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3" xfId="1" applyFont="1" applyBorder="1" applyAlignment="1">
      <alignment vertical="center"/>
    </xf>
    <xf numFmtId="0" fontId="2" fillId="0" borderId="0" xfId="1" applyFont="1" applyAlignment="1">
      <alignment horizontal="center"/>
    </xf>
    <xf numFmtId="177" fontId="2" fillId="0" borderId="0" xfId="3" applyNumberFormat="1" applyFont="1" applyAlignment="1">
      <alignment vertical="center"/>
    </xf>
    <xf numFmtId="22" fontId="0" fillId="0" borderId="0" xfId="0" applyNumberForma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13" fillId="4" borderId="1" xfId="4" applyFont="1" applyFill="1" applyBorder="1" applyAlignment="1">
      <alignment horizontal="center"/>
    </xf>
    <xf numFmtId="176" fontId="13" fillId="0" borderId="2" xfId="4" applyNumberFormat="1" applyFont="1" applyFill="1" applyBorder="1" applyAlignment="1">
      <alignment horizontal="right" wrapText="1"/>
    </xf>
    <xf numFmtId="0" fontId="13" fillId="0" borderId="2" xfId="4" applyFont="1" applyFill="1" applyBorder="1" applyAlignment="1">
      <alignment wrapText="1"/>
    </xf>
    <xf numFmtId="0" fontId="13" fillId="0" borderId="2" xfId="4" applyFont="1" applyFill="1" applyBorder="1" applyAlignment="1">
      <alignment horizontal="right" wrapText="1"/>
    </xf>
    <xf numFmtId="0" fontId="6" fillId="0" borderId="1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2" fillId="0" borderId="0" xfId="1" applyFont="1" applyAlignment="1"/>
    <xf numFmtId="177" fontId="8" fillId="0" borderId="0" xfId="3" applyFont="1" applyAlignment="1"/>
    <xf numFmtId="0" fontId="11" fillId="0" borderId="0" xfId="1" applyFont="1" applyAlignment="1"/>
    <xf numFmtId="178" fontId="2" fillId="0" borderId="0" xfId="1" applyNumberFormat="1" applyFont="1" applyAlignment="1"/>
  </cellXfs>
  <cellStyles count="5">
    <cellStyle name="쉼표 [0] 2" xfId="3"/>
    <cellStyle name="표준" xfId="0" builtinId="0"/>
    <cellStyle name="표준 2" xfId="1"/>
    <cellStyle name="표준_분석작업-1" xfId="4"/>
    <cellStyle name="표준_직위" xfId="2"/>
  </cellStyles>
  <dxfs count="3">
    <dxf>
      <font>
        <b val="0"/>
        <i/>
      </font>
      <fill>
        <patternFill>
          <bgColor rgb="FFFFC000"/>
        </patternFill>
      </fill>
    </dxf>
    <dxf>
      <numFmt numFmtId="27" formatCode="yyyy/mm/dd\ h:mm"/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중간고사 점수</a:t>
            </a:r>
          </a:p>
        </c:rich>
      </c:tx>
      <c:layout/>
      <c:overlay val="0"/>
    </c:title>
    <c:autoTitleDeleted val="0"/>
    <c:view3D>
      <c:rotX val="20"/>
      <c:rotY val="30"/>
      <c:rAngAx val="1"/>
    </c:view3D>
    <c:floor>
      <c:thickness val="0"/>
    </c:floor>
    <c:sideWall>
      <c:thickness val="0"/>
      <c:spPr>
        <a:blipFill>
          <a:blip xmlns:r="http://schemas.openxmlformats.org/officeDocument/2006/relationships" r:embed="rId1"/>
          <a:tile tx="0" ty="0" sx="100000" sy="100000" flip="none" algn="tl"/>
        </a:blipFill>
      </c:spPr>
    </c:sideWall>
    <c:backWall>
      <c:thickness val="0"/>
      <c:spPr>
        <a:blipFill>
          <a:blip xmlns:r="http://schemas.openxmlformats.org/officeDocument/2006/relationships" r:embed="rId1"/>
          <a:tile tx="0" ty="0" sx="100000" sy="100000" flip="none" algn="tl"/>
        </a:blipFill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국어</c:v>
                </c:pt>
              </c:strCache>
            </c:strRef>
          </c:tx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'기타작업-1'!$D$4:$D$8</c:f>
              <c:numCache>
                <c:formatCode>General</c:formatCode>
                <c:ptCount val="5"/>
                <c:pt idx="0">
                  <c:v>75</c:v>
                </c:pt>
                <c:pt idx="1">
                  <c:v>79</c:v>
                </c:pt>
                <c:pt idx="2">
                  <c:v>71</c:v>
                </c:pt>
                <c:pt idx="3">
                  <c:v>80</c:v>
                </c:pt>
                <c:pt idx="4">
                  <c:v>77</c:v>
                </c:pt>
              </c:numCache>
            </c:numRef>
          </c:val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영어</c:v>
                </c:pt>
              </c:strCache>
            </c:strRef>
          </c:tx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'기타작업-1'!$E$4:$E$8</c:f>
              <c:numCache>
                <c:formatCode>General</c:formatCode>
                <c:ptCount val="5"/>
                <c:pt idx="0">
                  <c:v>73</c:v>
                </c:pt>
                <c:pt idx="1">
                  <c:v>71</c:v>
                </c:pt>
                <c:pt idx="2">
                  <c:v>68</c:v>
                </c:pt>
                <c:pt idx="3">
                  <c:v>82</c:v>
                </c:pt>
                <c:pt idx="4">
                  <c:v>75</c:v>
                </c:pt>
              </c:numCache>
            </c:numRef>
          </c:val>
        </c:ser>
        <c:ser>
          <c:idx val="2"/>
          <c:order val="2"/>
          <c:tx>
            <c:strRef>
              <c:f>'기타작업-1'!$F$3</c:f>
              <c:strCache>
                <c:ptCount val="1"/>
                <c:pt idx="0">
                  <c:v>수학</c:v>
                </c:pt>
              </c:strCache>
            </c:strRef>
          </c:tx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'기타작업-1'!$F$4:$F$8</c:f>
              <c:numCache>
                <c:formatCode>General</c:formatCode>
                <c:ptCount val="5"/>
                <c:pt idx="0">
                  <c:v>80</c:v>
                </c:pt>
                <c:pt idx="1">
                  <c:v>70</c:v>
                </c:pt>
                <c:pt idx="2">
                  <c:v>64</c:v>
                </c:pt>
                <c:pt idx="3">
                  <c:v>78</c:v>
                </c:pt>
                <c:pt idx="4">
                  <c:v>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gapDepth val="50"/>
        <c:shape val="box"/>
        <c:axId val="59221120"/>
        <c:axId val="59424768"/>
        <c:axId val="0"/>
      </c:bar3DChart>
      <c:catAx>
        <c:axId val="5922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성명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59424768"/>
        <c:crosses val="autoZero"/>
        <c:auto val="1"/>
        <c:lblAlgn val="ctr"/>
        <c:lblOffset val="200"/>
        <c:noMultiLvlLbl val="0"/>
      </c:catAx>
      <c:valAx>
        <c:axId val="59424768"/>
        <c:scaling>
          <c:orientation val="minMax"/>
          <c:max val="240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ko-KR" altLang="en-US"/>
                  <a:t>성적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9221120"/>
        <c:crosses val="autoZero"/>
        <c:crossBetween val="between"/>
        <c:majorUnit val="30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0</xdr:colOff>
      <xdr:row>12</xdr:row>
      <xdr:rowOff>0</xdr:rowOff>
    </xdr:to>
    <xdr:sp macro="[0]!최대판매대수" textlink="">
      <xdr:nvSpPr>
        <xdr:cNvPr id="2" name="순서도: 카드 1"/>
        <xdr:cNvSpPr/>
      </xdr:nvSpPr>
      <xdr:spPr>
        <a:xfrm>
          <a:off x="2914650" y="2114550"/>
          <a:ext cx="1447800" cy="419100"/>
        </a:xfrm>
        <a:prstGeom prst="flowChartPunchedCar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최대판매대수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8</xdr:row>
      <xdr:rowOff>0</xdr:rowOff>
    </xdr:to>
    <xdr:sp macro="[0]!고급필터" textlink="">
      <xdr:nvSpPr>
        <xdr:cNvPr id="2" name="AutoShape 1"/>
        <xdr:cNvSpPr>
          <a:spLocks noChangeArrowheads="1"/>
        </xdr:cNvSpPr>
      </xdr:nvSpPr>
      <xdr:spPr bwMode="auto">
        <a:xfrm>
          <a:off x="0" y="1257300"/>
          <a:ext cx="0" cy="419100"/>
        </a:xfrm>
        <a:prstGeom prst="flowChartPredefined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고급필터</a:t>
          </a:r>
        </a:p>
      </xdr:txBody>
    </xdr:sp>
    <xdr:clientData/>
  </xdr:twoCellAnchor>
  <xdr:twoCellAnchor>
    <xdr:from>
      <xdr:col>0</xdr:col>
      <xdr:colOff>0</xdr:colOff>
      <xdr:row>8</xdr:row>
      <xdr:rowOff>161925</xdr:rowOff>
    </xdr:from>
    <xdr:to>
      <xdr:col>0</xdr:col>
      <xdr:colOff>0</xdr:colOff>
      <xdr:row>12</xdr:row>
      <xdr:rowOff>152400</xdr:rowOff>
    </xdr:to>
    <xdr:sp macro="[0]!색채우기" textlink="">
      <xdr:nvSpPr>
        <xdr:cNvPr id="3" name="AutoShape 2"/>
        <xdr:cNvSpPr>
          <a:spLocks noChangeArrowheads="1"/>
        </xdr:cNvSpPr>
      </xdr:nvSpPr>
      <xdr:spPr bwMode="auto">
        <a:xfrm>
          <a:off x="0" y="1838325"/>
          <a:ext cx="0" cy="828675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색채우기</a:t>
          </a:r>
        </a:p>
      </xdr:txBody>
    </xdr:sp>
    <xdr:clientData/>
  </xdr:twoCellAnchor>
  <xdr:twoCellAnchor>
    <xdr:from>
      <xdr:col>1</xdr:col>
      <xdr:colOff>0</xdr:colOff>
      <xdr:row>14</xdr:row>
      <xdr:rowOff>1</xdr:rowOff>
    </xdr:from>
    <xdr:to>
      <xdr:col>8</xdr:col>
      <xdr:colOff>0</xdr:colOff>
      <xdr:row>29</xdr:row>
      <xdr:rowOff>1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0</xdr:row>
          <xdr:rowOff>28575</xdr:rowOff>
        </xdr:from>
        <xdr:to>
          <xdr:col>7</xdr:col>
          <xdr:colOff>152400</xdr:colOff>
          <xdr:row>1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1&#44553;F&#54805;--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835108912041" createdVersion="4" refreshedVersion="4" minRefreshableVersion="3" recordCount="40">
  <cacheSource type="worksheet">
    <worksheetSource ref="A1:F41" sheet="분석작업-1" r:id="rId2"/>
  </cacheSource>
  <cacheFields count="6">
    <cacheField name="대여일" numFmtId="176">
      <sharedItems containsSemiMixedTypes="0" containsNonDate="0" containsDate="1" containsString="0" minDate="2016-02-17T00:00:00" maxDate="2016-04-11T00:00:00" count="27">
        <d v="2016-02-17T00:00:00"/>
        <d v="2016-02-18T00:00:00"/>
        <d v="2016-02-19T00:00:00"/>
        <d v="2016-02-22T00:00:00"/>
        <d v="2016-02-23T00:00:00"/>
        <d v="2016-02-25T00:00:00"/>
        <d v="2016-02-27T00:00:00"/>
        <d v="2016-03-03T00:00:00"/>
        <d v="2016-03-06T00:00:00"/>
        <d v="2016-03-07T00:00:00"/>
        <d v="2016-03-09T00:00:00"/>
        <d v="2016-03-13T00:00:00"/>
        <d v="2016-03-16T00:00:00"/>
        <d v="2016-03-17T00:00:00"/>
        <d v="2016-03-20T00:00:00"/>
        <d v="2016-03-21T00:00:00"/>
        <d v="2016-03-23T00:00:00"/>
        <d v="2016-03-24T00:00:00"/>
        <d v="2016-03-26T00:00:00"/>
        <d v="2016-03-27T00:00:00"/>
        <d v="2016-03-29T00:00:00"/>
        <d v="2016-04-02T00:00:00"/>
        <d v="2016-04-03T00:00:00"/>
        <d v="2016-04-07T00:00:00"/>
        <d v="2016-04-08T00:00:00"/>
        <d v="2016-04-09T00:00:00"/>
        <d v="2016-04-10T00:00:00"/>
      </sharedItems>
      <fieldGroup base="0">
        <rangePr groupBy="months" startDate="2016-02-17T00:00:00" endDate="2016-04-11T00:00:00"/>
        <groupItems count="14">
          <s v="&lt;2016-02-17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6-04-11"/>
        </groupItems>
      </fieldGroup>
    </cacheField>
    <cacheField name="도서번호" numFmtId="0">
      <sharedItems/>
    </cacheField>
    <cacheField name="이름" numFmtId="0">
      <sharedItems count="40">
        <s v="서은수"/>
        <s v="황민석"/>
        <s v="강석구"/>
        <s v="오정근"/>
        <s v="오영석"/>
        <s v="이순식"/>
        <s v="조성준"/>
        <s v="박성원"/>
        <s v="이승호"/>
        <s v="강희찬"/>
        <s v="조연우"/>
        <s v="오수빈"/>
        <s v="송지나"/>
        <s v="이현숙"/>
        <s v="도현우"/>
        <s v="이상숙"/>
        <s v="양근배"/>
        <s v="박주원"/>
        <s v="곽영배"/>
        <s v="서국희"/>
        <s v="이미옥"/>
        <s v="김현경"/>
        <s v="이경실"/>
        <s v="조영남"/>
        <s v="황금희"/>
        <s v="오상벽"/>
        <s v="반효정"/>
        <s v="김상면"/>
        <s v="윤다훈"/>
        <s v="진경희"/>
        <s v="오유진"/>
        <s v="곽부성"/>
        <s v="성인기"/>
        <s v="강현철"/>
        <s v="공진아"/>
        <s v="박한석"/>
        <s v="이상우"/>
        <s v="양진주"/>
        <s v="오현란"/>
        <s v="정휘림"/>
      </sharedItems>
    </cacheField>
    <cacheField name="주소" numFmtId="0">
      <sharedItems count="10">
        <s v="아현1동"/>
        <s v="공덕2동"/>
        <s v="아현3동"/>
        <s v="도화1동"/>
        <s v="신공덕동"/>
        <s v="서교동"/>
        <s v="도화2동"/>
        <s v="아현2동"/>
        <s v="성산동"/>
        <s v="공덕1동"/>
      </sharedItems>
    </cacheField>
    <cacheField name="나이" numFmtId="0">
      <sharedItems containsSemiMixedTypes="0" containsString="0" containsNumber="1" containsInteger="1" minValue="23" maxValue="33"/>
    </cacheField>
    <cacheField name="이메일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s v="A200"/>
    <x v="0"/>
    <x v="0"/>
    <n v="27"/>
    <s v="Yunmu@gilbut.co.kr"/>
  </r>
  <r>
    <x v="0"/>
    <s v="A300"/>
    <x v="1"/>
    <x v="1"/>
    <n v="29"/>
    <s v="Kanpan@gilbut.co.kr"/>
  </r>
  <r>
    <x v="1"/>
    <s v="A100"/>
    <x v="2"/>
    <x v="2"/>
    <n v="27"/>
    <s v="Biman@gilbut.co.kr"/>
  </r>
  <r>
    <x v="2"/>
    <s v="A200"/>
    <x v="3"/>
    <x v="2"/>
    <n v="30"/>
    <s v="Kyunyoung@gilbut.co.kr"/>
  </r>
  <r>
    <x v="2"/>
    <s v="A700"/>
    <x v="4"/>
    <x v="3"/>
    <n v="26"/>
    <s v="Kilna@gilbut.co.kr"/>
  </r>
  <r>
    <x v="3"/>
    <s v="A200"/>
    <x v="5"/>
    <x v="4"/>
    <n v="23"/>
    <s v="Kanji@gilbut.co.kr"/>
  </r>
  <r>
    <x v="3"/>
    <s v="A100"/>
    <x v="6"/>
    <x v="5"/>
    <n v="33"/>
    <s v="Leejun@gilbut.co.kr"/>
  </r>
  <r>
    <x v="4"/>
    <s v="A400"/>
    <x v="7"/>
    <x v="6"/>
    <n v="33"/>
    <s v="Kimu@gilbut.co.kr"/>
  </r>
  <r>
    <x v="5"/>
    <s v="A600"/>
    <x v="8"/>
    <x v="7"/>
    <n v="26"/>
    <s v="Chujong@gilbut.co.kr"/>
  </r>
  <r>
    <x v="5"/>
    <s v="A800"/>
    <x v="9"/>
    <x v="1"/>
    <n v="25"/>
    <s v="Junkum@gilbut.co.kr"/>
  </r>
  <r>
    <x v="6"/>
    <s v="A500"/>
    <x v="10"/>
    <x v="0"/>
    <n v="26"/>
    <s v="Mochan@gilbut.co.kr"/>
  </r>
  <r>
    <x v="7"/>
    <s v="A900"/>
    <x v="11"/>
    <x v="2"/>
    <n v="31"/>
    <s v="Kilyoung@gilbut.co.kr"/>
  </r>
  <r>
    <x v="8"/>
    <s v="A200"/>
    <x v="12"/>
    <x v="3"/>
    <n v="31"/>
    <s v="Johwa@gilbut.co.kr"/>
  </r>
  <r>
    <x v="8"/>
    <s v="A200"/>
    <x v="13"/>
    <x v="7"/>
    <n v="32"/>
    <s v="Sae@gilbut.co.kr"/>
  </r>
  <r>
    <x v="9"/>
    <s v="A900"/>
    <x v="14"/>
    <x v="3"/>
    <n v="29"/>
    <s v="Binsun@gilbut.co.kr"/>
  </r>
  <r>
    <x v="10"/>
    <s v="A600"/>
    <x v="15"/>
    <x v="5"/>
    <n v="32"/>
    <s v="Machan@gilbut.co.kr"/>
  </r>
  <r>
    <x v="10"/>
    <s v="A200"/>
    <x v="16"/>
    <x v="7"/>
    <n v="31"/>
    <s v="Yongtong@gilbut.co.kr"/>
  </r>
  <r>
    <x v="11"/>
    <s v="A100"/>
    <x v="17"/>
    <x v="0"/>
    <n v="27"/>
    <s v="Soonra@gilbut.co.kr"/>
  </r>
  <r>
    <x v="11"/>
    <s v="A600"/>
    <x v="18"/>
    <x v="2"/>
    <n v="32"/>
    <s v="Binjeo@gilbut.co.kr"/>
  </r>
  <r>
    <x v="11"/>
    <s v="A400"/>
    <x v="19"/>
    <x v="1"/>
    <n v="27"/>
    <s v="Jinsin@gilbut.co.kr"/>
  </r>
  <r>
    <x v="12"/>
    <s v="A200"/>
    <x v="20"/>
    <x v="6"/>
    <n v="32"/>
    <s v="Parkane@gilbut.co.kr"/>
  </r>
  <r>
    <x v="13"/>
    <s v="A800"/>
    <x v="21"/>
    <x v="0"/>
    <n v="24"/>
    <s v="Dongyang@gilbut.co.kr"/>
  </r>
  <r>
    <x v="14"/>
    <s v="A300"/>
    <x v="22"/>
    <x v="4"/>
    <n v="29"/>
    <s v="Soonsul@gilbut.co.kr"/>
  </r>
  <r>
    <x v="15"/>
    <s v="A100"/>
    <x v="23"/>
    <x v="0"/>
    <n v="31"/>
    <s v="Kunchan@gilbut.co.kr"/>
  </r>
  <r>
    <x v="16"/>
    <s v="A900"/>
    <x v="24"/>
    <x v="4"/>
    <n v="32"/>
    <s v="Minlim@gilbut.co.kr"/>
  </r>
  <r>
    <x v="16"/>
    <s v="A500"/>
    <x v="25"/>
    <x v="5"/>
    <n v="33"/>
    <s v="Yoyang@gilbut.co.kr"/>
  </r>
  <r>
    <x v="16"/>
    <s v="A700"/>
    <x v="26"/>
    <x v="0"/>
    <n v="26"/>
    <s v="Kwanhwa@gilbut.co.kr"/>
  </r>
  <r>
    <x v="17"/>
    <s v="A300"/>
    <x v="27"/>
    <x v="2"/>
    <n v="29"/>
    <s v="Dangbo@gilbut.co.kr"/>
  </r>
  <r>
    <x v="18"/>
    <s v="A800"/>
    <x v="28"/>
    <x v="3"/>
    <n v="32"/>
    <s v="Janghoon@gilbut.co.kr"/>
  </r>
  <r>
    <x v="19"/>
    <s v="A600"/>
    <x v="29"/>
    <x v="8"/>
    <n v="30"/>
    <s v="Kwanpan@gilbut.co.kr"/>
  </r>
  <r>
    <x v="20"/>
    <s v="A100"/>
    <x v="30"/>
    <x v="9"/>
    <n v="24"/>
    <s v="Kuemso@gilbut.co.kr"/>
  </r>
  <r>
    <x v="21"/>
    <s v="A700"/>
    <x v="31"/>
    <x v="0"/>
    <n v="28"/>
    <s v="Bungmu@gilbut.co.kr"/>
  </r>
  <r>
    <x v="21"/>
    <s v="A200"/>
    <x v="32"/>
    <x v="9"/>
    <n v="33"/>
    <s v="Konglim@gilbut.co.kr"/>
  </r>
  <r>
    <x v="22"/>
    <s v="A200"/>
    <x v="33"/>
    <x v="3"/>
    <n v="30"/>
    <s v="Leean@gilbut.co.kr"/>
  </r>
  <r>
    <x v="23"/>
    <s v="A600"/>
    <x v="34"/>
    <x v="9"/>
    <n v="33"/>
    <s v="Kalmin@gilbut.co.kr"/>
  </r>
  <r>
    <x v="23"/>
    <s v="A100"/>
    <x v="35"/>
    <x v="8"/>
    <n v="32"/>
    <s v="Naepyo@gilbut.co.kr"/>
  </r>
  <r>
    <x v="24"/>
    <s v="A900"/>
    <x v="36"/>
    <x v="2"/>
    <n v="33"/>
    <s v="Naee@gilbut.co.kr"/>
  </r>
  <r>
    <x v="25"/>
    <s v="A300"/>
    <x v="37"/>
    <x v="2"/>
    <n v="25"/>
    <s v="Kyunsung@gilbut.co.kr"/>
  </r>
  <r>
    <x v="25"/>
    <s v="A800"/>
    <x v="38"/>
    <x v="6"/>
    <n v="28"/>
    <s v="Chundoo@gilbut.co.kr"/>
  </r>
  <r>
    <x v="26"/>
    <s v="A200"/>
    <x v="39"/>
    <x v="8"/>
    <n v="32"/>
    <s v="Busul@gilbut.co.k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22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H5:L17" firstHeaderRow="1" firstDataRow="2" firstDataCol="1" rowPageCount="1" colPageCount="1"/>
  <pivotFields count="6">
    <pivotField axis="axisCol" compact="0" numFmtId="17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axis="axisPage" compact="0" showAll="0">
      <items count="41">
        <item x="2"/>
        <item x="33"/>
        <item x="9"/>
        <item x="34"/>
        <item x="31"/>
        <item x="18"/>
        <item x="27"/>
        <item x="21"/>
        <item x="14"/>
        <item x="7"/>
        <item x="17"/>
        <item x="35"/>
        <item x="26"/>
        <item x="19"/>
        <item x="0"/>
        <item x="32"/>
        <item x="12"/>
        <item x="16"/>
        <item x="37"/>
        <item x="25"/>
        <item x="11"/>
        <item x="4"/>
        <item x="30"/>
        <item x="3"/>
        <item x="38"/>
        <item x="28"/>
        <item x="22"/>
        <item x="20"/>
        <item x="15"/>
        <item x="36"/>
        <item x="5"/>
        <item x="8"/>
        <item x="13"/>
        <item x="39"/>
        <item x="6"/>
        <item x="10"/>
        <item x="23"/>
        <item x="29"/>
        <item x="24"/>
        <item x="1"/>
        <item t="default"/>
      </items>
    </pivotField>
    <pivotField axis="axisRow" compact="0" showAll="0">
      <items count="11">
        <item x="9"/>
        <item x="1"/>
        <item x="3"/>
        <item x="6"/>
        <item x="5"/>
        <item x="8"/>
        <item x="4"/>
        <item x="0"/>
        <item x="7"/>
        <item x="2"/>
        <item t="default"/>
      </items>
    </pivotField>
    <pivotField dataField="1" compact="0" showAll="0"/>
    <pivotField compact="0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4">
    <i>
      <x v="2"/>
    </i>
    <i>
      <x v="3"/>
    </i>
    <i>
      <x v="4"/>
    </i>
    <i t="grand">
      <x/>
    </i>
  </colItems>
  <pageFields count="1">
    <pageField fld="2" hier="-1"/>
  </pageFields>
  <dataFields count="1">
    <dataField name="평균 : 나이" fld="4" subtotal="average" showDataAs="percentOfTotal" baseField="0" baseItem="0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도서번호" tableColumnId="1"/>
      <queryTableField id="2" name="대여권수" tableColumnId="2"/>
      <queryTableField id="3" name="이름" tableColumnId="3"/>
      <queryTableField id="4" name="대여일" tableColumnId="4"/>
      <queryTableField id="5" name="반납예정일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B3:F13" tableType="queryTable" totalsRowShown="0">
  <autoFilter ref="B3:F13"/>
  <tableColumns count="5">
    <tableColumn id="1" uniqueName="1" name="도서번호" queryTableFieldId="1"/>
    <tableColumn id="2" uniqueName="2" name="대여권수" queryTableFieldId="2"/>
    <tableColumn id="3" uniqueName="3" name="이름" queryTableFieldId="3"/>
    <tableColumn id="4" uniqueName="4" name="대여일" queryTableFieldId="4" dataDxfId="2"/>
    <tableColumn id="5" uniqueName="5" name="반납예정일" queryTableFieldId="5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"/>
  <sheetViews>
    <sheetView tabSelected="1" workbookViewId="0"/>
  </sheetViews>
  <sheetFormatPr defaultRowHeight="16.5"/>
  <cols>
    <col min="1" max="1" width="2" customWidth="1"/>
    <col min="2" max="3" width="11.25" customWidth="1"/>
    <col min="4" max="4" width="7.5" customWidth="1"/>
    <col min="5" max="6" width="15.5" customWidth="1"/>
  </cols>
  <sheetData>
    <row r="1" spans="1:6">
      <c r="A1" s="1" t="s">
        <v>0</v>
      </c>
      <c r="B1" s="2" t="s">
        <v>1</v>
      </c>
      <c r="C1" s="2"/>
      <c r="D1" s="2"/>
      <c r="E1" s="2"/>
      <c r="F1" s="2"/>
    </row>
    <row r="3" spans="1:6">
      <c r="B3" t="s">
        <v>157</v>
      </c>
      <c r="C3" t="s">
        <v>158</v>
      </c>
      <c r="D3" t="s">
        <v>3</v>
      </c>
      <c r="E3" t="s">
        <v>159</v>
      </c>
      <c r="F3" t="s">
        <v>160</v>
      </c>
    </row>
    <row r="4" spans="1:6">
      <c r="B4" t="s">
        <v>161</v>
      </c>
      <c r="C4">
        <v>1</v>
      </c>
      <c r="D4" t="s">
        <v>162</v>
      </c>
      <c r="E4" s="29">
        <v>42417</v>
      </c>
      <c r="F4" s="29">
        <v>42434</v>
      </c>
    </row>
    <row r="5" spans="1:6">
      <c r="B5" t="s">
        <v>161</v>
      </c>
      <c r="C5">
        <v>9</v>
      </c>
      <c r="D5" t="s">
        <v>163</v>
      </c>
      <c r="E5" s="29">
        <v>42435</v>
      </c>
      <c r="F5" s="29">
        <v>42449</v>
      </c>
    </row>
    <row r="6" spans="1:6">
      <c r="B6" t="s">
        <v>161</v>
      </c>
      <c r="C6">
        <v>7</v>
      </c>
      <c r="D6" t="s">
        <v>164</v>
      </c>
      <c r="E6" s="29">
        <v>42438</v>
      </c>
      <c r="F6" s="29">
        <v>42449</v>
      </c>
    </row>
    <row r="7" spans="1:6">
      <c r="B7" t="s">
        <v>161</v>
      </c>
      <c r="C7">
        <v>2</v>
      </c>
      <c r="D7" t="s">
        <v>165</v>
      </c>
      <c r="E7" s="29">
        <v>42419</v>
      </c>
      <c r="F7" s="29">
        <v>42434</v>
      </c>
    </row>
    <row r="8" spans="1:6">
      <c r="B8" t="s">
        <v>161</v>
      </c>
      <c r="C8">
        <v>6</v>
      </c>
      <c r="D8" t="s">
        <v>166</v>
      </c>
      <c r="E8" s="29">
        <v>42445</v>
      </c>
      <c r="F8" s="29">
        <v>42459</v>
      </c>
    </row>
    <row r="9" spans="1:6">
      <c r="B9" t="s">
        <v>161</v>
      </c>
      <c r="C9">
        <v>5</v>
      </c>
      <c r="D9" t="s">
        <v>167</v>
      </c>
      <c r="E9" s="29">
        <v>42422</v>
      </c>
      <c r="F9" s="29">
        <v>42444</v>
      </c>
    </row>
    <row r="10" spans="1:6">
      <c r="B10" t="s">
        <v>161</v>
      </c>
      <c r="C10">
        <v>4</v>
      </c>
      <c r="D10" t="s">
        <v>168</v>
      </c>
      <c r="E10" s="29">
        <v>42435</v>
      </c>
      <c r="F10" s="29">
        <v>42449</v>
      </c>
    </row>
    <row r="11" spans="1:6">
      <c r="B11" t="s">
        <v>169</v>
      </c>
      <c r="C11">
        <v>1</v>
      </c>
      <c r="D11" t="s">
        <v>170</v>
      </c>
      <c r="E11" s="29">
        <v>42453</v>
      </c>
      <c r="F11" s="29">
        <v>42465</v>
      </c>
    </row>
    <row r="12" spans="1:6">
      <c r="B12" t="s">
        <v>169</v>
      </c>
      <c r="C12">
        <v>5</v>
      </c>
      <c r="D12" t="s">
        <v>171</v>
      </c>
      <c r="E12" s="29">
        <v>42449</v>
      </c>
      <c r="F12" s="29">
        <v>42459</v>
      </c>
    </row>
    <row r="13" spans="1:6">
      <c r="B13" t="s">
        <v>169</v>
      </c>
      <c r="C13">
        <v>3</v>
      </c>
      <c r="D13" t="s">
        <v>172</v>
      </c>
      <c r="E13" s="29">
        <v>42417</v>
      </c>
      <c r="F13" s="29">
        <v>42434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0"/>
  <sheetViews>
    <sheetView workbookViewId="0"/>
  </sheetViews>
  <sheetFormatPr defaultRowHeight="16.5" customHeight="1"/>
  <cols>
    <col min="1" max="1" width="7.5" style="7" bestFit="1" customWidth="1"/>
    <col min="2" max="2" width="7.625" style="7" customWidth="1"/>
    <col min="3" max="3" width="9.25" style="7" bestFit="1" customWidth="1"/>
    <col min="4" max="4" width="4.5" style="7" bestFit="1" customWidth="1"/>
    <col min="5" max="5" width="10.25" style="7" bestFit="1" customWidth="1"/>
    <col min="6" max="11" width="8.125" style="3" customWidth="1"/>
    <col min="12" max="12" width="8.125" style="7" customWidth="1"/>
    <col min="13" max="16384" width="9" style="3"/>
  </cols>
  <sheetData>
    <row r="1" spans="1:12" ht="16.5" customHeight="1">
      <c r="A1" s="37" t="s">
        <v>2</v>
      </c>
      <c r="B1" s="37" t="s">
        <v>3</v>
      </c>
      <c r="C1" s="37" t="s">
        <v>4</v>
      </c>
      <c r="D1" s="37" t="s">
        <v>5</v>
      </c>
      <c r="E1" s="37" t="s">
        <v>6</v>
      </c>
      <c r="F1" s="37" t="s">
        <v>7</v>
      </c>
      <c r="G1" s="37" t="s">
        <v>8</v>
      </c>
      <c r="H1" s="37" t="s">
        <v>9</v>
      </c>
      <c r="I1" s="37" t="s">
        <v>10</v>
      </c>
      <c r="J1" s="37" t="s">
        <v>11</v>
      </c>
      <c r="K1" s="37" t="s">
        <v>12</v>
      </c>
      <c r="L1" s="37" t="s">
        <v>13</v>
      </c>
    </row>
    <row r="2" spans="1:12" ht="16.5" customHeight="1">
      <c r="A2" s="4">
        <v>200104</v>
      </c>
      <c r="B2" s="4" t="s">
        <v>14</v>
      </c>
      <c r="C2" s="4" t="s">
        <v>15</v>
      </c>
      <c r="D2" s="4" t="s">
        <v>16</v>
      </c>
      <c r="E2" s="5">
        <v>41278</v>
      </c>
      <c r="F2" s="6">
        <v>10</v>
      </c>
      <c r="G2" s="6">
        <v>0</v>
      </c>
      <c r="H2" s="6">
        <v>0</v>
      </c>
      <c r="I2" s="6">
        <v>90</v>
      </c>
      <c r="J2" s="6">
        <v>70</v>
      </c>
      <c r="K2" s="6">
        <v>34</v>
      </c>
      <c r="L2" s="4" t="s">
        <v>17</v>
      </c>
    </row>
    <row r="3" spans="1:12" ht="16.5" customHeight="1">
      <c r="A3" s="4">
        <v>200126</v>
      </c>
      <c r="B3" s="4" t="s">
        <v>18</v>
      </c>
      <c r="C3" s="4" t="s">
        <v>19</v>
      </c>
      <c r="D3" s="4" t="s">
        <v>20</v>
      </c>
      <c r="E3" s="5">
        <v>42006</v>
      </c>
      <c r="F3" s="6">
        <v>90</v>
      </c>
      <c r="G3" s="6">
        <v>80</v>
      </c>
      <c r="H3" s="6">
        <v>90</v>
      </c>
      <c r="I3" s="6">
        <v>80</v>
      </c>
      <c r="J3" s="6">
        <v>85</v>
      </c>
      <c r="K3" s="6">
        <v>85</v>
      </c>
      <c r="L3" s="4" t="s">
        <v>21</v>
      </c>
    </row>
    <row r="4" spans="1:12" ht="16.5" customHeight="1">
      <c r="A4" s="4">
        <v>200123</v>
      </c>
      <c r="B4" s="4" t="s">
        <v>22</v>
      </c>
      <c r="C4" s="4" t="s">
        <v>23</v>
      </c>
      <c r="D4" s="4" t="s">
        <v>16</v>
      </c>
      <c r="E4" s="5">
        <v>41863</v>
      </c>
      <c r="F4" s="6">
        <v>100</v>
      </c>
      <c r="G4" s="6">
        <v>56</v>
      </c>
      <c r="H4" s="6">
        <v>64</v>
      </c>
      <c r="I4" s="6">
        <v>80</v>
      </c>
      <c r="J4" s="6">
        <v>100</v>
      </c>
      <c r="K4" s="6">
        <v>80</v>
      </c>
      <c r="L4" s="4" t="s">
        <v>24</v>
      </c>
    </row>
    <row r="5" spans="1:12" ht="16.5" customHeight="1">
      <c r="A5" s="4">
        <v>200134</v>
      </c>
      <c r="B5" s="4" t="s">
        <v>25</v>
      </c>
      <c r="C5" s="4" t="s">
        <v>15</v>
      </c>
      <c r="D5" s="4" t="s">
        <v>26</v>
      </c>
      <c r="E5" s="5">
        <v>42011</v>
      </c>
      <c r="F5" s="6">
        <v>70</v>
      </c>
      <c r="G5" s="6">
        <v>52</v>
      </c>
      <c r="H5" s="6">
        <v>76</v>
      </c>
      <c r="I5" s="6">
        <v>90</v>
      </c>
      <c r="J5" s="6">
        <v>100</v>
      </c>
      <c r="K5" s="6">
        <v>77.599999999999994</v>
      </c>
      <c r="L5" s="4" t="s">
        <v>24</v>
      </c>
    </row>
    <row r="6" spans="1:12" ht="16.5" customHeight="1">
      <c r="A6" s="4">
        <v>200114</v>
      </c>
      <c r="B6" s="4" t="s">
        <v>27</v>
      </c>
      <c r="C6" s="4" t="s">
        <v>15</v>
      </c>
      <c r="D6" s="4" t="s">
        <v>16</v>
      </c>
      <c r="E6" s="5">
        <v>41852</v>
      </c>
      <c r="F6" s="6">
        <v>100</v>
      </c>
      <c r="G6" s="6">
        <v>60</v>
      </c>
      <c r="H6" s="6">
        <v>48</v>
      </c>
      <c r="I6" s="6">
        <v>90</v>
      </c>
      <c r="J6" s="6">
        <v>100</v>
      </c>
      <c r="K6" s="6">
        <v>79.599999999999994</v>
      </c>
      <c r="L6" s="4" t="s">
        <v>24</v>
      </c>
    </row>
    <row r="7" spans="1:12" ht="16.5" customHeight="1">
      <c r="A7" s="4">
        <v>200137</v>
      </c>
      <c r="B7" s="4" t="s">
        <v>28</v>
      </c>
      <c r="C7" s="4" t="s">
        <v>15</v>
      </c>
      <c r="D7" s="4" t="s">
        <v>29</v>
      </c>
      <c r="E7" s="5">
        <v>42737</v>
      </c>
      <c r="F7" s="6">
        <v>100</v>
      </c>
      <c r="G7" s="6">
        <v>76</v>
      </c>
      <c r="H7" s="6">
        <v>80</v>
      </c>
      <c r="I7" s="6">
        <v>100</v>
      </c>
      <c r="J7" s="6">
        <v>100</v>
      </c>
      <c r="K7" s="6">
        <v>91.2</v>
      </c>
      <c r="L7" s="4" t="s">
        <v>21</v>
      </c>
    </row>
    <row r="8" spans="1:12" ht="16.5" customHeight="1">
      <c r="A8" s="4">
        <v>200131</v>
      </c>
      <c r="B8" s="4" t="s">
        <v>30</v>
      </c>
      <c r="C8" s="4" t="s">
        <v>31</v>
      </c>
      <c r="D8" s="4" t="s">
        <v>29</v>
      </c>
      <c r="E8" s="5">
        <v>42011</v>
      </c>
      <c r="F8" s="6">
        <v>90</v>
      </c>
      <c r="G8" s="6">
        <v>76</v>
      </c>
      <c r="H8" s="6">
        <v>72</v>
      </c>
      <c r="I8" s="6">
        <v>100</v>
      </c>
      <c r="J8" s="6">
        <v>100</v>
      </c>
      <c r="K8" s="6">
        <v>87.6</v>
      </c>
      <c r="L8" s="4" t="s">
        <v>21</v>
      </c>
    </row>
    <row r="9" spans="1:12" ht="16.5" customHeight="1">
      <c r="A9" s="4">
        <v>200133</v>
      </c>
      <c r="B9" s="4" t="s">
        <v>32</v>
      </c>
      <c r="C9" s="4" t="s">
        <v>15</v>
      </c>
      <c r="D9" s="4" t="s">
        <v>26</v>
      </c>
      <c r="E9" s="5">
        <v>42011</v>
      </c>
      <c r="F9" s="6">
        <v>64</v>
      </c>
      <c r="G9" s="6">
        <v>90</v>
      </c>
      <c r="H9" s="6">
        <v>76</v>
      </c>
      <c r="I9" s="6">
        <v>90</v>
      </c>
      <c r="J9" s="6">
        <v>80</v>
      </c>
      <c r="K9" s="6">
        <v>80</v>
      </c>
      <c r="L9" s="4" t="s">
        <v>24</v>
      </c>
    </row>
    <row r="10" spans="1:12" ht="16.5" customHeight="1">
      <c r="A10" s="4">
        <v>200129</v>
      </c>
      <c r="B10" s="4" t="s">
        <v>33</v>
      </c>
      <c r="C10" s="4" t="s">
        <v>15</v>
      </c>
      <c r="D10" s="4" t="s">
        <v>29</v>
      </c>
      <c r="E10" s="5">
        <v>42011</v>
      </c>
      <c r="F10" s="6">
        <v>100</v>
      </c>
      <c r="G10" s="6">
        <v>88</v>
      </c>
      <c r="H10" s="6">
        <v>72</v>
      </c>
      <c r="I10" s="6">
        <v>100</v>
      </c>
      <c r="J10" s="6">
        <v>100</v>
      </c>
      <c r="K10" s="6">
        <v>92</v>
      </c>
      <c r="L10" s="4" t="s">
        <v>21</v>
      </c>
    </row>
    <row r="11" spans="1:12" ht="16.5" customHeight="1">
      <c r="A11" s="4">
        <v>200127</v>
      </c>
      <c r="B11" s="4" t="s">
        <v>34</v>
      </c>
      <c r="C11" s="4" t="s">
        <v>19</v>
      </c>
      <c r="D11" s="4" t="s">
        <v>29</v>
      </c>
      <c r="E11" s="5">
        <v>42006</v>
      </c>
      <c r="F11" s="6">
        <v>100</v>
      </c>
      <c r="G11" s="6">
        <v>64</v>
      </c>
      <c r="H11" s="6">
        <v>72</v>
      </c>
      <c r="I11" s="6">
        <v>90</v>
      </c>
      <c r="J11" s="6">
        <v>100</v>
      </c>
      <c r="K11" s="6">
        <v>85.2</v>
      </c>
      <c r="L11" s="4" t="s">
        <v>21</v>
      </c>
    </row>
    <row r="12" spans="1:12" ht="16.5" customHeight="1">
      <c r="A12" s="4">
        <v>200112</v>
      </c>
      <c r="B12" s="4" t="s">
        <v>35</v>
      </c>
      <c r="C12" s="4" t="s">
        <v>19</v>
      </c>
      <c r="D12" s="4" t="s">
        <v>16</v>
      </c>
      <c r="E12" s="5">
        <v>41852</v>
      </c>
      <c r="F12" s="6">
        <v>90</v>
      </c>
      <c r="G12" s="6">
        <v>100</v>
      </c>
      <c r="H12" s="6">
        <v>100</v>
      </c>
      <c r="I12" s="6">
        <v>95</v>
      </c>
      <c r="J12" s="6">
        <v>90</v>
      </c>
      <c r="K12" s="6">
        <v>95</v>
      </c>
      <c r="L12" s="4" t="s">
        <v>21</v>
      </c>
    </row>
    <row r="13" spans="1:12" ht="16.5" customHeight="1">
      <c r="A13" s="4">
        <v>200120</v>
      </c>
      <c r="B13" s="4" t="s">
        <v>36</v>
      </c>
      <c r="C13" s="4" t="s">
        <v>19</v>
      </c>
      <c r="D13" s="4" t="s">
        <v>37</v>
      </c>
      <c r="E13" s="5">
        <v>40762</v>
      </c>
      <c r="F13" s="6">
        <v>100</v>
      </c>
      <c r="G13" s="6">
        <v>90</v>
      </c>
      <c r="H13" s="6">
        <v>100</v>
      </c>
      <c r="I13" s="6">
        <v>90</v>
      </c>
      <c r="J13" s="6">
        <v>95</v>
      </c>
      <c r="K13" s="6">
        <v>95</v>
      </c>
      <c r="L13" s="4" t="s">
        <v>21</v>
      </c>
    </row>
    <row r="14" spans="1:12" ht="16.5" customHeight="1">
      <c r="A14" s="4">
        <v>200128</v>
      </c>
      <c r="B14" s="4" t="s">
        <v>38</v>
      </c>
      <c r="C14" s="4" t="s">
        <v>23</v>
      </c>
      <c r="D14" s="4" t="s">
        <v>20</v>
      </c>
      <c r="E14" s="5">
        <v>42006</v>
      </c>
      <c r="F14" s="6">
        <v>100</v>
      </c>
      <c r="G14" s="6">
        <v>68</v>
      </c>
      <c r="H14" s="6">
        <v>72</v>
      </c>
      <c r="I14" s="6">
        <v>90</v>
      </c>
      <c r="J14" s="6">
        <v>100</v>
      </c>
      <c r="K14" s="6">
        <v>86</v>
      </c>
      <c r="L14" s="4" t="s">
        <v>21</v>
      </c>
    </row>
    <row r="15" spans="1:12" ht="16.5" customHeight="1">
      <c r="A15" s="4">
        <v>200119</v>
      </c>
      <c r="B15" s="4" t="s">
        <v>39</v>
      </c>
      <c r="C15" s="4" t="s">
        <v>23</v>
      </c>
      <c r="D15" s="4" t="s">
        <v>16</v>
      </c>
      <c r="E15" s="5">
        <v>41858</v>
      </c>
      <c r="F15" s="6">
        <v>100</v>
      </c>
      <c r="G15" s="6">
        <v>44</v>
      </c>
      <c r="H15" s="6">
        <v>60</v>
      </c>
      <c r="I15" s="6">
        <v>90</v>
      </c>
      <c r="J15" s="6">
        <v>90</v>
      </c>
      <c r="K15" s="6">
        <v>76.8</v>
      </c>
      <c r="L15" s="4" t="s">
        <v>24</v>
      </c>
    </row>
    <row r="16" spans="1:12" ht="16.5" customHeight="1">
      <c r="A16" s="4">
        <v>200116</v>
      </c>
      <c r="B16" s="4" t="s">
        <v>40</v>
      </c>
      <c r="C16" s="4" t="s">
        <v>19</v>
      </c>
      <c r="D16" s="4" t="s">
        <v>16</v>
      </c>
      <c r="E16" s="5">
        <v>41852</v>
      </c>
      <c r="F16" s="6">
        <v>56</v>
      </c>
      <c r="G16" s="6">
        <v>80</v>
      </c>
      <c r="H16" s="6">
        <v>56</v>
      </c>
      <c r="I16" s="6">
        <v>80</v>
      </c>
      <c r="J16" s="6">
        <v>90</v>
      </c>
      <c r="K16" s="6">
        <v>72.400000000000006</v>
      </c>
      <c r="L16" s="4" t="s">
        <v>24</v>
      </c>
    </row>
    <row r="17" spans="1:12" ht="16.5" customHeight="1">
      <c r="A17" s="4">
        <v>200135</v>
      </c>
      <c r="B17" s="4" t="s">
        <v>41</v>
      </c>
      <c r="C17" s="4" t="s">
        <v>19</v>
      </c>
      <c r="D17" s="4" t="s">
        <v>29</v>
      </c>
      <c r="E17" s="5">
        <v>42737</v>
      </c>
      <c r="F17" s="6">
        <v>100</v>
      </c>
      <c r="G17" s="6">
        <v>72</v>
      </c>
      <c r="H17" s="6">
        <v>80</v>
      </c>
      <c r="I17" s="6">
        <v>100</v>
      </c>
      <c r="J17" s="6">
        <v>100</v>
      </c>
      <c r="K17" s="6">
        <v>90.4</v>
      </c>
      <c r="L17" s="4" t="s">
        <v>21</v>
      </c>
    </row>
    <row r="18" spans="1:12" ht="16.5" customHeight="1">
      <c r="A18" s="4">
        <v>200110</v>
      </c>
      <c r="B18" s="4" t="s">
        <v>42</v>
      </c>
      <c r="C18" s="4" t="s">
        <v>15</v>
      </c>
      <c r="D18" s="4" t="s">
        <v>16</v>
      </c>
      <c r="E18" s="5">
        <v>41283</v>
      </c>
      <c r="F18" s="6">
        <v>90</v>
      </c>
      <c r="G18" s="6">
        <v>48</v>
      </c>
      <c r="H18" s="6">
        <v>44</v>
      </c>
      <c r="I18" s="6">
        <v>80</v>
      </c>
      <c r="J18" s="6">
        <v>100</v>
      </c>
      <c r="K18" s="6">
        <v>72.400000000000006</v>
      </c>
      <c r="L18" s="4" t="s">
        <v>24</v>
      </c>
    </row>
    <row r="19" spans="1:12" ht="16.5" customHeight="1">
      <c r="A19" s="4">
        <v>200130</v>
      </c>
      <c r="B19" s="4" t="s">
        <v>43</v>
      </c>
      <c r="C19" s="4" t="s">
        <v>31</v>
      </c>
      <c r="D19" s="4" t="s">
        <v>29</v>
      </c>
      <c r="E19" s="5">
        <v>42011</v>
      </c>
      <c r="F19" s="6">
        <v>90</v>
      </c>
      <c r="G19" s="6">
        <v>68</v>
      </c>
      <c r="H19" s="6">
        <v>72</v>
      </c>
      <c r="I19" s="6">
        <v>100</v>
      </c>
      <c r="J19" s="6">
        <v>100</v>
      </c>
      <c r="K19" s="6">
        <v>86</v>
      </c>
      <c r="L19" s="4" t="s">
        <v>21</v>
      </c>
    </row>
    <row r="20" spans="1:12" ht="16.5" customHeight="1">
      <c r="A20" s="4">
        <v>200132</v>
      </c>
      <c r="B20" s="4" t="s">
        <v>44</v>
      </c>
      <c r="C20" s="4" t="s">
        <v>19</v>
      </c>
      <c r="D20" s="4" t="s">
        <v>29</v>
      </c>
      <c r="E20" s="5">
        <v>42011</v>
      </c>
      <c r="F20" s="6">
        <v>100</v>
      </c>
      <c r="G20" s="6">
        <v>76</v>
      </c>
      <c r="H20" s="6">
        <v>76</v>
      </c>
      <c r="I20" s="6">
        <v>90</v>
      </c>
      <c r="J20" s="6">
        <v>100</v>
      </c>
      <c r="K20" s="6">
        <v>88.4</v>
      </c>
      <c r="L20" s="4" t="s">
        <v>21</v>
      </c>
    </row>
    <row r="21" spans="1:12" ht="16.5" customHeight="1">
      <c r="A21" s="4">
        <v>200124</v>
      </c>
      <c r="B21" s="4" t="s">
        <v>45</v>
      </c>
      <c r="C21" s="4" t="s">
        <v>19</v>
      </c>
      <c r="D21" s="4" t="s">
        <v>29</v>
      </c>
      <c r="E21" s="5">
        <v>42006</v>
      </c>
      <c r="F21" s="6">
        <v>70</v>
      </c>
      <c r="G21" s="6">
        <v>52</v>
      </c>
      <c r="H21" s="6">
        <v>64</v>
      </c>
      <c r="I21" s="6">
        <v>70</v>
      </c>
      <c r="J21" s="6">
        <v>90</v>
      </c>
      <c r="K21" s="6">
        <v>69.2</v>
      </c>
      <c r="L21" s="4" t="s">
        <v>17</v>
      </c>
    </row>
    <row r="22" spans="1:12" ht="16.5" customHeight="1">
      <c r="A22" s="4">
        <v>200106</v>
      </c>
      <c r="B22" s="4" t="s">
        <v>46</v>
      </c>
      <c r="C22" s="4" t="s">
        <v>31</v>
      </c>
      <c r="D22" s="4" t="s">
        <v>26</v>
      </c>
      <c r="E22" s="5">
        <v>41279</v>
      </c>
      <c r="F22" s="6">
        <v>50</v>
      </c>
      <c r="G22" s="6">
        <v>40</v>
      </c>
      <c r="H22" s="6">
        <v>28</v>
      </c>
      <c r="I22" s="6">
        <v>0</v>
      </c>
      <c r="J22" s="6">
        <v>90</v>
      </c>
      <c r="K22" s="6">
        <v>41.6</v>
      </c>
      <c r="L22" s="4" t="s">
        <v>17</v>
      </c>
    </row>
    <row r="23" spans="1:12" ht="16.5" customHeight="1">
      <c r="A23" s="4">
        <v>200136</v>
      </c>
      <c r="B23" s="4" t="s">
        <v>47</v>
      </c>
      <c r="C23" s="4" t="s">
        <v>23</v>
      </c>
      <c r="D23" s="4" t="s">
        <v>26</v>
      </c>
      <c r="E23" s="5">
        <v>42737</v>
      </c>
      <c r="F23" s="6">
        <v>100</v>
      </c>
      <c r="G23" s="6">
        <v>68</v>
      </c>
      <c r="H23" s="6">
        <v>80</v>
      </c>
      <c r="I23" s="6">
        <v>100</v>
      </c>
      <c r="J23" s="6">
        <v>100</v>
      </c>
      <c r="K23" s="6">
        <v>89.6</v>
      </c>
      <c r="L23" s="4" t="s">
        <v>21</v>
      </c>
    </row>
    <row r="25" spans="1:12" ht="16.5" customHeight="1">
      <c r="A25" s="7" t="s">
        <v>48</v>
      </c>
      <c r="B25" s="7" t="s">
        <v>49</v>
      </c>
      <c r="C25" s="7" t="s">
        <v>50</v>
      </c>
    </row>
    <row r="26" spans="1:12" ht="16.5" customHeight="1">
      <c r="A26" s="7" t="s">
        <v>51</v>
      </c>
      <c r="B26" s="7" t="s">
        <v>52</v>
      </c>
      <c r="C26" s="7">
        <v>100</v>
      </c>
    </row>
    <row r="28" spans="1:12" ht="16.5" customHeight="1">
      <c r="A28" s="7" t="s">
        <v>53</v>
      </c>
      <c r="B28" s="7" t="s">
        <v>54</v>
      </c>
      <c r="C28" s="7" t="s">
        <v>55</v>
      </c>
      <c r="D28" s="7" t="s">
        <v>56</v>
      </c>
    </row>
    <row r="29" spans="1:12" ht="16.5" customHeight="1">
      <c r="A29" s="4" t="s">
        <v>28</v>
      </c>
      <c r="B29" s="5">
        <v>42737</v>
      </c>
      <c r="C29" s="6">
        <v>91.2</v>
      </c>
      <c r="D29" s="4" t="s">
        <v>21</v>
      </c>
    </row>
    <row r="30" spans="1:12" ht="16.5" customHeight="1">
      <c r="A30" s="4" t="s">
        <v>33</v>
      </c>
      <c r="B30" s="5">
        <v>42011</v>
      </c>
      <c r="C30" s="6">
        <v>92</v>
      </c>
      <c r="D30" s="4" t="s">
        <v>21</v>
      </c>
    </row>
  </sheetData>
  <phoneticPr fontId="3" type="noConversion"/>
  <conditionalFormatting sqref="G1:K23">
    <cfRule type="expression" dxfId="0" priority="1">
      <formula>ISODD(COLUMN())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verticalDpi="0" r:id="rId1"/>
  <headerFooter alignWithMargins="0">
    <oddFooter>&amp;L작성시간 :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1"/>
  <sheetViews>
    <sheetView workbookViewId="0"/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57</v>
      </c>
    </row>
    <row r="2" spans="1:8">
      <c r="A2" s="8" t="s">
        <v>58</v>
      </c>
      <c r="B2" s="8" t="s">
        <v>59</v>
      </c>
      <c r="C2" s="8" t="s">
        <v>60</v>
      </c>
      <c r="D2" s="8" t="s">
        <v>61</v>
      </c>
      <c r="E2" s="9" t="s">
        <v>62</v>
      </c>
      <c r="F2" s="10" t="s">
        <v>63</v>
      </c>
      <c r="H2" s="10" t="s">
        <v>64</v>
      </c>
    </row>
    <row r="3" spans="1:8">
      <c r="A3" s="8" t="s">
        <v>65</v>
      </c>
      <c r="B3" s="8" t="s">
        <v>66</v>
      </c>
      <c r="C3" s="11">
        <v>29495</v>
      </c>
      <c r="D3" s="8" t="s">
        <v>67</v>
      </c>
      <c r="E3" s="12">
        <v>70000</v>
      </c>
      <c r="F3" s="8" t="str">
        <f>IF(AND(OR(LEFT(B3,3)="서울시",LEFT(B3,3)="부천시",LEFT(B3,3)="안양시"),YEAR(C3)&lt;=1981),"A조","B조")</f>
        <v>A조</v>
      </c>
      <c r="H3" s="13">
        <f t="array" aca="1" ref="H3" ca="1">SUM((YEAR(TODAY())-YEAR(C3:C8)&gt;=35)*(VALUE(LEFT(D3:D8,1))&gt;=4)*E3:E8)</f>
        <v>150000</v>
      </c>
    </row>
    <row r="4" spans="1:8">
      <c r="A4" s="8" t="s">
        <v>68</v>
      </c>
      <c r="B4" s="8" t="s">
        <v>69</v>
      </c>
      <c r="C4" s="11">
        <v>30458</v>
      </c>
      <c r="D4" s="8" t="s">
        <v>70</v>
      </c>
      <c r="E4" s="12">
        <v>70000</v>
      </c>
      <c r="F4" s="8" t="str">
        <f t="shared" ref="F4:F8" si="0">IF(AND(OR(LEFT(B4,3)="서울시",LEFT(B4,3)="부천시",LEFT(B4,3)="안양시"),YEAR(C4)&lt;=1981),"A조","B조")</f>
        <v>B조</v>
      </c>
    </row>
    <row r="5" spans="1:8">
      <c r="A5" s="8" t="s">
        <v>71</v>
      </c>
      <c r="B5" s="8" t="s">
        <v>72</v>
      </c>
      <c r="C5" s="11">
        <v>29681</v>
      </c>
      <c r="D5" s="8" t="s">
        <v>73</v>
      </c>
      <c r="E5" s="12">
        <v>80000</v>
      </c>
      <c r="F5" s="8" t="str">
        <f t="shared" si="0"/>
        <v>A조</v>
      </c>
    </row>
    <row r="6" spans="1:8">
      <c r="A6" s="8" t="s">
        <v>74</v>
      </c>
      <c r="B6" s="8" t="s">
        <v>75</v>
      </c>
      <c r="C6" s="11">
        <v>32182</v>
      </c>
      <c r="D6" s="8" t="s">
        <v>76</v>
      </c>
      <c r="E6" s="12">
        <v>60000</v>
      </c>
      <c r="F6" s="8" t="str">
        <f t="shared" si="0"/>
        <v>B조</v>
      </c>
    </row>
    <row r="7" spans="1:8">
      <c r="A7" s="8" t="s">
        <v>77</v>
      </c>
      <c r="B7" s="8" t="s">
        <v>78</v>
      </c>
      <c r="C7" s="11">
        <v>28962</v>
      </c>
      <c r="D7" s="8" t="s">
        <v>70</v>
      </c>
      <c r="E7" s="12">
        <v>70000</v>
      </c>
      <c r="F7" s="8" t="str">
        <f t="shared" si="0"/>
        <v>A조</v>
      </c>
    </row>
    <row r="8" spans="1:8">
      <c r="A8" s="8" t="s">
        <v>79</v>
      </c>
      <c r="B8" s="8" t="s">
        <v>80</v>
      </c>
      <c r="C8" s="11">
        <v>34171</v>
      </c>
      <c r="D8" s="8" t="s">
        <v>81</v>
      </c>
      <c r="E8" s="12">
        <v>30000</v>
      </c>
      <c r="F8" s="8" t="str">
        <f t="shared" si="0"/>
        <v>B조</v>
      </c>
    </row>
    <row r="9" spans="1:8">
      <c r="B9" s="14"/>
      <c r="C9" s="14"/>
      <c r="D9" s="14"/>
      <c r="E9" s="14"/>
      <c r="F9" s="14"/>
    </row>
    <row r="10" spans="1:8">
      <c r="A10" s="15" t="s">
        <v>82</v>
      </c>
      <c r="B10" s="15" t="s">
        <v>83</v>
      </c>
    </row>
    <row r="11" spans="1:8">
      <c r="A11" s="8" t="s">
        <v>84</v>
      </c>
      <c r="B11" s="16">
        <v>1</v>
      </c>
      <c r="C11" s="17">
        <v>2</v>
      </c>
      <c r="D11" s="17">
        <v>3</v>
      </c>
      <c r="E11" s="17">
        <v>4</v>
      </c>
      <c r="F11" s="17">
        <v>5</v>
      </c>
    </row>
    <row r="12" spans="1:8">
      <c r="A12" s="8" t="s">
        <v>85</v>
      </c>
      <c r="B12" s="18">
        <v>30000</v>
      </c>
      <c r="C12" s="13">
        <v>60000</v>
      </c>
      <c r="D12" s="13">
        <v>70000</v>
      </c>
      <c r="E12" s="13">
        <v>80000</v>
      </c>
      <c r="F12" s="13">
        <v>85000</v>
      </c>
    </row>
    <row r="13" spans="1:8">
      <c r="A13" s="9" t="s">
        <v>86</v>
      </c>
      <c r="B13" s="18">
        <v>25000</v>
      </c>
      <c r="C13" s="13">
        <v>50000</v>
      </c>
      <c r="D13" s="13">
        <v>60000</v>
      </c>
      <c r="E13" s="13">
        <v>70000</v>
      </c>
      <c r="F13" s="13">
        <v>80000</v>
      </c>
    </row>
    <row r="14" spans="1:8">
      <c r="A14" s="14"/>
      <c r="B14" s="19"/>
    </row>
    <row r="15" spans="1:8">
      <c r="A15" s="1" t="s">
        <v>87</v>
      </c>
    </row>
    <row r="16" spans="1:8">
      <c r="A16" s="8" t="s">
        <v>88</v>
      </c>
      <c r="B16" s="8" t="s">
        <v>89</v>
      </c>
      <c r="C16" s="8" t="s">
        <v>90</v>
      </c>
      <c r="D16" s="8" t="s">
        <v>91</v>
      </c>
      <c r="E16" s="10" t="s">
        <v>92</v>
      </c>
      <c r="F16" s="8" t="s">
        <v>93</v>
      </c>
    </row>
    <row r="17" spans="1:6">
      <c r="A17" s="17" t="s">
        <v>94</v>
      </c>
      <c r="B17" s="17" t="s">
        <v>95</v>
      </c>
      <c r="C17" s="17">
        <v>60</v>
      </c>
      <c r="D17" s="17">
        <v>9</v>
      </c>
      <c r="E17" s="13">
        <f>hs사용요금(C17,D17)</f>
        <v>127500</v>
      </c>
      <c r="F17" s="13">
        <v>35000</v>
      </c>
    </row>
    <row r="18" spans="1:6">
      <c r="A18" s="17" t="s">
        <v>96</v>
      </c>
      <c r="B18" s="17" t="s">
        <v>97</v>
      </c>
      <c r="C18" s="17">
        <v>30</v>
      </c>
      <c r="D18" s="17">
        <v>5</v>
      </c>
      <c r="E18" s="13">
        <f t="shared" ref="E18:E25" si="1">hs사용요금(C18,D18)</f>
        <v>62500</v>
      </c>
      <c r="F18" s="13">
        <v>20000</v>
      </c>
    </row>
    <row r="19" spans="1:6">
      <c r="A19" s="17" t="s">
        <v>98</v>
      </c>
      <c r="B19" s="17" t="s">
        <v>99</v>
      </c>
      <c r="C19" s="17">
        <v>14</v>
      </c>
      <c r="D19" s="17">
        <v>3</v>
      </c>
      <c r="E19" s="13">
        <f t="shared" si="1"/>
        <v>33000</v>
      </c>
      <c r="F19" s="13">
        <v>50000</v>
      </c>
    </row>
    <row r="20" spans="1:6">
      <c r="A20" s="17" t="s">
        <v>100</v>
      </c>
      <c r="B20" s="17" t="s">
        <v>97</v>
      </c>
      <c r="C20" s="17">
        <v>30</v>
      </c>
      <c r="D20" s="17">
        <v>5</v>
      </c>
      <c r="E20" s="13">
        <f t="shared" si="1"/>
        <v>62500</v>
      </c>
      <c r="F20" s="13">
        <v>25000</v>
      </c>
    </row>
    <row r="21" spans="1:6">
      <c r="A21" s="17" t="s">
        <v>101</v>
      </c>
      <c r="B21" s="17" t="s">
        <v>95</v>
      </c>
      <c r="C21" s="17">
        <v>28</v>
      </c>
      <c r="D21" s="17">
        <v>5</v>
      </c>
      <c r="E21" s="13">
        <f t="shared" si="1"/>
        <v>69000</v>
      </c>
      <c r="F21" s="13">
        <v>50000</v>
      </c>
    </row>
    <row r="22" spans="1:6">
      <c r="A22" s="17" t="s">
        <v>102</v>
      </c>
      <c r="B22" s="17" t="s">
        <v>95</v>
      </c>
      <c r="C22" s="17">
        <v>25</v>
      </c>
      <c r="D22" s="17">
        <v>5</v>
      </c>
      <c r="E22" s="13">
        <f t="shared" si="1"/>
        <v>60000</v>
      </c>
      <c r="F22" s="13">
        <v>50000</v>
      </c>
    </row>
    <row r="23" spans="1:6">
      <c r="A23" s="17" t="s">
        <v>103</v>
      </c>
      <c r="B23" s="17" t="s">
        <v>99</v>
      </c>
      <c r="C23" s="17">
        <v>15</v>
      </c>
      <c r="D23" s="17">
        <v>3</v>
      </c>
      <c r="E23" s="13">
        <f t="shared" si="1"/>
        <v>36000</v>
      </c>
      <c r="F23" s="13">
        <v>35000</v>
      </c>
    </row>
    <row r="24" spans="1:6">
      <c r="A24" s="17" t="s">
        <v>104</v>
      </c>
      <c r="B24" s="17" t="s">
        <v>97</v>
      </c>
      <c r="C24" s="17">
        <v>23</v>
      </c>
      <c r="D24" s="17">
        <v>4</v>
      </c>
      <c r="E24" s="13">
        <f t="shared" si="1"/>
        <v>57000</v>
      </c>
      <c r="F24" s="13">
        <v>20000</v>
      </c>
    </row>
    <row r="25" spans="1:6">
      <c r="A25" s="17" t="s">
        <v>105</v>
      </c>
      <c r="B25" s="17" t="s">
        <v>99</v>
      </c>
      <c r="C25" s="17">
        <v>54</v>
      </c>
      <c r="D25" s="17">
        <v>8</v>
      </c>
      <c r="E25" s="13">
        <f t="shared" si="1"/>
        <v>115000</v>
      </c>
      <c r="F25" s="13">
        <v>50000</v>
      </c>
    </row>
    <row r="26" spans="1:6">
      <c r="A26" s="20"/>
      <c r="B26" s="20"/>
      <c r="C26" s="20"/>
      <c r="D26" s="20"/>
      <c r="E26" s="21"/>
      <c r="F26" s="21"/>
    </row>
    <row r="27" spans="1:6">
      <c r="A27" s="1" t="s">
        <v>106</v>
      </c>
    </row>
    <row r="28" spans="1:6">
      <c r="A28" s="17" t="s">
        <v>107</v>
      </c>
      <c r="B28" s="10" t="s">
        <v>108</v>
      </c>
      <c r="D28" s="10" t="s">
        <v>109</v>
      </c>
    </row>
    <row r="29" spans="1:6">
      <c r="A29" s="17" t="s">
        <v>110</v>
      </c>
      <c r="B29" s="8">
        <f t="array" ref="B29">ABS(MEDIAN($F$17:$F$25)-MEDIAN(IF($B$17:$B$25=A29,$F$17:$F$25)))</f>
        <v>15000</v>
      </c>
      <c r="C29" s="22"/>
      <c r="D29" s="13">
        <f t="array" ref="D29">MIN(IF((B17:B25="수영")*(C17:C25&gt;=20),E17:E25))</f>
        <v>60000</v>
      </c>
    </row>
    <row r="30" spans="1:6">
      <c r="A30" s="17" t="s">
        <v>111</v>
      </c>
      <c r="B30" s="8">
        <f t="array" ref="B30">ABS(MEDIAN($F$17:$F$25)-MEDIAN(IF($B$17:$B$25=A30,$F$17:$F$25)))</f>
        <v>15000</v>
      </c>
      <c r="C30" s="22"/>
    </row>
    <row r="31" spans="1:6">
      <c r="A31" s="17" t="s">
        <v>112</v>
      </c>
      <c r="B31" s="8">
        <f t="array" ref="B31">ABS(MEDIAN($F$17:$F$25)-MEDIAN(IF($B$17:$B$25=A31,$F$17:$F$25)))</f>
        <v>15000</v>
      </c>
      <c r="C31" s="22"/>
    </row>
  </sheetData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1"/>
  <sheetViews>
    <sheetView workbookViewId="0"/>
  </sheetViews>
  <sheetFormatPr defaultRowHeight="16.5"/>
  <cols>
    <col min="1" max="1" width="10.375" style="1" bestFit="1" customWidth="1"/>
    <col min="2" max="2" width="9" style="1" bestFit="1" customWidth="1"/>
    <col min="3" max="3" width="7.125" style="1" bestFit="1" customWidth="1"/>
    <col min="4" max="4" width="9" style="1" bestFit="1" customWidth="1"/>
    <col min="5" max="5" width="5.25" style="1" bestFit="1" customWidth="1"/>
    <col min="6" max="6" width="23.75" style="1" bestFit="1" customWidth="1"/>
    <col min="7" max="7" width="12.5" style="1" customWidth="1"/>
    <col min="8" max="8" width="11.125" style="1" customWidth="1"/>
    <col min="9" max="11" width="9.375" style="1" customWidth="1"/>
    <col min="12" max="12" width="8.375" style="1" customWidth="1"/>
    <col min="13" max="15" width="10.875" style="1" customWidth="1"/>
    <col min="16" max="19" width="11.375" style="1" bestFit="1" customWidth="1"/>
    <col min="20" max="20" width="11.375" style="1" customWidth="1"/>
    <col min="21" max="24" width="11.375" style="1" bestFit="1" customWidth="1"/>
    <col min="25" max="25" width="11.375" style="1" customWidth="1"/>
    <col min="26" max="29" width="11.375" style="1" bestFit="1" customWidth="1"/>
    <col min="30" max="35" width="11.125" style="1" bestFit="1" customWidth="1"/>
    <col min="36" max="36" width="9.5" style="1" customWidth="1"/>
    <col min="37" max="16384" width="9" style="1"/>
  </cols>
  <sheetData>
    <row r="1" spans="1:36">
      <c r="A1" s="33" t="s">
        <v>159</v>
      </c>
      <c r="B1" s="33" t="s">
        <v>157</v>
      </c>
      <c r="C1" s="33" t="s">
        <v>3</v>
      </c>
      <c r="D1" s="33" t="s">
        <v>173</v>
      </c>
      <c r="E1" s="33" t="s">
        <v>174</v>
      </c>
      <c r="F1" s="33" t="s">
        <v>175</v>
      </c>
    </row>
    <row r="2" spans="1:36">
      <c r="A2" s="34">
        <v>42417</v>
      </c>
      <c r="B2" s="35" t="s">
        <v>161</v>
      </c>
      <c r="C2" s="35" t="s">
        <v>162</v>
      </c>
      <c r="D2" s="35" t="s">
        <v>176</v>
      </c>
      <c r="E2" s="36">
        <v>27</v>
      </c>
      <c r="F2" s="35" t="s">
        <v>177</v>
      </c>
    </row>
    <row r="3" spans="1:36">
      <c r="A3" s="34">
        <v>42417</v>
      </c>
      <c r="B3" s="35" t="s">
        <v>169</v>
      </c>
      <c r="C3" s="35" t="s">
        <v>172</v>
      </c>
      <c r="D3" s="35" t="s">
        <v>178</v>
      </c>
      <c r="E3" s="36">
        <v>29</v>
      </c>
      <c r="F3" s="35" t="s">
        <v>179</v>
      </c>
      <c r="H3" s="30" t="s">
        <v>3</v>
      </c>
      <c r="I3" t="s">
        <v>263</v>
      </c>
    </row>
    <row r="4" spans="1:36">
      <c r="A4" s="34">
        <v>42418</v>
      </c>
      <c r="B4" s="35" t="s">
        <v>180</v>
      </c>
      <c r="C4" s="35" t="s">
        <v>181</v>
      </c>
      <c r="D4" s="35" t="s">
        <v>182</v>
      </c>
      <c r="E4" s="36">
        <v>27</v>
      </c>
      <c r="F4" s="35" t="s">
        <v>183</v>
      </c>
    </row>
    <row r="5" spans="1:36">
      <c r="A5" s="34">
        <v>42419</v>
      </c>
      <c r="B5" s="35" t="s">
        <v>161</v>
      </c>
      <c r="C5" s="35" t="s">
        <v>165</v>
      </c>
      <c r="D5" s="35" t="s">
        <v>182</v>
      </c>
      <c r="E5" s="36">
        <v>30</v>
      </c>
      <c r="F5" s="35" t="s">
        <v>184</v>
      </c>
      <c r="G5"/>
      <c r="H5" s="30" t="s">
        <v>265</v>
      </c>
      <c r="I5" s="30" t="s">
        <v>159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>
      <c r="A6" s="34">
        <v>42419</v>
      </c>
      <c r="B6" s="35" t="s">
        <v>185</v>
      </c>
      <c r="C6" s="35" t="s">
        <v>186</v>
      </c>
      <c r="D6" s="35" t="s">
        <v>187</v>
      </c>
      <c r="E6" s="36">
        <v>26</v>
      </c>
      <c r="F6" s="35" t="s">
        <v>188</v>
      </c>
      <c r="G6"/>
      <c r="H6" s="30" t="s">
        <v>173</v>
      </c>
      <c r="I6" s="31" t="s">
        <v>266</v>
      </c>
      <c r="J6" s="31" t="s">
        <v>267</v>
      </c>
      <c r="K6" s="31" t="s">
        <v>268</v>
      </c>
      <c r="L6" s="31" t="s">
        <v>264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>
      <c r="A7" s="34">
        <v>42422</v>
      </c>
      <c r="B7" s="35" t="s">
        <v>161</v>
      </c>
      <c r="C7" s="35" t="s">
        <v>167</v>
      </c>
      <c r="D7" s="35" t="s">
        <v>189</v>
      </c>
      <c r="E7" s="36">
        <v>23</v>
      </c>
      <c r="F7" s="35" t="s">
        <v>190</v>
      </c>
      <c r="G7"/>
      <c r="H7" t="s">
        <v>243</v>
      </c>
      <c r="I7" s="32">
        <v>0</v>
      </c>
      <c r="J7" s="32">
        <v>0.81841432225063937</v>
      </c>
      <c r="K7" s="32">
        <v>1.1253196930946292</v>
      </c>
      <c r="L7" s="32">
        <v>1.0230179028132993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>
      <c r="A8" s="34">
        <v>42422</v>
      </c>
      <c r="B8" s="35" t="s">
        <v>180</v>
      </c>
      <c r="C8" s="35" t="s">
        <v>191</v>
      </c>
      <c r="D8" s="35" t="s">
        <v>192</v>
      </c>
      <c r="E8" s="36">
        <v>33</v>
      </c>
      <c r="F8" s="35" t="s">
        <v>193</v>
      </c>
      <c r="G8"/>
      <c r="H8" t="s">
        <v>178</v>
      </c>
      <c r="I8" s="32">
        <v>0.92071611253196928</v>
      </c>
      <c r="J8" s="32">
        <v>0.92071611253196928</v>
      </c>
      <c r="K8" s="32">
        <v>0</v>
      </c>
      <c r="L8" s="32">
        <v>0.92071611253196928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>
      <c r="A9" s="34">
        <v>42423</v>
      </c>
      <c r="B9" s="35" t="s">
        <v>194</v>
      </c>
      <c r="C9" s="35" t="s">
        <v>195</v>
      </c>
      <c r="D9" s="35" t="s">
        <v>196</v>
      </c>
      <c r="E9" s="36">
        <v>33</v>
      </c>
      <c r="F9" s="35" t="s">
        <v>197</v>
      </c>
      <c r="G9"/>
      <c r="H9" t="s">
        <v>187</v>
      </c>
      <c r="I9" s="32">
        <v>0.88661551577152597</v>
      </c>
      <c r="J9" s="32">
        <v>1.0457516339869282</v>
      </c>
      <c r="K9" s="32">
        <v>1.0230179028132993</v>
      </c>
      <c r="L9" s="32">
        <v>1.0093776641091219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>
      <c r="A10" s="34">
        <v>42425</v>
      </c>
      <c r="B10" s="35" t="s">
        <v>198</v>
      </c>
      <c r="C10" s="35" t="s">
        <v>199</v>
      </c>
      <c r="D10" s="35" t="s">
        <v>200</v>
      </c>
      <c r="E10" s="36">
        <v>26</v>
      </c>
      <c r="F10" s="35" t="s">
        <v>201</v>
      </c>
      <c r="G10"/>
      <c r="H10" t="s">
        <v>196</v>
      </c>
      <c r="I10" s="32">
        <v>1.1253196930946292</v>
      </c>
      <c r="J10" s="32">
        <v>1.0912190963341859</v>
      </c>
      <c r="K10" s="32">
        <v>0.95481670929241269</v>
      </c>
      <c r="L10" s="32">
        <v>1.0571184995737426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>
      <c r="A11" s="34">
        <v>42425</v>
      </c>
      <c r="B11" s="35" t="s">
        <v>202</v>
      </c>
      <c r="C11" s="35" t="s">
        <v>203</v>
      </c>
      <c r="D11" s="35" t="s">
        <v>178</v>
      </c>
      <c r="E11" s="36">
        <v>25</v>
      </c>
      <c r="F11" s="35" t="s">
        <v>204</v>
      </c>
      <c r="G11"/>
      <c r="H11" t="s">
        <v>192</v>
      </c>
      <c r="I11" s="32">
        <v>1.1253196930946292</v>
      </c>
      <c r="J11" s="32">
        <v>1.1082693947144076</v>
      </c>
      <c r="K11" s="32">
        <v>0</v>
      </c>
      <c r="L11" s="32">
        <v>1.1139528275078148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>
      <c r="A12" s="34">
        <v>42427</v>
      </c>
      <c r="B12" s="35" t="s">
        <v>205</v>
      </c>
      <c r="C12" s="35" t="s">
        <v>206</v>
      </c>
      <c r="D12" s="35" t="s">
        <v>176</v>
      </c>
      <c r="E12" s="36">
        <v>26</v>
      </c>
      <c r="F12" s="35" t="s">
        <v>207</v>
      </c>
      <c r="G12"/>
      <c r="H12" t="s">
        <v>240</v>
      </c>
      <c r="I12" s="32">
        <v>0</v>
      </c>
      <c r="J12" s="32">
        <v>1.0230179028132993</v>
      </c>
      <c r="K12" s="32">
        <v>1.0912190963341859</v>
      </c>
      <c r="L12" s="32">
        <v>1.068485365160557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>
      <c r="A13" s="34">
        <v>42432</v>
      </c>
      <c r="B13" s="35" t="s">
        <v>208</v>
      </c>
      <c r="C13" s="35" t="s">
        <v>209</v>
      </c>
      <c r="D13" s="35" t="s">
        <v>182</v>
      </c>
      <c r="E13" s="36">
        <v>31</v>
      </c>
      <c r="F13" s="35" t="s">
        <v>210</v>
      </c>
      <c r="G13"/>
      <c r="H13" t="s">
        <v>189</v>
      </c>
      <c r="I13" s="32">
        <v>0.78431372549019607</v>
      </c>
      <c r="J13" s="32">
        <v>1.0400682011935209</v>
      </c>
      <c r="K13" s="32">
        <v>0</v>
      </c>
      <c r="L13" s="32">
        <v>0.95481670929241269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>
      <c r="A14" s="34">
        <v>42435</v>
      </c>
      <c r="B14" s="35" t="s">
        <v>161</v>
      </c>
      <c r="C14" s="35" t="s">
        <v>163</v>
      </c>
      <c r="D14" s="35" t="s">
        <v>187</v>
      </c>
      <c r="E14" s="36">
        <v>31</v>
      </c>
      <c r="F14" s="35" t="s">
        <v>211</v>
      </c>
      <c r="G14"/>
      <c r="H14" t="s">
        <v>176</v>
      </c>
      <c r="I14" s="32">
        <v>0.90366581415174763</v>
      </c>
      <c r="J14" s="32">
        <v>0.92071611253196928</v>
      </c>
      <c r="K14" s="32">
        <v>0.95481670929241269</v>
      </c>
      <c r="L14" s="32">
        <v>0.92071611253196928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>
      <c r="A15" s="34">
        <v>42435</v>
      </c>
      <c r="B15" s="35" t="s">
        <v>161</v>
      </c>
      <c r="C15" s="35" t="s">
        <v>168</v>
      </c>
      <c r="D15" s="35" t="s">
        <v>200</v>
      </c>
      <c r="E15" s="36">
        <v>32</v>
      </c>
      <c r="F15" s="35" t="s">
        <v>212</v>
      </c>
      <c r="G15"/>
      <c r="H15" t="s">
        <v>200</v>
      </c>
      <c r="I15" s="32">
        <v>0.88661551577152597</v>
      </c>
      <c r="J15" s="32">
        <v>1.0741687979539642</v>
      </c>
      <c r="K15" s="32">
        <v>0</v>
      </c>
      <c r="L15" s="32">
        <v>1.0116510372264849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>
      <c r="A16" s="34">
        <v>42436</v>
      </c>
      <c r="B16" s="35" t="s">
        <v>208</v>
      </c>
      <c r="C16" s="35" t="s">
        <v>213</v>
      </c>
      <c r="D16" s="35" t="s">
        <v>187</v>
      </c>
      <c r="E16" s="36">
        <v>29</v>
      </c>
      <c r="F16" s="35" t="s">
        <v>214</v>
      </c>
      <c r="G16"/>
      <c r="H16" t="s">
        <v>182</v>
      </c>
      <c r="I16" s="32">
        <v>0.97186700767263434</v>
      </c>
      <c r="J16" s="32">
        <v>1.0457516339869282</v>
      </c>
      <c r="K16" s="32">
        <v>0.98891730605285599</v>
      </c>
      <c r="L16" s="32">
        <v>1.0084033613445378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>
      <c r="A17" s="34">
        <v>42438</v>
      </c>
      <c r="B17" s="35" t="s">
        <v>198</v>
      </c>
      <c r="C17" s="35" t="s">
        <v>215</v>
      </c>
      <c r="D17" s="35" t="s">
        <v>192</v>
      </c>
      <c r="E17" s="36">
        <v>32</v>
      </c>
      <c r="F17" s="35" t="s">
        <v>216</v>
      </c>
      <c r="G17"/>
      <c r="H17" t="s">
        <v>264</v>
      </c>
      <c r="I17" s="32">
        <v>0.94551654653956441</v>
      </c>
      <c r="J17" s="32">
        <v>1.0127877237851663</v>
      </c>
      <c r="K17" s="32">
        <v>1.0381737235957185</v>
      </c>
      <c r="L17" s="32">
        <v>1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>
      <c r="A18" s="34">
        <v>42438</v>
      </c>
      <c r="B18" s="35" t="s">
        <v>161</v>
      </c>
      <c r="C18" s="35" t="s">
        <v>164</v>
      </c>
      <c r="D18" s="35" t="s">
        <v>200</v>
      </c>
      <c r="E18" s="36">
        <v>31</v>
      </c>
      <c r="F18" s="35" t="s">
        <v>217</v>
      </c>
      <c r="H18"/>
      <c r="I18"/>
      <c r="J18"/>
    </row>
    <row r="19" spans="1:36">
      <c r="A19" s="34">
        <v>42442</v>
      </c>
      <c r="B19" s="35" t="s">
        <v>180</v>
      </c>
      <c r="C19" s="35" t="s">
        <v>218</v>
      </c>
      <c r="D19" s="35" t="s">
        <v>176</v>
      </c>
      <c r="E19" s="36">
        <v>27</v>
      </c>
      <c r="F19" s="35" t="s">
        <v>219</v>
      </c>
      <c r="H19"/>
      <c r="I19"/>
      <c r="J19"/>
    </row>
    <row r="20" spans="1:36">
      <c r="A20" s="34">
        <v>42442</v>
      </c>
      <c r="B20" s="35" t="s">
        <v>198</v>
      </c>
      <c r="C20" s="35" t="s">
        <v>220</v>
      </c>
      <c r="D20" s="35" t="s">
        <v>182</v>
      </c>
      <c r="E20" s="36">
        <v>32</v>
      </c>
      <c r="F20" s="35" t="s">
        <v>221</v>
      </c>
      <c r="H20"/>
      <c r="I20"/>
      <c r="J20"/>
    </row>
    <row r="21" spans="1:36">
      <c r="A21" s="34">
        <v>42442</v>
      </c>
      <c r="B21" s="35" t="s">
        <v>194</v>
      </c>
      <c r="C21" s="35" t="s">
        <v>222</v>
      </c>
      <c r="D21" s="35" t="s">
        <v>178</v>
      </c>
      <c r="E21" s="36">
        <v>27</v>
      </c>
      <c r="F21" s="35" t="s">
        <v>223</v>
      </c>
      <c r="H21"/>
      <c r="I21"/>
      <c r="J21"/>
    </row>
    <row r="22" spans="1:36">
      <c r="A22" s="34">
        <v>42445</v>
      </c>
      <c r="B22" s="35" t="s">
        <v>161</v>
      </c>
      <c r="C22" s="35" t="s">
        <v>166</v>
      </c>
      <c r="D22" s="35" t="s">
        <v>196</v>
      </c>
      <c r="E22" s="36">
        <v>32</v>
      </c>
      <c r="F22" s="35" t="s">
        <v>224</v>
      </c>
      <c r="H22"/>
      <c r="I22"/>
      <c r="J22"/>
    </row>
    <row r="23" spans="1:36">
      <c r="A23" s="34">
        <v>42446</v>
      </c>
      <c r="B23" s="35" t="s">
        <v>202</v>
      </c>
      <c r="C23" s="35" t="s">
        <v>225</v>
      </c>
      <c r="D23" s="35" t="s">
        <v>176</v>
      </c>
      <c r="E23" s="36">
        <v>24</v>
      </c>
      <c r="F23" s="35" t="s">
        <v>226</v>
      </c>
    </row>
    <row r="24" spans="1:36">
      <c r="A24" s="34">
        <v>42449</v>
      </c>
      <c r="B24" s="35" t="s">
        <v>169</v>
      </c>
      <c r="C24" s="35" t="s">
        <v>171</v>
      </c>
      <c r="D24" s="35" t="s">
        <v>189</v>
      </c>
      <c r="E24" s="36">
        <v>29</v>
      </c>
      <c r="F24" s="35" t="s">
        <v>227</v>
      </c>
    </row>
    <row r="25" spans="1:36">
      <c r="A25" s="34">
        <v>42450</v>
      </c>
      <c r="B25" s="35" t="s">
        <v>180</v>
      </c>
      <c r="C25" s="35" t="s">
        <v>228</v>
      </c>
      <c r="D25" s="35" t="s">
        <v>176</v>
      </c>
      <c r="E25" s="36">
        <v>31</v>
      </c>
      <c r="F25" s="35" t="s">
        <v>229</v>
      </c>
    </row>
    <row r="26" spans="1:36">
      <c r="A26" s="34">
        <v>42452</v>
      </c>
      <c r="B26" s="35" t="s">
        <v>208</v>
      </c>
      <c r="C26" s="35" t="s">
        <v>230</v>
      </c>
      <c r="D26" s="35" t="s">
        <v>189</v>
      </c>
      <c r="E26" s="36">
        <v>32</v>
      </c>
      <c r="F26" s="35" t="s">
        <v>231</v>
      </c>
    </row>
    <row r="27" spans="1:36">
      <c r="A27" s="34">
        <v>42452</v>
      </c>
      <c r="B27" s="35" t="s">
        <v>205</v>
      </c>
      <c r="C27" s="35" t="s">
        <v>232</v>
      </c>
      <c r="D27" s="35" t="s">
        <v>192</v>
      </c>
      <c r="E27" s="36">
        <v>33</v>
      </c>
      <c r="F27" s="35" t="s">
        <v>233</v>
      </c>
    </row>
    <row r="28" spans="1:36">
      <c r="A28" s="34">
        <v>42452</v>
      </c>
      <c r="B28" s="35" t="s">
        <v>185</v>
      </c>
      <c r="C28" s="35" t="s">
        <v>234</v>
      </c>
      <c r="D28" s="35" t="s">
        <v>176</v>
      </c>
      <c r="E28" s="36">
        <v>26</v>
      </c>
      <c r="F28" s="35" t="s">
        <v>235</v>
      </c>
    </row>
    <row r="29" spans="1:36">
      <c r="A29" s="34">
        <v>42453</v>
      </c>
      <c r="B29" s="35" t="s">
        <v>169</v>
      </c>
      <c r="C29" s="35" t="s">
        <v>170</v>
      </c>
      <c r="D29" s="35" t="s">
        <v>182</v>
      </c>
      <c r="E29" s="36">
        <v>29</v>
      </c>
      <c r="F29" s="35" t="s">
        <v>236</v>
      </c>
    </row>
    <row r="30" spans="1:36">
      <c r="A30" s="34">
        <v>42455</v>
      </c>
      <c r="B30" s="35" t="s">
        <v>202</v>
      </c>
      <c r="C30" s="35" t="s">
        <v>237</v>
      </c>
      <c r="D30" s="35" t="s">
        <v>187</v>
      </c>
      <c r="E30" s="36">
        <v>32</v>
      </c>
      <c r="F30" s="35" t="s">
        <v>238</v>
      </c>
    </row>
    <row r="31" spans="1:36">
      <c r="A31" s="34">
        <v>42456</v>
      </c>
      <c r="B31" s="35" t="s">
        <v>198</v>
      </c>
      <c r="C31" s="35" t="s">
        <v>239</v>
      </c>
      <c r="D31" s="35" t="s">
        <v>240</v>
      </c>
      <c r="E31" s="36">
        <v>30</v>
      </c>
      <c r="F31" s="35" t="s">
        <v>241</v>
      </c>
    </row>
    <row r="32" spans="1:36">
      <c r="A32" s="34">
        <v>42458</v>
      </c>
      <c r="B32" s="35" t="s">
        <v>180</v>
      </c>
      <c r="C32" s="35" t="s">
        <v>242</v>
      </c>
      <c r="D32" s="35" t="s">
        <v>243</v>
      </c>
      <c r="E32" s="36">
        <v>24</v>
      </c>
      <c r="F32" s="35" t="s">
        <v>244</v>
      </c>
    </row>
    <row r="33" spans="1:6">
      <c r="A33" s="34">
        <v>42462</v>
      </c>
      <c r="B33" s="35" t="s">
        <v>185</v>
      </c>
      <c r="C33" s="35" t="s">
        <v>245</v>
      </c>
      <c r="D33" s="35" t="s">
        <v>176</v>
      </c>
      <c r="E33" s="36">
        <v>28</v>
      </c>
      <c r="F33" s="35" t="s">
        <v>246</v>
      </c>
    </row>
    <row r="34" spans="1:6">
      <c r="A34" s="34">
        <v>42462</v>
      </c>
      <c r="B34" s="35" t="s">
        <v>161</v>
      </c>
      <c r="C34" s="35" t="s">
        <v>247</v>
      </c>
      <c r="D34" s="35" t="s">
        <v>243</v>
      </c>
      <c r="E34" s="36">
        <v>33</v>
      </c>
      <c r="F34" s="35" t="s">
        <v>248</v>
      </c>
    </row>
    <row r="35" spans="1:6">
      <c r="A35" s="34">
        <v>42463</v>
      </c>
      <c r="B35" s="35" t="s">
        <v>161</v>
      </c>
      <c r="C35" s="35" t="s">
        <v>249</v>
      </c>
      <c r="D35" s="35" t="s">
        <v>187</v>
      </c>
      <c r="E35" s="36">
        <v>30</v>
      </c>
      <c r="F35" s="35" t="s">
        <v>250</v>
      </c>
    </row>
    <row r="36" spans="1:6">
      <c r="A36" s="34">
        <v>42467</v>
      </c>
      <c r="B36" s="35" t="s">
        <v>198</v>
      </c>
      <c r="C36" s="35" t="s">
        <v>251</v>
      </c>
      <c r="D36" s="35" t="s">
        <v>243</v>
      </c>
      <c r="E36" s="36">
        <v>33</v>
      </c>
      <c r="F36" s="35" t="s">
        <v>252</v>
      </c>
    </row>
    <row r="37" spans="1:6">
      <c r="A37" s="34">
        <v>42467</v>
      </c>
      <c r="B37" s="35" t="s">
        <v>180</v>
      </c>
      <c r="C37" s="35" t="s">
        <v>253</v>
      </c>
      <c r="D37" s="35" t="s">
        <v>240</v>
      </c>
      <c r="E37" s="36">
        <v>32</v>
      </c>
      <c r="F37" s="35" t="s">
        <v>254</v>
      </c>
    </row>
    <row r="38" spans="1:6">
      <c r="A38" s="34">
        <v>42468</v>
      </c>
      <c r="B38" s="35" t="s">
        <v>208</v>
      </c>
      <c r="C38" s="35" t="s">
        <v>255</v>
      </c>
      <c r="D38" s="35" t="s">
        <v>182</v>
      </c>
      <c r="E38" s="36">
        <v>33</v>
      </c>
      <c r="F38" s="35" t="s">
        <v>256</v>
      </c>
    </row>
    <row r="39" spans="1:6">
      <c r="A39" s="34">
        <v>42469</v>
      </c>
      <c r="B39" s="35" t="s">
        <v>169</v>
      </c>
      <c r="C39" s="35" t="s">
        <v>257</v>
      </c>
      <c r="D39" s="35" t="s">
        <v>182</v>
      </c>
      <c r="E39" s="36">
        <v>25</v>
      </c>
      <c r="F39" s="35" t="s">
        <v>258</v>
      </c>
    </row>
    <row r="40" spans="1:6">
      <c r="A40" s="34">
        <v>42469</v>
      </c>
      <c r="B40" s="35" t="s">
        <v>202</v>
      </c>
      <c r="C40" s="35" t="s">
        <v>259</v>
      </c>
      <c r="D40" s="35" t="s">
        <v>196</v>
      </c>
      <c r="E40" s="36">
        <v>28</v>
      </c>
      <c r="F40" s="35" t="s">
        <v>260</v>
      </c>
    </row>
    <row r="41" spans="1:6">
      <c r="A41" s="34">
        <v>42470</v>
      </c>
      <c r="B41" s="35" t="s">
        <v>161</v>
      </c>
      <c r="C41" s="35" t="s">
        <v>261</v>
      </c>
      <c r="D41" s="35" t="s">
        <v>240</v>
      </c>
      <c r="E41" s="36">
        <v>32</v>
      </c>
      <c r="F41" s="35" t="s">
        <v>262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6"/>
  <sheetViews>
    <sheetView workbookViewId="0">
      <selection sqref="A1:D1"/>
    </sheetView>
  </sheetViews>
  <sheetFormatPr defaultRowHeight="16.5"/>
  <cols>
    <col min="1" max="1" width="11" style="1" bestFit="1" customWidth="1"/>
    <col min="2" max="2" width="8.125" style="1" customWidth="1"/>
    <col min="3" max="3" width="7.5" style="1" customWidth="1"/>
    <col min="4" max="4" width="8.875" style="1" customWidth="1"/>
    <col min="5" max="5" width="2.75" style="1" customWidth="1"/>
    <col min="6" max="6" width="11" style="1" bestFit="1" customWidth="1"/>
    <col min="7" max="8" width="8" style="1" customWidth="1"/>
    <col min="9" max="9" width="9" style="1"/>
    <col min="10" max="10" width="2.375" style="1" customWidth="1"/>
    <col min="11" max="11" width="11" style="1" bestFit="1" customWidth="1"/>
    <col min="12" max="13" width="7.875" style="1" customWidth="1"/>
    <col min="14" max="14" width="9.125" style="1" customWidth="1"/>
    <col min="15" max="16384" width="9" style="1"/>
  </cols>
  <sheetData>
    <row r="1" spans="1:14" ht="17.25">
      <c r="A1" s="38" t="s">
        <v>113</v>
      </c>
      <c r="B1" s="38"/>
      <c r="C1" s="38"/>
      <c r="D1" s="38"/>
      <c r="E1" s="23"/>
      <c r="F1" s="38" t="s">
        <v>114</v>
      </c>
      <c r="G1" s="38"/>
      <c r="H1" s="38"/>
      <c r="I1" s="38"/>
      <c r="J1" s="23"/>
      <c r="K1" s="38" t="s">
        <v>115</v>
      </c>
      <c r="L1" s="38"/>
      <c r="M1" s="38"/>
      <c r="N1" s="38"/>
    </row>
    <row r="2" spans="1:14">
      <c r="A2" s="23"/>
      <c r="B2" s="23"/>
      <c r="C2" s="23"/>
      <c r="D2" s="23" t="s">
        <v>116</v>
      </c>
      <c r="E2" s="23"/>
      <c r="F2" s="23"/>
      <c r="G2" s="23"/>
      <c r="H2" s="23"/>
      <c r="I2" s="23" t="s">
        <v>116</v>
      </c>
      <c r="J2" s="23"/>
      <c r="K2" s="23"/>
      <c r="L2" s="23"/>
      <c r="M2" s="23"/>
      <c r="N2" s="23" t="s">
        <v>116</v>
      </c>
    </row>
    <row r="3" spans="1:14">
      <c r="A3" s="24" t="s">
        <v>117</v>
      </c>
      <c r="B3" s="24" t="s">
        <v>118</v>
      </c>
      <c r="C3" s="24" t="s">
        <v>119</v>
      </c>
      <c r="D3" s="24" t="s">
        <v>120</v>
      </c>
      <c r="E3" s="23"/>
      <c r="F3" s="24" t="s">
        <v>117</v>
      </c>
      <c r="G3" s="24" t="s">
        <v>118</v>
      </c>
      <c r="H3" s="24" t="s">
        <v>119</v>
      </c>
      <c r="I3" s="24" t="s">
        <v>120</v>
      </c>
      <c r="J3" s="23"/>
      <c r="K3" s="24" t="s">
        <v>117</v>
      </c>
      <c r="L3" s="24" t="s">
        <v>118</v>
      </c>
      <c r="M3" s="24" t="s">
        <v>119</v>
      </c>
      <c r="N3" s="24" t="s">
        <v>120</v>
      </c>
    </row>
    <row r="4" spans="1:14">
      <c r="A4" s="25" t="s">
        <v>121</v>
      </c>
      <c r="B4" s="26">
        <v>120</v>
      </c>
      <c r="C4" s="26">
        <v>50</v>
      </c>
      <c r="D4" s="26">
        <v>60</v>
      </c>
      <c r="E4" s="23"/>
      <c r="F4" s="25" t="s">
        <v>121</v>
      </c>
      <c r="G4" s="26">
        <v>100</v>
      </c>
      <c r="H4" s="26">
        <v>85</v>
      </c>
      <c r="I4" s="26">
        <v>68</v>
      </c>
      <c r="J4" s="23"/>
      <c r="K4" s="25" t="s">
        <v>121</v>
      </c>
      <c r="L4" s="26">
        <v>110</v>
      </c>
      <c r="M4" s="26">
        <v>88</v>
      </c>
      <c r="N4" s="26">
        <v>100</v>
      </c>
    </row>
    <row r="5" spans="1:14">
      <c r="A5" s="25" t="s">
        <v>122</v>
      </c>
      <c r="B5" s="26">
        <v>85</v>
      </c>
      <c r="C5" s="26">
        <v>90</v>
      </c>
      <c r="D5" s="26">
        <v>52</v>
      </c>
      <c r="E5" s="23"/>
      <c r="F5" s="25" t="s">
        <v>122</v>
      </c>
      <c r="G5" s="26">
        <v>90</v>
      </c>
      <c r="H5" s="26">
        <v>48</v>
      </c>
      <c r="I5" s="26">
        <v>60</v>
      </c>
      <c r="J5" s="23"/>
      <c r="K5" s="25" t="s">
        <v>122</v>
      </c>
      <c r="L5" s="26">
        <v>96</v>
      </c>
      <c r="M5" s="26">
        <v>102</v>
      </c>
      <c r="N5" s="26">
        <v>88</v>
      </c>
    </row>
    <row r="6" spans="1:14">
      <c r="A6" s="25" t="s">
        <v>123</v>
      </c>
      <c r="B6" s="26">
        <v>78</v>
      </c>
      <c r="C6" s="26">
        <v>80</v>
      </c>
      <c r="D6" s="26">
        <v>55</v>
      </c>
      <c r="E6" s="23"/>
      <c r="F6" s="25" t="s">
        <v>123</v>
      </c>
      <c r="G6" s="26">
        <v>98</v>
      </c>
      <c r="H6" s="26">
        <v>80</v>
      </c>
      <c r="I6" s="26">
        <v>60</v>
      </c>
      <c r="J6" s="23"/>
      <c r="K6" s="25" t="s">
        <v>123</v>
      </c>
      <c r="L6" s="26">
        <v>80</v>
      </c>
      <c r="M6" s="26">
        <v>96</v>
      </c>
      <c r="N6" s="26">
        <v>76</v>
      </c>
    </row>
    <row r="7" spans="1:14">
      <c r="A7" s="25" t="s">
        <v>124</v>
      </c>
      <c r="B7" s="26">
        <v>125</v>
      </c>
      <c r="C7" s="26">
        <v>75</v>
      </c>
      <c r="D7" s="26">
        <v>66</v>
      </c>
      <c r="E7" s="23"/>
      <c r="F7" s="25" t="s">
        <v>124</v>
      </c>
      <c r="G7" s="26">
        <v>80</v>
      </c>
      <c r="H7" s="26">
        <v>53</v>
      </c>
      <c r="I7" s="26">
        <v>70</v>
      </c>
      <c r="J7" s="23"/>
      <c r="K7" s="25" t="s">
        <v>124</v>
      </c>
      <c r="L7" s="26">
        <v>105</v>
      </c>
      <c r="M7" s="26">
        <v>75</v>
      </c>
      <c r="N7" s="26">
        <v>78</v>
      </c>
    </row>
    <row r="8" spans="1:14">
      <c r="A8" s="25" t="s">
        <v>125</v>
      </c>
      <c r="B8" s="26">
        <v>83</v>
      </c>
      <c r="C8" s="26">
        <v>78</v>
      </c>
      <c r="D8" s="26">
        <v>86</v>
      </c>
      <c r="E8" s="23"/>
      <c r="F8" s="25" t="s">
        <v>125</v>
      </c>
      <c r="G8" s="26">
        <v>110</v>
      </c>
      <c r="H8" s="26">
        <v>78</v>
      </c>
      <c r="I8" s="26">
        <v>80</v>
      </c>
      <c r="J8" s="23"/>
      <c r="K8" s="25" t="s">
        <v>125</v>
      </c>
      <c r="L8" s="26">
        <v>78</v>
      </c>
      <c r="M8" s="26">
        <v>60</v>
      </c>
      <c r="N8" s="26">
        <v>84</v>
      </c>
    </row>
    <row r="9" spans="1:14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</row>
    <row r="10" spans="1:14" ht="17.25">
      <c r="A10" s="39" t="s">
        <v>126</v>
      </c>
      <c r="B10" s="39"/>
      <c r="C10" s="39"/>
      <c r="D10" s="39"/>
      <c r="E10" s="23"/>
      <c r="F10" s="23"/>
      <c r="G10" s="23"/>
      <c r="H10" s="23"/>
      <c r="I10" s="23"/>
      <c r="J10" s="23"/>
      <c r="K10" s="23"/>
      <c r="L10" s="23"/>
      <c r="M10" s="23"/>
      <c r="N10" s="23"/>
    </row>
    <row r="11" spans="1:14">
      <c r="A11" s="24" t="s">
        <v>117</v>
      </c>
      <c r="B11" s="24" t="s">
        <v>118</v>
      </c>
      <c r="C11" s="24" t="s">
        <v>119</v>
      </c>
      <c r="D11" s="24" t="s">
        <v>120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</row>
    <row r="12" spans="1:14">
      <c r="A12" s="25" t="s">
        <v>121</v>
      </c>
      <c r="B12" s="26">
        <v>120</v>
      </c>
      <c r="C12" s="26">
        <v>88</v>
      </c>
      <c r="D12" s="26">
        <v>100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3" spans="1:14">
      <c r="A13" s="25" t="s">
        <v>122</v>
      </c>
      <c r="B13" s="26">
        <v>96</v>
      </c>
      <c r="C13" s="26">
        <v>102</v>
      </c>
      <c r="D13" s="26">
        <v>88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</row>
    <row r="14" spans="1:14">
      <c r="A14" s="25" t="s">
        <v>123</v>
      </c>
      <c r="B14" s="26">
        <v>98</v>
      </c>
      <c r="C14" s="26">
        <v>96</v>
      </c>
      <c r="D14" s="26">
        <v>76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</row>
    <row r="15" spans="1:14">
      <c r="A15" s="25" t="s">
        <v>124</v>
      </c>
      <c r="B15" s="26">
        <v>125</v>
      </c>
      <c r="C15" s="26">
        <v>75</v>
      </c>
      <c r="D15" s="26">
        <v>78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14">
      <c r="A16" s="25" t="s">
        <v>125</v>
      </c>
      <c r="B16" s="26">
        <v>110</v>
      </c>
      <c r="C16" s="26">
        <v>78</v>
      </c>
      <c r="D16" s="26">
        <v>86</v>
      </c>
      <c r="E16" s="23"/>
      <c r="F16" s="23"/>
      <c r="G16" s="23"/>
      <c r="H16" s="23"/>
      <c r="I16" s="23"/>
      <c r="J16" s="23"/>
      <c r="K16" s="23"/>
      <c r="L16" s="23"/>
      <c r="M16" s="23"/>
      <c r="N16" s="23"/>
    </row>
  </sheetData>
  <dataConsolidate function="max" topLabels="1">
    <dataRefs count="3">
      <dataRef ref="A3:D8" sheet="분석작업-2"/>
      <dataRef ref="F3:I8" sheet="분석작업-2"/>
      <dataRef ref="K3:N8" sheet="분석작업-2"/>
    </dataRefs>
  </dataConsolidate>
  <mergeCells count="4">
    <mergeCell ref="A1:D1"/>
    <mergeCell ref="F1:I1"/>
    <mergeCell ref="K1:N1"/>
    <mergeCell ref="A10:D10"/>
  </mergeCells>
  <phoneticPr fontId="3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F13"/>
  <sheetViews>
    <sheetView workbookViewId="0"/>
  </sheetViews>
  <sheetFormatPr defaultRowHeight="16.5"/>
  <cols>
    <col min="1" max="1" width="2.25" style="1" customWidth="1"/>
    <col min="2" max="16384" width="9" style="1"/>
  </cols>
  <sheetData>
    <row r="1" spans="2:6">
      <c r="B1" s="15"/>
      <c r="C1" s="40" t="s">
        <v>127</v>
      </c>
      <c r="D1" s="40"/>
      <c r="E1" s="40"/>
      <c r="F1" s="40"/>
    </row>
    <row r="3" spans="2:6">
      <c r="B3" s="8" t="s">
        <v>128</v>
      </c>
      <c r="C3" s="8" t="s">
        <v>129</v>
      </c>
      <c r="D3" s="8" t="s">
        <v>130</v>
      </c>
      <c r="E3" s="8" t="s">
        <v>131</v>
      </c>
      <c r="F3" s="8" t="s">
        <v>132</v>
      </c>
    </row>
    <row r="4" spans="2:6">
      <c r="B4" s="8">
        <v>1</v>
      </c>
      <c r="C4" s="8" t="s">
        <v>133</v>
      </c>
      <c r="D4" s="8">
        <v>75</v>
      </c>
      <c r="E4" s="8">
        <v>73</v>
      </c>
      <c r="F4" s="8">
        <v>80</v>
      </c>
    </row>
    <row r="5" spans="2:6">
      <c r="B5" s="8">
        <v>2</v>
      </c>
      <c r="C5" s="8" t="s">
        <v>134</v>
      </c>
      <c r="D5" s="8">
        <v>79</v>
      </c>
      <c r="E5" s="8">
        <v>71</v>
      </c>
      <c r="F5" s="8">
        <v>70</v>
      </c>
    </row>
    <row r="6" spans="2:6">
      <c r="B6" s="8">
        <v>3</v>
      </c>
      <c r="C6" s="8" t="s">
        <v>135</v>
      </c>
      <c r="D6" s="8">
        <v>71</v>
      </c>
      <c r="E6" s="8">
        <v>68</v>
      </c>
      <c r="F6" s="8">
        <v>64</v>
      </c>
    </row>
    <row r="7" spans="2:6">
      <c r="B7" s="8">
        <v>4</v>
      </c>
      <c r="C7" s="8" t="s">
        <v>136</v>
      </c>
      <c r="D7" s="8">
        <v>80</v>
      </c>
      <c r="E7" s="8">
        <v>82</v>
      </c>
      <c r="F7" s="8">
        <v>78</v>
      </c>
    </row>
    <row r="8" spans="2:6">
      <c r="B8" s="8">
        <v>5</v>
      </c>
      <c r="C8" s="8" t="s">
        <v>137</v>
      </c>
      <c r="D8" s="8">
        <v>77</v>
      </c>
      <c r="E8" s="8">
        <v>75</v>
      </c>
      <c r="F8" s="8">
        <v>79</v>
      </c>
    </row>
    <row r="9" spans="2:6">
      <c r="B9" s="9">
        <v>6</v>
      </c>
      <c r="C9" s="9" t="s">
        <v>138</v>
      </c>
      <c r="D9" s="9">
        <v>88</v>
      </c>
      <c r="E9" s="9">
        <v>83</v>
      </c>
      <c r="F9" s="9">
        <v>79</v>
      </c>
    </row>
    <row r="10" spans="2:6">
      <c r="B10" s="9">
        <v>7</v>
      </c>
      <c r="C10" s="9" t="s">
        <v>139</v>
      </c>
      <c r="D10" s="9">
        <v>84</v>
      </c>
      <c r="E10" s="9">
        <v>78</v>
      </c>
      <c r="F10" s="9">
        <v>70</v>
      </c>
    </row>
    <row r="11" spans="2:6">
      <c r="B11" s="9">
        <v>8</v>
      </c>
      <c r="C11" s="8" t="s">
        <v>140</v>
      </c>
      <c r="D11" s="9">
        <v>80</v>
      </c>
      <c r="E11" s="9">
        <v>94</v>
      </c>
      <c r="F11" s="9">
        <v>94</v>
      </c>
    </row>
    <row r="12" spans="2:6">
      <c r="B12" s="9">
        <v>9</v>
      </c>
      <c r="C12" s="8" t="s">
        <v>141</v>
      </c>
      <c r="D12" s="9">
        <v>86</v>
      </c>
      <c r="E12" s="9">
        <v>88</v>
      </c>
      <c r="F12" s="9">
        <v>85</v>
      </c>
    </row>
    <row r="13" spans="2:6">
      <c r="B13" s="9">
        <v>10</v>
      </c>
      <c r="C13" s="8" t="s">
        <v>142</v>
      </c>
      <c r="D13" s="9">
        <v>90</v>
      </c>
      <c r="E13" s="9">
        <v>80</v>
      </c>
      <c r="F13" s="9">
        <v>91</v>
      </c>
    </row>
  </sheetData>
  <mergeCells count="1">
    <mergeCell ref="C1:F1"/>
  </mergeCells>
  <phoneticPr fontId="3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29"/>
  <sheetViews>
    <sheetView workbookViewId="0"/>
  </sheetViews>
  <sheetFormatPr defaultRowHeight="16.5"/>
  <cols>
    <col min="1" max="1" width="11.375" style="41" customWidth="1"/>
    <col min="2" max="16384" width="9" style="41"/>
  </cols>
  <sheetData>
    <row r="1" spans="1:7" ht="20.25">
      <c r="A1" s="43" t="s">
        <v>143</v>
      </c>
    </row>
    <row r="3" spans="1:7">
      <c r="A3" s="27" t="s">
        <v>144</v>
      </c>
      <c r="B3" s="27" t="s">
        <v>145</v>
      </c>
      <c r="C3" s="27" t="s">
        <v>146</v>
      </c>
      <c r="D3" s="27" t="s">
        <v>147</v>
      </c>
      <c r="E3" s="27" t="s">
        <v>148</v>
      </c>
      <c r="G3" s="41" t="s">
        <v>144</v>
      </c>
    </row>
    <row r="4" spans="1:7">
      <c r="A4" s="23" t="s">
        <v>149</v>
      </c>
      <c r="B4" s="23">
        <v>8000</v>
      </c>
      <c r="C4" s="28">
        <v>5</v>
      </c>
      <c r="D4" s="28">
        <v>40000</v>
      </c>
      <c r="E4" s="23">
        <v>4000</v>
      </c>
      <c r="G4" s="41" t="s">
        <v>150</v>
      </c>
    </row>
    <row r="5" spans="1:7">
      <c r="A5" s="23" t="s">
        <v>151</v>
      </c>
      <c r="B5" s="23">
        <v>7000</v>
      </c>
      <c r="C5" s="28">
        <v>4</v>
      </c>
      <c r="D5" s="28">
        <v>28000</v>
      </c>
      <c r="E5" s="23"/>
      <c r="G5" s="41" t="s">
        <v>152</v>
      </c>
    </row>
    <row r="6" spans="1:7">
      <c r="A6" s="23" t="s">
        <v>153</v>
      </c>
      <c r="B6" s="23">
        <v>7500</v>
      </c>
      <c r="C6" s="28">
        <v>6</v>
      </c>
      <c r="D6" s="28">
        <v>45000</v>
      </c>
      <c r="E6" s="23">
        <v>4500</v>
      </c>
      <c r="G6" s="41" t="s">
        <v>154</v>
      </c>
    </row>
    <row r="7" spans="1:7">
      <c r="A7" s="23" t="s">
        <v>155</v>
      </c>
      <c r="B7" s="23">
        <v>5000</v>
      </c>
      <c r="C7" s="28">
        <v>2</v>
      </c>
      <c r="D7" s="28">
        <v>10000</v>
      </c>
      <c r="E7" s="23"/>
      <c r="G7" s="41" t="s">
        <v>156</v>
      </c>
    </row>
    <row r="8" spans="1:7">
      <c r="C8" s="42"/>
      <c r="D8" s="42"/>
    </row>
    <row r="9" spans="1:7">
      <c r="C9" s="42"/>
      <c r="D9" s="42"/>
    </row>
    <row r="10" spans="1:7">
      <c r="C10" s="42"/>
      <c r="D10" s="42"/>
    </row>
    <row r="11" spans="1:7">
      <c r="C11" s="42"/>
      <c r="D11" s="42"/>
    </row>
    <row r="12" spans="1:7">
      <c r="C12" s="42"/>
      <c r="D12" s="42"/>
    </row>
    <row r="13" spans="1:7">
      <c r="C13" s="42"/>
      <c r="D13" s="42"/>
    </row>
    <row r="14" spans="1:7">
      <c r="C14" s="42"/>
      <c r="D14" s="42"/>
    </row>
    <row r="15" spans="1:7">
      <c r="C15" s="42"/>
      <c r="D15" s="42"/>
    </row>
    <row r="16" spans="1:7">
      <c r="C16" s="42"/>
      <c r="D16" s="42"/>
    </row>
    <row r="17" spans="3:4">
      <c r="C17" s="42"/>
      <c r="D17" s="42"/>
    </row>
    <row r="18" spans="3:4">
      <c r="C18" s="42"/>
      <c r="D18" s="42"/>
    </row>
    <row r="19" spans="3:4">
      <c r="C19" s="42"/>
      <c r="D19" s="42"/>
    </row>
    <row r="20" spans="3:4">
      <c r="C20" s="44"/>
      <c r="D20" s="44"/>
    </row>
    <row r="21" spans="3:4">
      <c r="C21" s="44"/>
      <c r="D21" s="44"/>
    </row>
    <row r="22" spans="3:4">
      <c r="C22" s="44"/>
      <c r="D22" s="44"/>
    </row>
    <row r="23" spans="3:4">
      <c r="C23" s="44"/>
      <c r="D23" s="44"/>
    </row>
    <row r="24" spans="3:4">
      <c r="C24" s="44"/>
      <c r="D24" s="44"/>
    </row>
    <row r="25" spans="3:4">
      <c r="C25" s="44"/>
      <c r="D25" s="44"/>
    </row>
    <row r="26" spans="3:4">
      <c r="C26" s="44"/>
      <c r="D26" s="44"/>
    </row>
    <row r="27" spans="3:4">
      <c r="C27" s="44"/>
      <c r="D27" s="44"/>
    </row>
    <row r="28" spans="3:4">
      <c r="C28" s="44"/>
      <c r="D28" s="44"/>
    </row>
    <row r="29" spans="3:4">
      <c r="C29" s="44"/>
      <c r="D29" s="44"/>
    </row>
  </sheetData>
  <phoneticPr fontId="3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333375</xdr:colOff>
                <xdr:row>0</xdr:row>
                <xdr:rowOff>28575</xdr:rowOff>
              </from>
              <to>
                <xdr:col>7</xdr:col>
                <xdr:colOff>152400</xdr:colOff>
                <xdr:row>1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4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2017-09-05T04:47:13Z</cp:lastPrinted>
  <dcterms:created xsi:type="dcterms:W3CDTF">2017-08-30T10:46:35Z</dcterms:created>
  <dcterms:modified xsi:type="dcterms:W3CDTF">2018-08-22T06:24:55Z</dcterms:modified>
</cp:coreProperties>
</file>