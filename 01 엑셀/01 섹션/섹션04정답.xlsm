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4"/>
  </bookViews>
  <sheets>
    <sheet name="무작정따라하기" sheetId="4" r:id="rId1"/>
    <sheet name="무작정따라하기2" sheetId="5" r:id="rId2"/>
    <sheet name="기출01" sheetId="6" r:id="rId3"/>
    <sheet name="기출02" sheetId="7" r:id="rId4"/>
    <sheet name="기출03" sheetId="8" r:id="rId5"/>
  </sheets>
  <definedNames>
    <definedName name="_111" localSheetId="1">무작정따라하기2!#REF!</definedName>
    <definedName name="_xlnm._FilterDatabase" localSheetId="2" hidden="1">기출01!$B$2:$G$36</definedName>
    <definedName name="_xlnm._FilterDatabase" localSheetId="3" hidden="1">기출02!$A$3:$E$12</definedName>
    <definedName name="_xlnm._FilterDatabase" localSheetId="4" hidden="1">기출03!$A$3:$G$13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3">기출02!$A$15:$C$18</definedName>
    <definedName name="_xlnm.Criteria" localSheetId="4">기출03!$A$16:$B$18</definedName>
    <definedName name="_xlnm.Criteria" localSheetId="0">무작정따라하기!#REF!</definedName>
    <definedName name="_xlnm.Criteria" localSheetId="1">무작정따라하기2!$A$16:$C$17</definedName>
    <definedName name="_xlnm.Extract" localSheetId="3">기출02!$A$20:$D$20</definedName>
    <definedName name="_xlnm.Extract" localSheetId="4">기출03!#REF!</definedName>
    <definedName name="_xlnm.Extract" localSheetId="0">무작정따라하기!#REF!</definedName>
    <definedName name="_xlnm.Extract" localSheetId="1">무작정따라하기2!$A$20:$E$20</definedName>
    <definedName name="MS_Access_Database_Query" localSheetId="1">무작정따라하기2!#REF!</definedName>
    <definedName name="MS_Access_Database_Query_1" localSheetId="1">무작정따라하기2!#REF!</definedName>
  </definedNames>
  <calcPr calcId="145621"/>
</workbook>
</file>

<file path=xl/calcChain.xml><?xml version="1.0" encoding="utf-8"?>
<calcChain xmlns="http://schemas.openxmlformats.org/spreadsheetml/2006/main">
  <c r="G14" i="5" l="1"/>
  <c r="F14" i="5"/>
  <c r="G13" i="5"/>
  <c r="F13" i="5"/>
  <c r="H12" i="5"/>
  <c r="G12" i="5"/>
  <c r="F12" i="5"/>
  <c r="G11" i="5"/>
  <c r="F11" i="5"/>
  <c r="G10" i="5"/>
  <c r="F10" i="5"/>
  <c r="H10" i="5" s="1"/>
  <c r="G9" i="5"/>
  <c r="F9" i="5"/>
  <c r="H9" i="5" s="1"/>
  <c r="G8" i="5"/>
  <c r="F8" i="5"/>
  <c r="H8" i="5" s="1"/>
  <c r="G7" i="5"/>
  <c r="H7" i="5" s="1"/>
  <c r="F7" i="5"/>
  <c r="G6" i="5"/>
  <c r="F6" i="5"/>
  <c r="G5" i="5"/>
  <c r="F5" i="5"/>
  <c r="B18" i="8"/>
  <c r="A17" i="8"/>
  <c r="H6" i="5" l="1"/>
  <c r="H11" i="5"/>
  <c r="H13" i="5"/>
  <c r="H5" i="5"/>
  <c r="H14" i="5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H7" i="4" l="1"/>
  <c r="H9" i="4"/>
  <c r="H13" i="4"/>
  <c r="H5" i="4"/>
  <c r="H8" i="4"/>
  <c r="H10" i="4"/>
  <c r="H12" i="4"/>
  <c r="H6" i="4"/>
  <c r="H11" i="4"/>
  <c r="H14" i="4"/>
</calcChain>
</file>

<file path=xl/sharedStrings.xml><?xml version="1.0" encoding="utf-8"?>
<sst xmlns="http://schemas.openxmlformats.org/spreadsheetml/2006/main" count="330" uniqueCount="174">
  <si>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</si>
  <si>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</si>
  <si>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</si>
  <si>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</si>
  <si>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</si>
  <si>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</si>
  <si>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</si>
  <si>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</si>
  <si>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</si>
  <si>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</si>
  <si>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</si>
  <si>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</si>
  <si>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</si>
  <si>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</si>
  <si>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</si>
  <si>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</si>
  <si>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</si>
  <si>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</si>
  <si>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</si>
  <si>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</si>
  <si>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</si>
  <si>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</si>
  <si>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  <phoneticPr fontId="3" type="noConversion"/>
  </si>
  <si>
    <t>회사명</t>
    <phoneticPr fontId="3" type="noConversion"/>
  </si>
  <si>
    <t>업종</t>
    <phoneticPr fontId="3" type="noConversion"/>
  </si>
  <si>
    <t>주소</t>
    <phoneticPr fontId="3" type="noConversion"/>
  </si>
  <si>
    <t>취급품</t>
    <phoneticPr fontId="3" type="noConversion"/>
  </si>
  <si>
    <t>종업원수(명)</t>
    <phoneticPr fontId="3" type="noConversion"/>
  </si>
  <si>
    <t>굿모에스</t>
  </si>
  <si>
    <t>도소매</t>
    <phoneticPr fontId="3" type="noConversion"/>
  </si>
  <si>
    <t>서울 양천구 목동</t>
    <phoneticPr fontId="3" type="noConversion"/>
  </si>
  <si>
    <t>컴퓨터</t>
    <phoneticPr fontId="3" type="noConversion"/>
  </si>
  <si>
    <t>넷인기술</t>
  </si>
  <si>
    <t>서비스</t>
    <phoneticPr fontId="3" type="noConversion"/>
  </si>
  <si>
    <t>서울 중구 순화동</t>
    <phoneticPr fontId="3" type="noConversion"/>
  </si>
  <si>
    <t>다비서㈜</t>
  </si>
  <si>
    <t>서울 종로구 사간동</t>
    <phoneticPr fontId="3" type="noConversion"/>
  </si>
  <si>
    <t>소프트웨어</t>
    <phoneticPr fontId="3" type="noConversion"/>
  </si>
  <si>
    <t>다우프트</t>
  </si>
  <si>
    <t>서울 동작구 신대방동</t>
    <phoneticPr fontId="3" type="noConversion"/>
  </si>
  <si>
    <t>대통젤㈜</t>
  </si>
  <si>
    <t>서울 구로구 구로동</t>
    <phoneticPr fontId="3" type="noConversion"/>
  </si>
  <si>
    <t>유지보수</t>
    <phoneticPr fontId="3" type="noConversion"/>
  </si>
  <si>
    <t>아정비드</t>
  </si>
  <si>
    <t>경기 고양시 덕양구 행신동</t>
    <phoneticPr fontId="3" type="noConversion"/>
  </si>
  <si>
    <t>이랜데㈜</t>
  </si>
  <si>
    <t>홈페이지</t>
    <phoneticPr fontId="3" type="noConversion"/>
  </si>
  <si>
    <t>서울 용산구 신계동</t>
    <phoneticPr fontId="3" type="noConversion"/>
  </si>
  <si>
    <t>에소술㈜</t>
  </si>
  <si>
    <t>서울 강남구 역삼동</t>
    <phoneticPr fontId="3" type="noConversion"/>
  </si>
  <si>
    <t>에엔털㈜</t>
  </si>
  <si>
    <t>서울 강서구</t>
    <phoneticPr fontId="3" type="noConversion"/>
  </si>
  <si>
    <t>디에트㈜</t>
  </si>
  <si>
    <t>서울 강남구 대치동</t>
    <phoneticPr fontId="3" type="noConversion"/>
  </si>
  <si>
    <t>개발</t>
    <phoneticPr fontId="3" type="noConversion"/>
  </si>
  <si>
    <t>엔정술㈜</t>
  </si>
  <si>
    <t>제조도매</t>
    <phoneticPr fontId="3" type="noConversion"/>
  </si>
  <si>
    <t>서울 영등포구 영등포동</t>
    <phoneticPr fontId="3" type="noConversion"/>
  </si>
  <si>
    <t>지전데타</t>
  </si>
  <si>
    <t>경기도 성남시 분당구</t>
    <phoneticPr fontId="3" type="noConversion"/>
  </si>
  <si>
    <t>엠컨츠코</t>
  </si>
  <si>
    <t>컨설팅</t>
    <phoneticPr fontId="3" type="noConversion"/>
  </si>
  <si>
    <t>와전</t>
  </si>
  <si>
    <t>서울 서초구 양재동</t>
    <phoneticPr fontId="3" type="noConversion"/>
  </si>
  <si>
    <t>인트</t>
  </si>
  <si>
    <t>서울 서초구 서초동</t>
    <phoneticPr fontId="3" type="noConversion"/>
  </si>
  <si>
    <t>오앤</t>
  </si>
  <si>
    <t>태쳐</t>
  </si>
  <si>
    <t>경기도 수원시 영통구 매탄동</t>
    <phoneticPr fontId="3" type="noConversion"/>
  </si>
  <si>
    <t>크피</t>
  </si>
  <si>
    <t>소프트</t>
    <phoneticPr fontId="3" type="noConversion"/>
  </si>
  <si>
    <t>서울 강남구 삼성동</t>
    <phoneticPr fontId="3" type="noConversion"/>
  </si>
  <si>
    <t>컨텐츠</t>
    <phoneticPr fontId="3" type="noConversion"/>
  </si>
  <si>
    <t>씨㈜</t>
  </si>
  <si>
    <t>부산 금정구 구서동</t>
    <phoneticPr fontId="3" type="noConversion"/>
  </si>
  <si>
    <t>전설</t>
  </si>
  <si>
    <t>서울 영등포 여의도동</t>
    <phoneticPr fontId="3" type="noConversion"/>
  </si>
  <si>
    <t>한기</t>
  </si>
  <si>
    <t>호컨</t>
  </si>
  <si>
    <t>밀이</t>
  </si>
  <si>
    <t>서울 중구 남대문로</t>
    <phoneticPr fontId="3" type="noConversion"/>
  </si>
  <si>
    <t>광고</t>
    <phoneticPr fontId="3" type="noConversion"/>
  </si>
  <si>
    <t>디지스㈜</t>
  </si>
  <si>
    <t>서울 영등포구 여의도동</t>
    <phoneticPr fontId="3" type="noConversion"/>
  </si>
  <si>
    <t>렉소스템</t>
  </si>
  <si>
    <t>르네전㈜</t>
  </si>
  <si>
    <t>비데팅㈜</t>
  </si>
  <si>
    <t>비츠너㈜</t>
  </si>
  <si>
    <t>삼전트㈜</t>
  </si>
  <si>
    <t>제조업</t>
    <phoneticPr fontId="3" type="noConversion"/>
  </si>
  <si>
    <t>경기도 용인시 동천동</t>
    <phoneticPr fontId="3" type="noConversion"/>
  </si>
  <si>
    <t>새소통신</t>
  </si>
  <si>
    <t>서울 강남구 논현동</t>
    <phoneticPr fontId="3" type="noConversion"/>
  </si>
  <si>
    <t>성화칼㈜</t>
  </si>
  <si>
    <t>서울 강남구 신사동</t>
    <phoneticPr fontId="3" type="noConversion"/>
  </si>
  <si>
    <t>소어컴㈜</t>
  </si>
  <si>
    <t>소프모닝</t>
  </si>
  <si>
    <t>서울 금천구 독산동</t>
    <phoneticPr fontId="3" type="noConversion"/>
  </si>
  <si>
    <t>씨에인프</t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</si>
  <si>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</si>
  <si>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</si>
  <si>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</si>
  <si>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</si>
  <si>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</si>
  <si>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</si>
  <si>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</si>
  <si>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</si>
  <si>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</si>
  <si>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</si>
  <si>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</si>
  <si>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</si>
  <si>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</si>
  <si>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</si>
  <si>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</si>
  <si>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</si>
  <si>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</si>
  <si>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</si>
  <si>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</si>
  <si>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</si>
  <si>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</si>
  <si>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</si>
  <si>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</si>
  <si>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</si>
  <si>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</si>
  <si>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</si>
  <si>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</si>
  <si>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</si>
  <si>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</si>
  <si>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</si>
  <si>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</si>
  <si>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</si>
  <si>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</si>
  <si>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</si>
  <si>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</si>
  <si>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</si>
  <si>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</si>
  <si>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</si>
  <si>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</si>
  <si>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</si>
  <si>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</si>
  <si>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</si>
  <si>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</si>
  <si>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</si>
  <si>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</si>
  <si>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</si>
  <si>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</si>
  <si>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</si>
  <si>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</si>
  <si>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고객포인트 관리</t>
    <phoneticPr fontId="3" type="noConversion"/>
  </si>
  <si>
    <t>제품 생산 현황</t>
    <phoneticPr fontId="3" type="noConversion"/>
  </si>
  <si>
    <t>퇴직금 정산 내역</t>
    <phoneticPr fontId="3" type="noConversion"/>
  </si>
  <si>
    <t>생산부서</t>
    <phoneticPr fontId="2" type="noConversion"/>
  </si>
  <si>
    <t>생산1부</t>
    <phoneticPr fontId="2" type="noConversion"/>
  </si>
  <si>
    <t>생산량</t>
    <phoneticPr fontId="2" type="noConversion"/>
  </si>
  <si>
    <t>&lt;=700</t>
    <phoneticPr fontId="2" type="noConversion"/>
  </si>
  <si>
    <t>불량률</t>
    <phoneticPr fontId="2" type="noConversion"/>
  </si>
  <si>
    <t>제품코드</t>
    <phoneticPr fontId="2" type="noConversion"/>
  </si>
  <si>
    <t>실적</t>
    <phoneticPr fontId="2" type="noConversion"/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</si>
  <si>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</si>
  <si>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</si>
  <si>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</si>
  <si>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</si>
  <si>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</si>
  <si>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</si>
  <si>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성명</t>
    <phoneticPr fontId="2" type="noConversion"/>
  </si>
  <si>
    <t>김*</t>
    <phoneticPr fontId="2" type="noConversion"/>
  </si>
  <si>
    <t>근속기간</t>
    <phoneticPr fontId="2" type="noConversion"/>
  </si>
  <si>
    <t>&gt;=15</t>
    <phoneticPr fontId="2" type="noConversion"/>
  </si>
  <si>
    <t>퇴직금</t>
    <phoneticPr fontId="2" type="noConversion"/>
  </si>
  <si>
    <t>&lt;=50000</t>
    <phoneticPr fontId="2" type="noConversion"/>
  </si>
  <si>
    <t>성명</t>
    <phoneticPr fontId="2" type="noConversion"/>
  </si>
  <si>
    <t>부서명</t>
    <phoneticPr fontId="2" type="noConversion"/>
  </si>
  <si>
    <t>직책</t>
    <phoneticPr fontId="2" type="noConversion"/>
  </si>
  <si>
    <t>근속기간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</si>
</sst>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u/>
      <sz val="14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5" fillId="0" borderId="0" xfId="1" applyFont="1"/>
    <xf numFmtId="0" fontId="5" fillId="0" borderId="0" xfId="1" applyFont="1" applyBorder="1" applyAlignment="1"/>
    <xf numFmtId="176" fontId="5" fillId="0" borderId="0" xfId="1" applyNumberFormat="1" applyFont="1" applyBorder="1" applyAlignment="1"/>
    <xf numFmtId="0" fontId="5" fillId="0" borderId="1" xfId="1" applyFont="1" applyBorder="1" applyAlignment="1">
      <alignment vertical="center"/>
    </xf>
    <xf numFmtId="0" fontId="5" fillId="0" borderId="1" xfId="1" applyNumberFormat="1" applyFont="1" applyBorder="1" applyAlignment="1"/>
    <xf numFmtId="0" fontId="5" fillId="0" borderId="1" xfId="2" applyNumberFormat="1" applyFont="1" applyBorder="1" applyAlignment="1">
      <alignment vertical="center"/>
    </xf>
    <xf numFmtId="177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2" applyNumberFormat="1" applyFont="1" applyBorder="1" applyAlignment="1">
      <alignment vertical="center"/>
    </xf>
    <xf numFmtId="177" fontId="5" fillId="0" borderId="0" xfId="2" applyNumberFormat="1" applyFont="1" applyBorder="1" applyAlignment="1">
      <alignment vertic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5" fillId="0" borderId="0" xfId="1" applyNumberFormat="1" applyFont="1"/>
    <xf numFmtId="0" fontId="5" fillId="2" borderId="0" xfId="1" applyNumberFormat="1" applyFont="1" applyFill="1"/>
    <xf numFmtId="0" fontId="5" fillId="0" borderId="0" xfId="3" applyNumberFormat="1" applyFont="1"/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41" fontId="6" fillId="0" borderId="1" xfId="2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horizontal="left" vertical="center"/>
    </xf>
    <xf numFmtId="41" fontId="6" fillId="0" borderId="1" xfId="2" applyFont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41" fontId="5" fillId="0" borderId="0" xfId="2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2:H15"/>
  <sheetViews>
    <sheetView workbookViewId="0">
      <selection activeCell="J30" sqref="J30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 hidden="1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 hidden="1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 hidden="1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 hidden="1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 hidden="1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 hidden="1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 hidden="1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 hidden="1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 hidden="1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autoFilter ref="A4:H14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21"/>
  <sheetViews>
    <sheetView workbookViewId="0">
      <selection activeCell="F36" sqref="F36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9.5">
      <c r="A2" s="27" t="s">
        <v>158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159</v>
      </c>
      <c r="C4" s="4" t="s">
        <v>160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161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162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163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162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  <row r="16" spans="1:8">
      <c r="A16" s="1" t="s">
        <v>164</v>
      </c>
      <c r="B16" s="1" t="s">
        <v>166</v>
      </c>
      <c r="C16" s="1" t="s">
        <v>168</v>
      </c>
    </row>
    <row r="17" spans="1:5">
      <c r="A17" s="1" t="s">
        <v>165</v>
      </c>
      <c r="B17" s="1" t="s">
        <v>167</v>
      </c>
      <c r="C17" s="1" t="s">
        <v>169</v>
      </c>
    </row>
    <row r="20" spans="1:5">
      <c r="A20" s="1" t="s">
        <v>170</v>
      </c>
      <c r="B20" s="1" t="s">
        <v>171</v>
      </c>
      <c r="C20" s="1" t="s">
        <v>172</v>
      </c>
      <c r="D20" s="1" t="s">
        <v>173</v>
      </c>
      <c r="E20" s="1" t="s">
        <v>168</v>
      </c>
    </row>
    <row r="21" spans="1:5">
      <c r="A21" s="8" t="s">
        <v>17</v>
      </c>
      <c r="B21" s="4" t="s">
        <v>8</v>
      </c>
      <c r="C21" s="4" t="s">
        <v>11</v>
      </c>
      <c r="D21" s="6">
        <v>18</v>
      </c>
      <c r="E21" s="7">
        <v>44040</v>
      </c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B2:G36"/>
  <sheetViews>
    <sheetView workbookViewId="0">
      <selection activeCell="H47" sqref="H47"/>
    </sheetView>
  </sheetViews>
  <sheetFormatPr defaultColWidth="14.375" defaultRowHeight="16.5"/>
  <cols>
    <col min="1" max="1" width="5.5" style="1" customWidth="1"/>
    <col min="2" max="2" width="8.75" style="1" bestFit="1" customWidth="1"/>
    <col min="3" max="3" width="10.375" style="1" bestFit="1" customWidth="1"/>
    <col min="4" max="4" width="8.75" style="1" bestFit="1" customWidth="1"/>
    <col min="5" max="5" width="23.625" style="1" bestFit="1" customWidth="1"/>
    <col min="6" max="6" width="16.125" style="1" customWidth="1"/>
    <col min="7" max="16384" width="14.375" style="1"/>
  </cols>
  <sheetData>
    <row r="2" spans="2:7">
      <c r="B2" s="18" t="s">
        <v>22</v>
      </c>
      <c r="C2" s="18" t="s">
        <v>23</v>
      </c>
      <c r="D2" s="18" t="s">
        <v>24</v>
      </c>
      <c r="E2" s="18" t="s">
        <v>25</v>
      </c>
      <c r="F2" s="19" t="s">
        <v>26</v>
      </c>
      <c r="G2" s="20" t="s">
        <v>27</v>
      </c>
    </row>
    <row r="3" spans="2:7" hidden="1">
      <c r="B3" s="18">
        <v>1</v>
      </c>
      <c r="C3" s="21" t="s">
        <v>28</v>
      </c>
      <c r="D3" s="21" t="s">
        <v>29</v>
      </c>
      <c r="E3" s="22" t="s">
        <v>30</v>
      </c>
      <c r="F3" s="23" t="s">
        <v>31</v>
      </c>
      <c r="G3" s="24">
        <v>45</v>
      </c>
    </row>
    <row r="4" spans="2:7" hidden="1">
      <c r="B4" s="18">
        <v>2</v>
      </c>
      <c r="C4" s="21" t="s">
        <v>32</v>
      </c>
      <c r="D4" s="21" t="s">
        <v>33</v>
      </c>
      <c r="E4" s="22" t="s">
        <v>34</v>
      </c>
      <c r="F4" s="23" t="s">
        <v>31</v>
      </c>
      <c r="G4" s="24">
        <v>432</v>
      </c>
    </row>
    <row r="5" spans="2:7" hidden="1">
      <c r="B5" s="18">
        <v>3</v>
      </c>
      <c r="C5" s="21" t="s">
        <v>35</v>
      </c>
      <c r="D5" s="21" t="s">
        <v>29</v>
      </c>
      <c r="E5" s="22" t="s">
        <v>36</v>
      </c>
      <c r="F5" s="23" t="s">
        <v>37</v>
      </c>
      <c r="G5" s="24">
        <v>324</v>
      </c>
    </row>
    <row r="6" spans="2:7" hidden="1">
      <c r="B6" s="18">
        <v>4</v>
      </c>
      <c r="C6" s="21" t="s">
        <v>38</v>
      </c>
      <c r="D6" s="21" t="s">
        <v>29</v>
      </c>
      <c r="E6" s="22" t="s">
        <v>39</v>
      </c>
      <c r="F6" s="23" t="s">
        <v>37</v>
      </c>
      <c r="G6" s="24">
        <v>45</v>
      </c>
    </row>
    <row r="7" spans="2:7" hidden="1">
      <c r="B7" s="18">
        <v>5</v>
      </c>
      <c r="C7" s="21" t="s">
        <v>40</v>
      </c>
      <c r="D7" s="21" t="s">
        <v>29</v>
      </c>
      <c r="E7" s="22" t="s">
        <v>41</v>
      </c>
      <c r="F7" s="23" t="s">
        <v>42</v>
      </c>
      <c r="G7" s="24">
        <v>1999</v>
      </c>
    </row>
    <row r="8" spans="2:7" hidden="1">
      <c r="B8" s="18">
        <v>6</v>
      </c>
      <c r="C8" s="21" t="s">
        <v>43</v>
      </c>
      <c r="D8" s="21" t="s">
        <v>33</v>
      </c>
      <c r="E8" s="22" t="s">
        <v>44</v>
      </c>
      <c r="F8" s="23" t="s">
        <v>31</v>
      </c>
      <c r="G8" s="24">
        <v>65</v>
      </c>
    </row>
    <row r="9" spans="2:7" hidden="1">
      <c r="B9" s="18">
        <v>7</v>
      </c>
      <c r="C9" s="21" t="s">
        <v>45</v>
      </c>
      <c r="D9" s="21" t="s">
        <v>46</v>
      </c>
      <c r="E9" s="22" t="s">
        <v>47</v>
      </c>
      <c r="F9" s="23" t="s">
        <v>37</v>
      </c>
      <c r="G9" s="24">
        <v>45</v>
      </c>
    </row>
    <row r="10" spans="2:7">
      <c r="B10" s="18">
        <v>8</v>
      </c>
      <c r="C10" s="21" t="s">
        <v>48</v>
      </c>
      <c r="D10" s="21" t="s">
        <v>29</v>
      </c>
      <c r="E10" s="22" t="s">
        <v>49</v>
      </c>
      <c r="F10" s="23" t="s">
        <v>37</v>
      </c>
      <c r="G10" s="24">
        <v>565</v>
      </c>
    </row>
    <row r="11" spans="2:7" hidden="1">
      <c r="B11" s="18">
        <v>9</v>
      </c>
      <c r="C11" s="21" t="s">
        <v>50</v>
      </c>
      <c r="D11" s="21" t="s">
        <v>33</v>
      </c>
      <c r="E11" s="22" t="s">
        <v>51</v>
      </c>
      <c r="F11" s="23" t="s">
        <v>37</v>
      </c>
      <c r="G11" s="24">
        <v>342</v>
      </c>
    </row>
    <row r="12" spans="2:7">
      <c r="B12" s="18">
        <v>10</v>
      </c>
      <c r="C12" s="21" t="s">
        <v>52</v>
      </c>
      <c r="D12" s="21" t="s">
        <v>33</v>
      </c>
      <c r="E12" s="22" t="s">
        <v>53</v>
      </c>
      <c r="F12" s="23" t="s">
        <v>54</v>
      </c>
      <c r="G12" s="24">
        <v>565</v>
      </c>
    </row>
    <row r="13" spans="2:7">
      <c r="B13" s="18">
        <v>11</v>
      </c>
      <c r="C13" s="21" t="s">
        <v>55</v>
      </c>
      <c r="D13" s="21" t="s">
        <v>56</v>
      </c>
      <c r="E13" s="22" t="s">
        <v>57</v>
      </c>
      <c r="F13" s="23" t="s">
        <v>31</v>
      </c>
      <c r="G13" s="24">
        <v>999</v>
      </c>
    </row>
    <row r="14" spans="2:7" hidden="1">
      <c r="B14" s="18">
        <v>12</v>
      </c>
      <c r="C14" s="21" t="s">
        <v>58</v>
      </c>
      <c r="D14" s="21" t="s">
        <v>33</v>
      </c>
      <c r="E14" s="22" t="s">
        <v>59</v>
      </c>
      <c r="F14" s="23" t="s">
        <v>31</v>
      </c>
      <c r="G14" s="24">
        <v>454</v>
      </c>
    </row>
    <row r="15" spans="2:7" hidden="1">
      <c r="B15" s="18">
        <v>13</v>
      </c>
      <c r="C15" s="21" t="s">
        <v>60</v>
      </c>
      <c r="D15" s="21" t="s">
        <v>33</v>
      </c>
      <c r="E15" s="22" t="s">
        <v>53</v>
      </c>
      <c r="F15" s="23" t="s">
        <v>61</v>
      </c>
      <c r="G15" s="24">
        <v>1212</v>
      </c>
    </row>
    <row r="16" spans="2:7" hidden="1">
      <c r="B16" s="18">
        <v>14</v>
      </c>
      <c r="C16" s="21" t="s">
        <v>62</v>
      </c>
      <c r="D16" s="21" t="s">
        <v>33</v>
      </c>
      <c r="E16" s="22" t="s">
        <v>63</v>
      </c>
      <c r="F16" s="23" t="s">
        <v>61</v>
      </c>
      <c r="G16" s="24">
        <v>233</v>
      </c>
    </row>
    <row r="17" spans="2:7" hidden="1">
      <c r="B17" s="18">
        <v>15</v>
      </c>
      <c r="C17" s="21" t="s">
        <v>64</v>
      </c>
      <c r="D17" s="21" t="s">
        <v>29</v>
      </c>
      <c r="E17" s="22" t="s">
        <v>65</v>
      </c>
      <c r="F17" s="23" t="s">
        <v>37</v>
      </c>
      <c r="G17" s="24">
        <v>34</v>
      </c>
    </row>
    <row r="18" spans="2:7" hidden="1">
      <c r="B18" s="18">
        <v>16</v>
      </c>
      <c r="C18" s="21" t="s">
        <v>66</v>
      </c>
      <c r="D18" s="21" t="s">
        <v>56</v>
      </c>
      <c r="E18" s="22" t="s">
        <v>53</v>
      </c>
      <c r="F18" s="23" t="s">
        <v>31</v>
      </c>
      <c r="G18" s="24">
        <v>54</v>
      </c>
    </row>
    <row r="19" spans="2:7" hidden="1">
      <c r="B19" s="18">
        <v>17</v>
      </c>
      <c r="C19" s="21" t="s">
        <v>67</v>
      </c>
      <c r="D19" s="21" t="s">
        <v>33</v>
      </c>
      <c r="E19" s="22" t="s">
        <v>68</v>
      </c>
      <c r="F19" s="23" t="s">
        <v>31</v>
      </c>
      <c r="G19" s="24">
        <v>45</v>
      </c>
    </row>
    <row r="20" spans="2:7" hidden="1">
      <c r="B20" s="18">
        <v>18</v>
      </c>
      <c r="C20" s="21" t="s">
        <v>69</v>
      </c>
      <c r="D20" s="21" t="s">
        <v>70</v>
      </c>
      <c r="E20" s="22" t="s">
        <v>71</v>
      </c>
      <c r="F20" s="23" t="s">
        <v>72</v>
      </c>
      <c r="G20" s="24">
        <v>5</v>
      </c>
    </row>
    <row r="21" spans="2:7" hidden="1">
      <c r="B21" s="18">
        <v>19</v>
      </c>
      <c r="C21" s="21" t="s">
        <v>73</v>
      </c>
      <c r="D21" s="21" t="s">
        <v>33</v>
      </c>
      <c r="E21" s="22" t="s">
        <v>74</v>
      </c>
      <c r="F21" s="23" t="s">
        <v>72</v>
      </c>
      <c r="G21" s="24">
        <v>65</v>
      </c>
    </row>
    <row r="22" spans="2:7" hidden="1">
      <c r="B22" s="18">
        <v>20</v>
      </c>
      <c r="C22" s="21" t="s">
        <v>75</v>
      </c>
      <c r="D22" s="21" t="s">
        <v>33</v>
      </c>
      <c r="E22" s="22" t="s">
        <v>76</v>
      </c>
      <c r="F22" s="23" t="s">
        <v>42</v>
      </c>
      <c r="G22" s="24">
        <v>67</v>
      </c>
    </row>
    <row r="23" spans="2:7" hidden="1">
      <c r="B23" s="18">
        <v>21</v>
      </c>
      <c r="C23" s="21" t="s">
        <v>77</v>
      </c>
      <c r="D23" s="21" t="s">
        <v>29</v>
      </c>
      <c r="E23" s="22" t="s">
        <v>41</v>
      </c>
      <c r="F23" s="23" t="s">
        <v>42</v>
      </c>
      <c r="G23" s="24">
        <v>277</v>
      </c>
    </row>
    <row r="24" spans="2:7" hidden="1">
      <c r="B24" s="18">
        <v>22</v>
      </c>
      <c r="C24" s="21" t="s">
        <v>78</v>
      </c>
      <c r="D24" s="21" t="s">
        <v>29</v>
      </c>
      <c r="E24" s="22" t="s">
        <v>53</v>
      </c>
      <c r="F24" s="23" t="s">
        <v>61</v>
      </c>
      <c r="G24" s="24">
        <v>26</v>
      </c>
    </row>
    <row r="25" spans="2:7" hidden="1">
      <c r="B25" s="18">
        <v>23</v>
      </c>
      <c r="C25" s="21" t="s">
        <v>79</v>
      </c>
      <c r="D25" s="21" t="s">
        <v>29</v>
      </c>
      <c r="E25" s="22" t="s">
        <v>80</v>
      </c>
      <c r="F25" s="23" t="s">
        <v>81</v>
      </c>
      <c r="G25" s="24">
        <v>2750</v>
      </c>
    </row>
    <row r="26" spans="2:7" hidden="1">
      <c r="B26" s="18">
        <v>24</v>
      </c>
      <c r="C26" s="21" t="s">
        <v>82</v>
      </c>
      <c r="D26" s="21" t="s">
        <v>33</v>
      </c>
      <c r="E26" s="22" t="s">
        <v>83</v>
      </c>
      <c r="F26" s="23" t="s">
        <v>42</v>
      </c>
      <c r="G26" s="24">
        <v>34</v>
      </c>
    </row>
    <row r="27" spans="2:7" hidden="1">
      <c r="B27" s="18">
        <v>25</v>
      </c>
      <c r="C27" s="21" t="s">
        <v>84</v>
      </c>
      <c r="D27" s="21" t="s">
        <v>29</v>
      </c>
      <c r="E27" s="22" t="s">
        <v>49</v>
      </c>
      <c r="F27" s="23" t="s">
        <v>37</v>
      </c>
      <c r="G27" s="24">
        <v>65</v>
      </c>
    </row>
    <row r="28" spans="2:7" hidden="1">
      <c r="B28" s="18">
        <v>26</v>
      </c>
      <c r="C28" s="21" t="s">
        <v>85</v>
      </c>
      <c r="D28" s="21" t="s">
        <v>56</v>
      </c>
      <c r="E28" s="22" t="s">
        <v>83</v>
      </c>
      <c r="F28" s="23" t="s">
        <v>42</v>
      </c>
      <c r="G28" s="24">
        <v>3242</v>
      </c>
    </row>
    <row r="29" spans="2:7" hidden="1">
      <c r="B29" s="18">
        <v>27</v>
      </c>
      <c r="C29" s="21" t="s">
        <v>86</v>
      </c>
      <c r="D29" s="21" t="s">
        <v>29</v>
      </c>
      <c r="E29" s="22" t="s">
        <v>63</v>
      </c>
      <c r="F29" s="23" t="s">
        <v>37</v>
      </c>
      <c r="G29" s="24">
        <v>444</v>
      </c>
    </row>
    <row r="30" spans="2:7">
      <c r="B30" s="18">
        <v>28</v>
      </c>
      <c r="C30" s="21" t="s">
        <v>87</v>
      </c>
      <c r="D30" s="21" t="s">
        <v>29</v>
      </c>
      <c r="E30" s="22" t="s">
        <v>71</v>
      </c>
      <c r="F30" s="23" t="s">
        <v>37</v>
      </c>
      <c r="G30" s="24">
        <v>675</v>
      </c>
    </row>
    <row r="31" spans="2:7">
      <c r="B31" s="18">
        <v>29</v>
      </c>
      <c r="C31" s="21" t="s">
        <v>88</v>
      </c>
      <c r="D31" s="21" t="s">
        <v>89</v>
      </c>
      <c r="E31" s="22" t="s">
        <v>90</v>
      </c>
      <c r="F31" s="23" t="s">
        <v>31</v>
      </c>
      <c r="G31" s="24">
        <v>765</v>
      </c>
    </row>
    <row r="32" spans="2:7" hidden="1">
      <c r="B32" s="18">
        <v>30</v>
      </c>
      <c r="C32" s="21" t="s">
        <v>91</v>
      </c>
      <c r="D32" s="21" t="s">
        <v>29</v>
      </c>
      <c r="E32" s="22" t="s">
        <v>92</v>
      </c>
      <c r="F32" s="23" t="s">
        <v>37</v>
      </c>
      <c r="G32" s="24">
        <v>23</v>
      </c>
    </row>
    <row r="33" spans="2:7" hidden="1">
      <c r="B33" s="18">
        <v>31</v>
      </c>
      <c r="C33" s="21" t="s">
        <v>93</v>
      </c>
      <c r="D33" s="21" t="s">
        <v>29</v>
      </c>
      <c r="E33" s="22" t="s">
        <v>94</v>
      </c>
      <c r="F33" s="23" t="s">
        <v>37</v>
      </c>
      <c r="G33" s="24">
        <v>345</v>
      </c>
    </row>
    <row r="34" spans="2:7">
      <c r="B34" s="18">
        <v>32</v>
      </c>
      <c r="C34" s="21" t="s">
        <v>95</v>
      </c>
      <c r="D34" s="21" t="s">
        <v>29</v>
      </c>
      <c r="E34" s="22" t="s">
        <v>41</v>
      </c>
      <c r="F34" s="23" t="s">
        <v>37</v>
      </c>
      <c r="G34" s="24">
        <v>674</v>
      </c>
    </row>
    <row r="35" spans="2:7" hidden="1">
      <c r="B35" s="18">
        <v>33</v>
      </c>
      <c r="C35" s="21" t="s">
        <v>96</v>
      </c>
      <c r="D35" s="21" t="s">
        <v>29</v>
      </c>
      <c r="E35" s="22" t="s">
        <v>97</v>
      </c>
      <c r="F35" s="23" t="s">
        <v>37</v>
      </c>
      <c r="G35" s="24">
        <v>212</v>
      </c>
    </row>
    <row r="36" spans="2:7" hidden="1">
      <c r="B36" s="18">
        <v>34</v>
      </c>
      <c r="C36" s="21" t="s">
        <v>98</v>
      </c>
      <c r="D36" s="21" t="s">
        <v>33</v>
      </c>
      <c r="E36" s="22" t="s">
        <v>80</v>
      </c>
      <c r="F36" s="23" t="s">
        <v>31</v>
      </c>
      <c r="G36" s="24">
        <v>45</v>
      </c>
    </row>
  </sheetData>
  <autoFilter ref="B2:G36">
    <filterColumn colId="5">
      <customFilters and="1">
        <customFilter operator="greaterThanOrEqual" val="500"/>
        <customFilter operator="lessThanOrEqual" val="1000"/>
      </customFilters>
    </filterColumn>
  </autoFilter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workbookViewId="0">
      <selection activeCell="A15" sqref="A15:D20"/>
    </sheetView>
  </sheetViews>
  <sheetFormatPr defaultRowHeight="16.5"/>
  <cols>
    <col min="1" max="4" width="9" style="1"/>
    <col min="5" max="5" width="11" style="1" bestFit="1" customWidth="1"/>
    <col min="6" max="16384" width="9" style="1"/>
  </cols>
  <sheetData>
    <row r="1" spans="1:5" ht="18.75">
      <c r="A1" s="28" t="s">
        <v>149</v>
      </c>
      <c r="B1" s="28"/>
      <c r="C1" s="28"/>
      <c r="D1" s="28"/>
      <c r="E1" s="28"/>
    </row>
    <row r="2" spans="1:5">
      <c r="A2" s="15"/>
      <c r="B2" s="15"/>
      <c r="C2" s="15"/>
      <c r="D2" s="15"/>
      <c r="E2" s="15"/>
    </row>
    <row r="3" spans="1:5">
      <c r="A3" s="16" t="s">
        <v>99</v>
      </c>
      <c r="B3" s="16" t="s">
        <v>100</v>
      </c>
      <c r="C3" s="16" t="s">
        <v>101</v>
      </c>
      <c r="D3" s="16" t="s">
        <v>102</v>
      </c>
      <c r="E3" s="16" t="s">
        <v>103</v>
      </c>
    </row>
    <row r="4" spans="1:5">
      <c r="A4" s="15" t="s">
        <v>104</v>
      </c>
      <c r="B4" s="15" t="s">
        <v>105</v>
      </c>
      <c r="C4" s="15">
        <v>680</v>
      </c>
      <c r="D4" s="17">
        <v>0.01</v>
      </c>
      <c r="E4" s="15">
        <v>900</v>
      </c>
    </row>
    <row r="5" spans="1:5">
      <c r="A5" s="15" t="s">
        <v>106</v>
      </c>
      <c r="B5" s="15" t="s">
        <v>107</v>
      </c>
      <c r="C5" s="15">
        <v>2000</v>
      </c>
      <c r="D5" s="17">
        <v>0.04</v>
      </c>
      <c r="E5" s="15">
        <v>2500</v>
      </c>
    </row>
    <row r="6" spans="1:5">
      <c r="A6" s="15" t="s">
        <v>108</v>
      </c>
      <c r="B6" s="15" t="s">
        <v>109</v>
      </c>
      <c r="C6" s="15">
        <v>960</v>
      </c>
      <c r="D6" s="17">
        <v>0</v>
      </c>
      <c r="E6" s="15">
        <v>1200</v>
      </c>
    </row>
    <row r="7" spans="1:5">
      <c r="A7" s="15" t="s">
        <v>110</v>
      </c>
      <c r="B7" s="15" t="s">
        <v>105</v>
      </c>
      <c r="C7" s="15">
        <v>720</v>
      </c>
      <c r="D7" s="17">
        <v>0</v>
      </c>
      <c r="E7" s="15">
        <v>900</v>
      </c>
    </row>
    <row r="8" spans="1:5">
      <c r="A8" s="15" t="s">
        <v>111</v>
      </c>
      <c r="B8" s="15" t="s">
        <v>107</v>
      </c>
      <c r="C8" s="15">
        <v>720</v>
      </c>
      <c r="D8" s="17">
        <v>0.02</v>
      </c>
      <c r="E8" s="15">
        <v>1500</v>
      </c>
    </row>
    <row r="9" spans="1:5">
      <c r="A9" s="15" t="s">
        <v>112</v>
      </c>
      <c r="B9" s="15" t="s">
        <v>109</v>
      </c>
      <c r="C9" s="15">
        <v>2800</v>
      </c>
      <c r="D9" s="17">
        <v>0.04</v>
      </c>
      <c r="E9" s="15">
        <v>3500</v>
      </c>
    </row>
    <row r="10" spans="1:5">
      <c r="A10" s="15" t="s">
        <v>104</v>
      </c>
      <c r="B10" s="15" t="s">
        <v>105</v>
      </c>
      <c r="C10" s="15">
        <v>700</v>
      </c>
      <c r="D10" s="17">
        <v>0.02</v>
      </c>
      <c r="E10" s="15">
        <v>900</v>
      </c>
    </row>
    <row r="11" spans="1:5">
      <c r="A11" s="15" t="s">
        <v>106</v>
      </c>
      <c r="B11" s="15" t="s">
        <v>107</v>
      </c>
      <c r="C11" s="15">
        <v>2000</v>
      </c>
      <c r="D11" s="17">
        <v>0</v>
      </c>
      <c r="E11" s="15">
        <v>2500</v>
      </c>
    </row>
    <row r="12" spans="1:5">
      <c r="A12" s="15" t="s">
        <v>113</v>
      </c>
      <c r="B12" s="15" t="s">
        <v>109</v>
      </c>
      <c r="C12" s="15">
        <v>1200</v>
      </c>
      <c r="D12" s="17">
        <v>0.02</v>
      </c>
      <c r="E12" s="15">
        <v>1500</v>
      </c>
    </row>
    <row r="15" spans="1:5">
      <c r="A15" s="1" t="s">
        <v>151</v>
      </c>
      <c r="B15" s="1" t="s">
        <v>153</v>
      </c>
      <c r="C15" s="1" t="s">
        <v>155</v>
      </c>
    </row>
    <row r="16" spans="1:5">
      <c r="A16" s="1" t="s">
        <v>152</v>
      </c>
    </row>
    <row r="17" spans="1:4">
      <c r="B17" s="1" t="s">
        <v>154</v>
      </c>
    </row>
    <row r="18" spans="1:4">
      <c r="C18" s="1">
        <v>0</v>
      </c>
    </row>
    <row r="20" spans="1:4">
      <c r="A20" s="1" t="s">
        <v>156</v>
      </c>
      <c r="B20" s="1" t="s">
        <v>151</v>
      </c>
      <c r="C20" s="1" t="s">
        <v>153</v>
      </c>
      <c r="D20" s="1" t="s">
        <v>155</v>
      </c>
    </row>
    <row r="21" spans="1:4">
      <c r="A21" s="15" t="s">
        <v>104</v>
      </c>
      <c r="B21" s="15" t="s">
        <v>105</v>
      </c>
      <c r="C21" s="15">
        <v>680</v>
      </c>
      <c r="D21" s="17">
        <v>0.01</v>
      </c>
    </row>
    <row r="22" spans="1:4">
      <c r="A22" s="15" t="s">
        <v>108</v>
      </c>
      <c r="B22" s="15" t="s">
        <v>109</v>
      </c>
      <c r="C22" s="15">
        <v>960</v>
      </c>
      <c r="D22" s="17">
        <v>0</v>
      </c>
    </row>
    <row r="23" spans="1:4">
      <c r="A23" s="15" t="s">
        <v>110</v>
      </c>
      <c r="B23" s="15" t="s">
        <v>105</v>
      </c>
      <c r="C23" s="15">
        <v>720</v>
      </c>
      <c r="D23" s="17">
        <v>0</v>
      </c>
    </row>
    <row r="24" spans="1:4">
      <c r="A24" s="15" t="s">
        <v>104</v>
      </c>
      <c r="B24" s="15" t="s">
        <v>105</v>
      </c>
      <c r="C24" s="15">
        <v>700</v>
      </c>
      <c r="D24" s="17">
        <v>0.02</v>
      </c>
    </row>
    <row r="25" spans="1:4">
      <c r="A25" s="15" t="s">
        <v>106</v>
      </c>
      <c r="B25" s="15" t="s">
        <v>107</v>
      </c>
      <c r="C25" s="15">
        <v>2000</v>
      </c>
      <c r="D25" s="17">
        <v>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workbookViewId="0">
      <selection activeCell="N12" sqref="N12"/>
    </sheetView>
  </sheetViews>
  <sheetFormatPr defaultRowHeight="16.5"/>
  <cols>
    <col min="1" max="1" width="14" style="1" bestFit="1" customWidth="1"/>
    <col min="2" max="2" width="9" style="1"/>
    <col min="3" max="3" width="12.375" style="1" customWidth="1"/>
    <col min="4" max="4" width="13" style="1" bestFit="1" customWidth="1"/>
    <col min="5" max="5" width="9" style="1"/>
    <col min="6" max="7" width="11" style="1" bestFit="1" customWidth="1"/>
    <col min="8" max="16384" width="9" style="1"/>
  </cols>
  <sheetData>
    <row r="1" spans="1:7" ht="19.5">
      <c r="A1" s="29" t="s">
        <v>148</v>
      </c>
      <c r="B1" s="29"/>
      <c r="C1" s="29"/>
      <c r="D1" s="29"/>
      <c r="E1" s="29"/>
      <c r="F1" s="29"/>
      <c r="G1" s="29"/>
    </row>
    <row r="3" spans="1:7">
      <c r="A3" s="13" t="s">
        <v>114</v>
      </c>
      <c r="B3" s="13" t="s">
        <v>115</v>
      </c>
      <c r="C3" s="13" t="s">
        <v>116</v>
      </c>
      <c r="D3" s="13" t="s">
        <v>117</v>
      </c>
      <c r="E3" s="13" t="s">
        <v>118</v>
      </c>
      <c r="F3" s="13" t="s">
        <v>119</v>
      </c>
      <c r="G3" s="13" t="s">
        <v>120</v>
      </c>
    </row>
    <row r="4" spans="1:7">
      <c r="A4" s="13" t="s">
        <v>121</v>
      </c>
      <c r="B4" s="13" t="s">
        <v>122</v>
      </c>
      <c r="C4" s="13" t="s">
        <v>123</v>
      </c>
      <c r="D4" s="14">
        <v>950000</v>
      </c>
      <c r="E4" s="13">
        <v>20</v>
      </c>
      <c r="F4" s="13">
        <v>190</v>
      </c>
      <c r="G4" s="13">
        <v>80</v>
      </c>
    </row>
    <row r="5" spans="1:7">
      <c r="A5" s="13" t="s">
        <v>124</v>
      </c>
      <c r="B5" s="13" t="s">
        <v>125</v>
      </c>
      <c r="C5" s="13" t="s">
        <v>126</v>
      </c>
      <c r="D5" s="14">
        <v>950000</v>
      </c>
      <c r="E5" s="13">
        <v>45</v>
      </c>
      <c r="F5" s="13">
        <v>190</v>
      </c>
      <c r="G5" s="13">
        <v>70</v>
      </c>
    </row>
    <row r="6" spans="1:7">
      <c r="A6" s="13" t="s">
        <v>127</v>
      </c>
      <c r="B6" s="13" t="s">
        <v>128</v>
      </c>
      <c r="C6" s="13" t="s">
        <v>129</v>
      </c>
      <c r="D6" s="14">
        <v>1300000</v>
      </c>
      <c r="E6" s="13">
        <v>60</v>
      </c>
      <c r="F6" s="13">
        <v>260</v>
      </c>
      <c r="G6" s="13">
        <v>50</v>
      </c>
    </row>
    <row r="7" spans="1:7">
      <c r="A7" s="13" t="s">
        <v>130</v>
      </c>
      <c r="B7" s="13" t="s">
        <v>131</v>
      </c>
      <c r="C7" s="13" t="s">
        <v>123</v>
      </c>
      <c r="D7" s="14">
        <v>900000</v>
      </c>
      <c r="E7" s="13">
        <v>50</v>
      </c>
      <c r="F7" s="13">
        <v>180</v>
      </c>
      <c r="G7" s="13">
        <v>65</v>
      </c>
    </row>
    <row r="8" spans="1:7">
      <c r="A8" s="13" t="s">
        <v>132</v>
      </c>
      <c r="B8" s="13" t="s">
        <v>133</v>
      </c>
      <c r="C8" s="13" t="s">
        <v>126</v>
      </c>
      <c r="D8" s="14">
        <v>775000</v>
      </c>
      <c r="E8" s="13">
        <v>43</v>
      </c>
      <c r="F8" s="13">
        <v>155</v>
      </c>
      <c r="G8" s="13">
        <v>85</v>
      </c>
    </row>
    <row r="9" spans="1:7">
      <c r="A9" s="13" t="s">
        <v>134</v>
      </c>
      <c r="B9" s="13" t="s">
        <v>135</v>
      </c>
      <c r="C9" s="13" t="s">
        <v>126</v>
      </c>
      <c r="D9" s="14">
        <v>755000</v>
      </c>
      <c r="E9" s="13">
        <v>35</v>
      </c>
      <c r="F9" s="13">
        <v>151</v>
      </c>
      <c r="G9" s="13">
        <v>75</v>
      </c>
    </row>
    <row r="10" spans="1:7">
      <c r="A10" s="13" t="s">
        <v>136</v>
      </c>
      <c r="B10" s="13" t="s">
        <v>137</v>
      </c>
      <c r="C10" s="13" t="s">
        <v>123</v>
      </c>
      <c r="D10" s="14">
        <v>805000</v>
      </c>
      <c r="E10" s="13">
        <v>25</v>
      </c>
      <c r="F10" s="13">
        <v>161</v>
      </c>
      <c r="G10" s="13">
        <v>25</v>
      </c>
    </row>
    <row r="11" spans="1:7">
      <c r="A11" s="13" t="s">
        <v>138</v>
      </c>
      <c r="B11" s="13" t="s">
        <v>139</v>
      </c>
      <c r="C11" s="13" t="s">
        <v>129</v>
      </c>
      <c r="D11" s="14">
        <v>500000</v>
      </c>
      <c r="E11" s="13">
        <v>30</v>
      </c>
      <c r="F11" s="13">
        <v>100</v>
      </c>
      <c r="G11" s="13">
        <v>35</v>
      </c>
    </row>
    <row r="12" spans="1:7">
      <c r="A12" s="13" t="s">
        <v>140</v>
      </c>
      <c r="B12" s="13" t="s">
        <v>141</v>
      </c>
      <c r="C12" s="13" t="s">
        <v>129</v>
      </c>
      <c r="D12" s="14">
        <v>1250000</v>
      </c>
      <c r="E12" s="13">
        <v>40</v>
      </c>
      <c r="F12" s="13">
        <v>250</v>
      </c>
      <c r="G12" s="13">
        <v>85</v>
      </c>
    </row>
    <row r="13" spans="1:7">
      <c r="A13" s="13" t="s">
        <v>142</v>
      </c>
      <c r="B13" s="13" t="s">
        <v>143</v>
      </c>
      <c r="C13" s="13" t="s">
        <v>126</v>
      </c>
      <c r="D13" s="14">
        <v>1000000</v>
      </c>
      <c r="E13" s="13">
        <v>45</v>
      </c>
      <c r="F13" s="13">
        <v>200</v>
      </c>
      <c r="G13" s="13">
        <v>98</v>
      </c>
    </row>
    <row r="14" spans="1:7">
      <c r="A14" s="25"/>
      <c r="B14" s="25"/>
      <c r="C14" s="25"/>
      <c r="D14" s="26"/>
      <c r="E14" s="25"/>
      <c r="F14" s="25"/>
      <c r="G14" s="25"/>
    </row>
    <row r="15" spans="1:7">
      <c r="A15" s="25"/>
      <c r="B15" s="25"/>
      <c r="C15" s="25"/>
      <c r="D15" s="26"/>
      <c r="E15" s="25"/>
      <c r="F15" s="25"/>
      <c r="G15" s="25"/>
    </row>
    <row r="16" spans="1:7">
      <c r="A16" s="25" t="s">
        <v>157</v>
      </c>
      <c r="B16" s="25" t="s">
        <v>157</v>
      </c>
      <c r="C16" s="25"/>
      <c r="D16" s="26"/>
      <c r="E16" s="25"/>
      <c r="F16" s="25"/>
      <c r="G16" s="25"/>
    </row>
    <row r="17" spans="1:7">
      <c r="A17" s="25" t="b">
        <f>D4=LARGE($D$4:$D$13,2)</f>
        <v>0</v>
      </c>
      <c r="B17" s="25"/>
      <c r="C17" s="25"/>
      <c r="D17" s="26"/>
      <c r="E17" s="25"/>
      <c r="F17" s="25"/>
      <c r="G17" s="25"/>
    </row>
    <row r="18" spans="1:7">
      <c r="A18" s="25"/>
      <c r="B18" s="25" t="b">
        <f>D4=SMALL($D$4:$D$13,2)</f>
        <v>0</v>
      </c>
      <c r="C18" s="25"/>
      <c r="D18" s="26"/>
      <c r="E18" s="25"/>
      <c r="F18" s="25"/>
      <c r="G18" s="25"/>
    </row>
    <row r="19" spans="1:7">
      <c r="A19" s="25"/>
      <c r="B19" s="25"/>
      <c r="C19" s="25"/>
      <c r="D19" s="26"/>
      <c r="E19" s="25"/>
      <c r="F19" s="25"/>
      <c r="G19" s="25"/>
    </row>
    <row r="20" spans="1:7">
      <c r="A20" s="13" t="s">
        <v>114</v>
      </c>
      <c r="B20" s="13" t="s">
        <v>115</v>
      </c>
      <c r="C20" s="13" t="s">
        <v>116</v>
      </c>
      <c r="D20" s="13" t="s">
        <v>117</v>
      </c>
      <c r="E20" s="13" t="s">
        <v>118</v>
      </c>
      <c r="F20" s="13" t="s">
        <v>119</v>
      </c>
      <c r="G20" s="13" t="s">
        <v>120</v>
      </c>
    </row>
    <row r="21" spans="1:7">
      <c r="A21" s="13" t="s">
        <v>134</v>
      </c>
      <c r="B21" s="13" t="s">
        <v>135</v>
      </c>
      <c r="C21" s="13" t="s">
        <v>126</v>
      </c>
      <c r="D21" s="14">
        <v>755000</v>
      </c>
      <c r="E21" s="13">
        <v>35</v>
      </c>
      <c r="F21" s="13">
        <v>151</v>
      </c>
      <c r="G21" s="13">
        <v>75</v>
      </c>
    </row>
    <row r="22" spans="1:7">
      <c r="A22" s="13" t="s">
        <v>140</v>
      </c>
      <c r="B22" s="13" t="s">
        <v>141</v>
      </c>
      <c r="C22" s="13" t="s">
        <v>129</v>
      </c>
      <c r="D22" s="14">
        <v>1250000</v>
      </c>
      <c r="E22" s="13">
        <v>40</v>
      </c>
      <c r="F22" s="13">
        <v>250</v>
      </c>
      <c r="G22" s="13">
        <v>85</v>
      </c>
    </row>
  </sheetData>
  <mergeCells count="1">
    <mergeCell ref="A1:G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5</vt:i4>
      </vt:variant>
    </vt:vector>
  </HeadingPairs>
  <TitlesOfParts>
    <vt:vector size="10" baseType="lpstr">
      <vt:lpstr>무작정따라하기</vt:lpstr>
      <vt:lpstr>무작정따라하기2</vt:lpstr>
      <vt:lpstr>기출01</vt:lpstr>
      <vt:lpstr>기출02</vt:lpstr>
      <vt:lpstr>기출03</vt:lpstr>
      <vt:lpstr>기출02!Criteria</vt:lpstr>
      <vt:lpstr>기출03!Criteria</vt:lpstr>
      <vt:lpstr>무작정따라하기2!Criteria</vt:lpstr>
      <vt:lpstr>기출02!Extract</vt:lpstr>
      <vt:lpstr>무작정따라하기2!Extract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2011-06-14T06:49:44Z</dcterms:created>
  <dcterms:modified xsi:type="dcterms:W3CDTF">2016-12-30T09:06:17Z</dcterms:modified>
</cp:coreProperties>
</file>