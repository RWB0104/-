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workbookProtection lockStructure="1"/>
  <bookViews>
    <workbookView xWindow="825" yWindow="3585" windowWidth="11775" windowHeight="6315" activeTab="1"/>
  </bookViews>
  <sheets>
    <sheet name="무작정따라하기" sheetId="4" r:id="rId1"/>
    <sheet name="기출01" sheetId="5" r:id="rId2"/>
  </sheets>
  <calcPr calcId="145621"/>
</workbook>
</file>

<file path=xl/calcChain.xml><?xml version="1.0" encoding="utf-8"?>
<calcChain xmlns="http://schemas.openxmlformats.org/spreadsheetml/2006/main">
  <c r="G4" i="4" l="1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D10" i="5" l="1"/>
  <c r="F10" i="5" s="1"/>
  <c r="D9" i="5"/>
  <c r="F9" i="5" s="1"/>
  <c r="D8" i="5"/>
  <c r="F8" i="5" s="1"/>
  <c r="D7" i="5"/>
  <c r="F7" i="5" s="1"/>
  <c r="D6" i="5"/>
  <c r="F6" i="5" s="1"/>
  <c r="D5" i="5"/>
  <c r="F5" i="5" s="1"/>
  <c r="D4" i="5"/>
  <c r="F4" i="5" s="1"/>
</calcChain>
</file>

<file path=xl/sharedStrings.xml><?xml version="1.0" encoding="utf-8"?>
<sst xmlns="http://schemas.openxmlformats.org/spreadsheetml/2006/main" count="45" uniqueCount="33">
  <si>
    <t>영업소별 라도스 재고현황</t>
    <phoneticPr fontId="3" type="noConversion"/>
  </si>
  <si>
    <t>영업소코드</t>
    <phoneticPr fontId="3" type="noConversion"/>
  </si>
  <si>
    <t>영업소명</t>
    <phoneticPr fontId="3" type="noConversion"/>
  </si>
  <si>
    <t>입고량</t>
    <phoneticPr fontId="3" type="noConversion"/>
  </si>
  <si>
    <t>판매량</t>
    <phoneticPr fontId="3" type="noConversion"/>
  </si>
  <si>
    <t>재고량</t>
    <phoneticPr fontId="3" type="noConversion"/>
  </si>
  <si>
    <t>재고율</t>
    <phoneticPr fontId="3" type="noConversion"/>
  </si>
  <si>
    <t>SE-001</t>
    <phoneticPr fontId="3" type="noConversion"/>
  </si>
  <si>
    <t>서울</t>
    <phoneticPr fontId="3" type="noConversion"/>
  </si>
  <si>
    <t>BU-002</t>
    <phoneticPr fontId="3" type="noConversion"/>
  </si>
  <si>
    <t>부산</t>
    <phoneticPr fontId="3" type="noConversion"/>
  </si>
  <si>
    <t>DA-003</t>
    <phoneticPr fontId="3" type="noConversion"/>
  </si>
  <si>
    <t>대구</t>
    <phoneticPr fontId="3" type="noConversion"/>
  </si>
  <si>
    <t>GW-004</t>
    <phoneticPr fontId="3" type="noConversion"/>
  </si>
  <si>
    <t>광주</t>
    <phoneticPr fontId="3" type="noConversion"/>
  </si>
  <si>
    <t>TA-005</t>
    <phoneticPr fontId="3" type="noConversion"/>
  </si>
  <si>
    <t>대전</t>
    <phoneticPr fontId="3" type="noConversion"/>
  </si>
  <si>
    <t>판매금액</t>
    <phoneticPr fontId="2" type="noConversion"/>
  </si>
  <si>
    <t xml:space="preserve">단가 : </t>
    <phoneticPr fontId="2" type="noConversion"/>
  </si>
  <si>
    <t>자동차 판매 현황</t>
    <phoneticPr fontId="2" type="noConversion"/>
  </si>
  <si>
    <t>차량명</t>
    <phoneticPr fontId="2" type="noConversion"/>
  </si>
  <si>
    <t>차량총액</t>
    <phoneticPr fontId="2" type="noConversion"/>
  </si>
  <si>
    <t>인도금</t>
    <phoneticPr fontId="2" type="noConversion"/>
  </si>
  <si>
    <t>할부원금</t>
    <phoneticPr fontId="2" type="noConversion"/>
  </si>
  <si>
    <t>상환기간(월)</t>
    <phoneticPr fontId="2" type="noConversion"/>
  </si>
  <si>
    <t>월납입금</t>
    <phoneticPr fontId="2" type="noConversion"/>
  </si>
  <si>
    <t>싼타매</t>
    <phoneticPr fontId="2" type="noConversion"/>
  </si>
  <si>
    <t>코란다</t>
    <phoneticPr fontId="2" type="noConversion"/>
  </si>
  <si>
    <t>SN5</t>
    <phoneticPr fontId="2" type="noConversion"/>
  </si>
  <si>
    <t>크루지</t>
    <phoneticPr fontId="2" type="noConversion"/>
  </si>
  <si>
    <t>윈스타</t>
    <phoneticPr fontId="2" type="noConversion"/>
  </si>
  <si>
    <t>KS7</t>
    <phoneticPr fontId="2" type="noConversion"/>
  </si>
  <si>
    <t>그랜지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</si>
</sst>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176" formatCode="#,##0;&quot;-&quot;#,##0"/>
    <numFmt numFmtId="177" formatCode="0.00000&quot;  &quot;"/>
    <numFmt numFmtId="178" formatCode="[Blue]#,##0;[Red]\-#,##0;[Green]0"/>
    <numFmt numFmtId="179" formatCode="0.0%;&quot;*&quot;;&quot;*&quot;"/>
    <numFmt numFmtId="180" formatCode="#,##0.0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>
      <alignment vertical="center"/>
    </xf>
    <xf numFmtId="0" fontId="1" fillId="0" borderId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5" fillId="0" borderId="0"/>
    <xf numFmtId="38" fontId="6" fillId="2" borderId="0" applyNumberFormat="0" applyBorder="0" applyAlignment="0" applyProtection="0"/>
    <xf numFmtId="0" fontId="7" fillId="0" borderId="0">
      <alignment horizontal="left"/>
    </xf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6" fillId="2" borderId="3" applyNumberFormat="0" applyBorder="0" applyAlignment="0" applyProtection="0"/>
    <xf numFmtId="0" fontId="9" fillId="0" borderId="4"/>
    <xf numFmtId="178" fontId="4" fillId="0" borderId="0"/>
    <xf numFmtId="10" fontId="10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1" fillId="0" borderId="0" xfId="1" applyFont="1" applyAlignment="1">
      <alignment vertical="center"/>
    </xf>
    <xf numFmtId="0" fontId="0" fillId="0" borderId="3" xfId="0" applyBorder="1" applyAlignment="1">
      <alignment horizontal="center" vertical="center"/>
    </xf>
    <xf numFmtId="0" fontId="11" fillId="0" borderId="0" xfId="1" applyFont="1" applyAlignment="1" applyProtection="1">
      <alignment vertical="center"/>
    </xf>
    <xf numFmtId="0" fontId="11" fillId="0" borderId="0" xfId="1" applyFont="1" applyAlignment="1" applyProtection="1">
      <alignment horizontal="right" vertical="center"/>
    </xf>
    <xf numFmtId="41" fontId="11" fillId="0" borderId="0" xfId="15" applyFont="1" applyAlignment="1" applyProtection="1">
      <alignment vertical="center"/>
    </xf>
    <xf numFmtId="0" fontId="11" fillId="0" borderId="0" xfId="1" applyFont="1" applyBorder="1" applyAlignment="1" applyProtection="1">
      <alignment horizontal="left" vertical="center"/>
    </xf>
    <xf numFmtId="0" fontId="13" fillId="0" borderId="0" xfId="0" applyFont="1" applyAlignment="1">
      <alignment horizontal="center" vertical="center"/>
    </xf>
    <xf numFmtId="0" fontId="14" fillId="0" borderId="0" xfId="1" applyFont="1" applyAlignment="1" applyProtection="1">
      <alignment horizontal="center" vertical="center"/>
    </xf>
    <xf numFmtId="41" fontId="11" fillId="0" borderId="0" xfId="1" applyNumberFormat="1" applyFont="1" applyAlignment="1" applyProtection="1">
      <alignment vertical="center"/>
      <protection hidden="1"/>
    </xf>
    <xf numFmtId="179" fontId="11" fillId="0" borderId="0" xfId="1" applyNumberFormat="1" applyFont="1" applyAlignment="1" applyProtection="1">
      <alignment vertical="center"/>
      <protection hidden="1"/>
    </xf>
    <xf numFmtId="180" fontId="0" fillId="0" borderId="3" xfId="15" applyNumberFormat="1" applyFont="1" applyBorder="1" applyAlignment="1">
      <alignment vertical="center"/>
    </xf>
    <xf numFmtId="41" fontId="0" fillId="0" borderId="3" xfId="15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</cellXfs>
  <cellStyles count="16">
    <cellStyle name="category" xfId="4"/>
    <cellStyle name="Grey" xfId="5"/>
    <cellStyle name="HEADER" xfId="6"/>
    <cellStyle name="Header1" xfId="7"/>
    <cellStyle name="Header2" xfId="8"/>
    <cellStyle name="Input [yellow]" xfId="9"/>
    <cellStyle name="Model" xfId="10"/>
    <cellStyle name="Normal - Style1" xfId="11"/>
    <cellStyle name="Percent [2]" xfId="12"/>
    <cellStyle name="subhead" xfId="13"/>
    <cellStyle name="백분율 2" xfId="14"/>
    <cellStyle name="쉼표 [0]" xfId="15" builtinId="6"/>
    <cellStyle name="콤마 [0]_10' 0.26D MS" xfId="2"/>
    <cellStyle name="콤마_10' 0.26D MS" xfId="3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4"/>
  <sheetViews>
    <sheetView workbookViewId="0">
      <selection activeCell="J17" sqref="J17"/>
    </sheetView>
  </sheetViews>
  <sheetFormatPr defaultRowHeight="16.5"/>
  <cols>
    <col min="1" max="1" width="12.375" style="3" customWidth="1"/>
    <col min="2" max="2" width="11.25" style="3" customWidth="1"/>
    <col min="3" max="3" width="8.25" style="3" customWidth="1"/>
    <col min="4" max="5" width="9" style="3"/>
    <col min="6" max="6" width="9.5" style="3" bestFit="1" customWidth="1"/>
    <col min="7" max="7" width="11.875" style="3" bestFit="1" customWidth="1"/>
    <col min="8" max="8" width="11.125" style="3" customWidth="1"/>
    <col min="9" max="16384" width="9" style="3"/>
  </cols>
  <sheetData>
    <row r="1" spans="2:8">
      <c r="B1" s="8" t="s">
        <v>0</v>
      </c>
      <c r="C1" s="8"/>
      <c r="D1" s="8"/>
      <c r="E1" s="8"/>
      <c r="F1" s="8"/>
      <c r="G1" s="8"/>
      <c r="H1" s="8"/>
    </row>
    <row r="2" spans="2:8">
      <c r="G2" s="4" t="s">
        <v>18</v>
      </c>
      <c r="H2" s="5">
        <v>24500</v>
      </c>
    </row>
    <row r="3" spans="2:8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17</v>
      </c>
      <c r="H3" s="3" t="s">
        <v>6</v>
      </c>
    </row>
    <row r="4" spans="2:8">
      <c r="B4" s="6" t="s">
        <v>7</v>
      </c>
      <c r="C4" s="3" t="s">
        <v>8</v>
      </c>
      <c r="D4" s="3">
        <v>500</v>
      </c>
      <c r="E4" s="3">
        <v>450</v>
      </c>
      <c r="F4" s="3">
        <v>50</v>
      </c>
      <c r="G4" s="9">
        <f>E4*$H$2</f>
        <v>11025000</v>
      </c>
      <c r="H4" s="10">
        <f t="shared" ref="H4:H14" si="0">F4/D4</f>
        <v>0.1</v>
      </c>
    </row>
    <row r="5" spans="2:8">
      <c r="B5" s="6" t="s">
        <v>9</v>
      </c>
      <c r="C5" s="3" t="s">
        <v>10</v>
      </c>
      <c r="D5" s="3">
        <v>350</v>
      </c>
      <c r="E5" s="3">
        <v>320</v>
      </c>
      <c r="F5" s="3">
        <v>30</v>
      </c>
      <c r="G5" s="9">
        <f t="shared" ref="G5:G14" si="1">E5*$H$2</f>
        <v>7840000</v>
      </c>
      <c r="H5" s="10">
        <f t="shared" si="0"/>
        <v>8.5714285714285715E-2</v>
      </c>
    </row>
    <row r="6" spans="2:8">
      <c r="B6" s="6" t="s">
        <v>11</v>
      </c>
      <c r="C6" s="3" t="s">
        <v>12</v>
      </c>
      <c r="D6" s="3">
        <v>300</v>
      </c>
      <c r="E6" s="3">
        <v>280</v>
      </c>
      <c r="F6" s="3">
        <v>20</v>
      </c>
      <c r="G6" s="9">
        <f t="shared" si="1"/>
        <v>6860000</v>
      </c>
      <c r="H6" s="10">
        <f t="shared" si="0"/>
        <v>6.6666666666666666E-2</v>
      </c>
    </row>
    <row r="7" spans="2:8">
      <c r="B7" s="6" t="s">
        <v>13</v>
      </c>
      <c r="C7" s="3" t="s">
        <v>14</v>
      </c>
      <c r="D7" s="3">
        <v>300</v>
      </c>
      <c r="E7" s="3">
        <v>300</v>
      </c>
      <c r="F7" s="3">
        <v>0</v>
      </c>
      <c r="G7" s="9">
        <f t="shared" si="1"/>
        <v>7350000</v>
      </c>
      <c r="H7" s="10">
        <f t="shared" si="0"/>
        <v>0</v>
      </c>
    </row>
    <row r="8" spans="2:8">
      <c r="B8" s="6" t="s">
        <v>15</v>
      </c>
      <c r="C8" s="3" t="s">
        <v>16</v>
      </c>
      <c r="D8" s="3">
        <v>250</v>
      </c>
      <c r="E8" s="3">
        <v>230</v>
      </c>
      <c r="F8" s="3">
        <v>20</v>
      </c>
      <c r="G8" s="9">
        <f t="shared" si="1"/>
        <v>5635000</v>
      </c>
      <c r="H8" s="10">
        <f t="shared" si="0"/>
        <v>0.08</v>
      </c>
    </row>
    <row r="9" spans="2:8">
      <c r="B9" s="6" t="s">
        <v>7</v>
      </c>
      <c r="C9" s="3" t="s">
        <v>8</v>
      </c>
      <c r="D9" s="3">
        <v>250</v>
      </c>
      <c r="E9" s="3">
        <v>220</v>
      </c>
      <c r="F9" s="3">
        <v>30</v>
      </c>
      <c r="G9" s="9">
        <f t="shared" si="1"/>
        <v>5390000</v>
      </c>
      <c r="H9" s="10">
        <f t="shared" si="0"/>
        <v>0.12</v>
      </c>
    </row>
    <row r="10" spans="2:8">
      <c r="B10" s="6" t="s">
        <v>9</v>
      </c>
      <c r="C10" s="3" t="s">
        <v>10</v>
      </c>
      <c r="D10" s="3">
        <v>250</v>
      </c>
      <c r="E10" s="3">
        <v>200</v>
      </c>
      <c r="F10" s="3">
        <v>50</v>
      </c>
      <c r="G10" s="9">
        <f t="shared" si="1"/>
        <v>4900000</v>
      </c>
      <c r="H10" s="10">
        <f t="shared" si="0"/>
        <v>0.2</v>
      </c>
    </row>
    <row r="11" spans="2:8">
      <c r="B11" s="6" t="s">
        <v>11</v>
      </c>
      <c r="C11" s="3" t="s">
        <v>12</v>
      </c>
      <c r="D11" s="3">
        <v>200</v>
      </c>
      <c r="E11" s="3">
        <v>175</v>
      </c>
      <c r="F11" s="3">
        <v>25</v>
      </c>
      <c r="G11" s="9">
        <f t="shared" si="1"/>
        <v>4287500</v>
      </c>
      <c r="H11" s="10">
        <f t="shared" si="0"/>
        <v>0.125</v>
      </c>
    </row>
    <row r="12" spans="2:8">
      <c r="B12" s="6" t="s">
        <v>13</v>
      </c>
      <c r="C12" s="3" t="s">
        <v>14</v>
      </c>
      <c r="D12" s="3">
        <v>200</v>
      </c>
      <c r="E12" s="3">
        <v>170</v>
      </c>
      <c r="F12" s="3">
        <v>30</v>
      </c>
      <c r="G12" s="9">
        <f t="shared" si="1"/>
        <v>4165000</v>
      </c>
      <c r="H12" s="10">
        <f t="shared" si="0"/>
        <v>0.15</v>
      </c>
    </row>
    <row r="13" spans="2:8">
      <c r="B13" s="6" t="s">
        <v>15</v>
      </c>
      <c r="C13" s="3" t="s">
        <v>16</v>
      </c>
      <c r="D13" s="3">
        <v>150</v>
      </c>
      <c r="E13" s="3">
        <v>135</v>
      </c>
      <c r="F13" s="3">
        <v>15</v>
      </c>
      <c r="G13" s="9">
        <f t="shared" si="1"/>
        <v>3307500</v>
      </c>
      <c r="H13" s="10">
        <f t="shared" si="0"/>
        <v>0.1</v>
      </c>
    </row>
    <row r="14" spans="2:8">
      <c r="B14" s="6" t="s">
        <v>7</v>
      </c>
      <c r="C14" s="3" t="s">
        <v>8</v>
      </c>
      <c r="D14" s="3">
        <v>150</v>
      </c>
      <c r="E14" s="3">
        <v>140</v>
      </c>
      <c r="F14" s="3">
        <v>10</v>
      </c>
      <c r="G14" s="9">
        <f t="shared" si="1"/>
        <v>3430000</v>
      </c>
      <c r="H14" s="10">
        <f t="shared" si="0"/>
        <v>6.6666666666666666E-2</v>
      </c>
    </row>
  </sheetData>
  <sheetProtection sheet="1" objects="1" scenarios="1"/>
  <mergeCells count="1">
    <mergeCell ref="B1:H1"/>
  </mergeCells>
  <phoneticPr fontId="2" type="noConversion"/>
  <pageMargins left="0.75" right="0.75" top="1" bottom="1" header="0.5" footer="0.5"/>
  <pageSetup paperSize="8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tabSelected="1" workbookViewId="0">
      <selection activeCell="I12" sqref="I12"/>
    </sheetView>
  </sheetViews>
  <sheetFormatPr defaultRowHeight="16.5"/>
  <cols>
    <col min="1" max="1" width="9" style="1"/>
    <col min="2" max="4" width="11.875" style="1" bestFit="1" customWidth="1"/>
    <col min="5" max="5" width="12.375" style="1" bestFit="1" customWidth="1"/>
    <col min="6" max="6" width="12.5" style="1" bestFit="1" customWidth="1"/>
    <col min="7" max="16384" width="9" style="1"/>
  </cols>
  <sheetData>
    <row r="1" spans="1:6" ht="20.25">
      <c r="A1" s="7" t="s">
        <v>19</v>
      </c>
      <c r="B1" s="7"/>
      <c r="C1" s="7"/>
      <c r="D1" s="7"/>
      <c r="E1" s="7"/>
      <c r="F1" s="7"/>
    </row>
    <row r="2" spans="1:6">
      <c r="A2"/>
      <c r="B2"/>
      <c r="C2"/>
      <c r="D2"/>
      <c r="E2"/>
      <c r="F2"/>
    </row>
    <row r="3" spans="1:6">
      <c r="A3" s="2" t="s">
        <v>20</v>
      </c>
      <c r="B3" s="2" t="s">
        <v>21</v>
      </c>
      <c r="C3" s="2" t="s">
        <v>22</v>
      </c>
      <c r="D3" s="2" t="s">
        <v>23</v>
      </c>
      <c r="E3" s="2" t="s">
        <v>24</v>
      </c>
      <c r="F3" s="2" t="s">
        <v>25</v>
      </c>
    </row>
    <row r="4" spans="1:6">
      <c r="A4" s="2" t="s">
        <v>26</v>
      </c>
      <c r="B4" s="12">
        <v>35000000</v>
      </c>
      <c r="C4" s="12">
        <v>15000000</v>
      </c>
      <c r="D4" s="12">
        <f>B4-C4</f>
        <v>20000000</v>
      </c>
      <c r="E4" s="13">
        <v>36</v>
      </c>
      <c r="F4" s="11">
        <f>D4/E4</f>
        <v>555555.5555555555</v>
      </c>
    </row>
    <row r="5" spans="1:6">
      <c r="A5" s="2" t="s">
        <v>27</v>
      </c>
      <c r="B5" s="12">
        <v>24000000</v>
      </c>
      <c r="C5" s="12">
        <v>5000000</v>
      </c>
      <c r="D5" s="12">
        <f t="shared" ref="D5:D10" si="0">B5-C5</f>
        <v>19000000</v>
      </c>
      <c r="E5" s="13">
        <v>24</v>
      </c>
      <c r="F5" s="11">
        <f t="shared" ref="F5:F10" si="1">D5/E5</f>
        <v>791666.66666666663</v>
      </c>
    </row>
    <row r="6" spans="1:6">
      <c r="A6" s="2" t="s">
        <v>28</v>
      </c>
      <c r="B6" s="12">
        <v>28000000</v>
      </c>
      <c r="C6" s="12">
        <v>7500000</v>
      </c>
      <c r="D6" s="12">
        <f t="shared" si="0"/>
        <v>20500000</v>
      </c>
      <c r="E6" s="13">
        <v>24</v>
      </c>
      <c r="F6" s="11">
        <f t="shared" si="1"/>
        <v>854166.66666666663</v>
      </c>
    </row>
    <row r="7" spans="1:6">
      <c r="A7" s="2" t="s">
        <v>29</v>
      </c>
      <c r="B7" s="12">
        <v>30000000</v>
      </c>
      <c r="C7" s="12">
        <v>8000000</v>
      </c>
      <c r="D7" s="12">
        <f t="shared" si="0"/>
        <v>22000000</v>
      </c>
      <c r="E7" s="13">
        <v>43.999999999964921</v>
      </c>
      <c r="F7" s="11">
        <f t="shared" si="1"/>
        <v>500000.00000039861</v>
      </c>
    </row>
    <row r="8" spans="1:6">
      <c r="A8" s="2" t="s">
        <v>30</v>
      </c>
      <c r="B8" s="12">
        <v>32000000</v>
      </c>
      <c r="C8" s="12">
        <v>8000000</v>
      </c>
      <c r="D8" s="12">
        <f t="shared" si="0"/>
        <v>24000000</v>
      </c>
      <c r="E8" s="13">
        <v>18</v>
      </c>
      <c r="F8" s="11">
        <f t="shared" si="1"/>
        <v>1333333.3333333333</v>
      </c>
    </row>
    <row r="9" spans="1:6">
      <c r="A9" s="2" t="s">
        <v>31</v>
      </c>
      <c r="B9" s="12">
        <v>36000000</v>
      </c>
      <c r="C9" s="12">
        <v>15000000</v>
      </c>
      <c r="D9" s="12">
        <f t="shared" si="0"/>
        <v>21000000</v>
      </c>
      <c r="E9" s="13">
        <v>36</v>
      </c>
      <c r="F9" s="11">
        <f t="shared" si="1"/>
        <v>583333.33333333337</v>
      </c>
    </row>
    <row r="10" spans="1:6">
      <c r="A10" s="2" t="s">
        <v>32</v>
      </c>
      <c r="B10" s="12">
        <v>40000000</v>
      </c>
      <c r="C10" s="12">
        <v>20000000</v>
      </c>
      <c r="D10" s="12">
        <f t="shared" si="0"/>
        <v>20000000</v>
      </c>
      <c r="E10" s="13">
        <v>18</v>
      </c>
      <c r="F10" s="11">
        <f t="shared" si="1"/>
        <v>1111111.111111111</v>
      </c>
    </row>
    <row r="11" spans="1:6">
      <c r="A11"/>
      <c r="B11"/>
      <c r="C11"/>
      <c r="D11"/>
      <c r="E11"/>
      <c r="F11"/>
    </row>
  </sheetData>
  <sheetProtection sheet="1" objects="1" scenarios="1" insertColumns="0" insertRows="0"/>
  <mergeCells count="1">
    <mergeCell ref="A1:F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2011-06-14T06:42:56Z</dcterms:created>
  <dcterms:modified xsi:type="dcterms:W3CDTF">2019-12-15T10:16:03Z</dcterms:modified>
</cp:coreProperties>
</file>