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현재_통합_문서" defaultThemeVersion="124226"/>
  <bookViews>
    <workbookView xWindow="480" yWindow="60" windowWidth="18195" windowHeight="11820" activeTab="1"/>
  </bookViews>
  <sheets>
    <sheet name="무작정따라하기" sheetId="4" r:id="rId1"/>
    <sheet name="기출01" sheetId="5" r:id="rId2"/>
  </sheets>
  <functionGroups builtInGroupCount="17"/>
  <calcPr calcId="145621"/>
</workbook>
</file>

<file path=xl/calcChain.xml><?xml version="1.0" encoding="utf-8"?>
<calcChain xmlns="http://schemas.openxmlformats.org/spreadsheetml/2006/main">
  <c r="B3" i="5" l="1"/>
  <c r="A3" i="5"/>
  <c r="F3" i="4"/>
  <c r="E3" i="4"/>
  <c r="C3" i="4"/>
  <c r="B3" i="4"/>
  <c r="A3" i="4"/>
  <c r="G19" i="5"/>
  <c r="G24" i="5"/>
  <c r="G22" i="5"/>
  <c r="G21" i="5"/>
  <c r="G20" i="5"/>
  <c r="G23" i="5"/>
  <c r="G18" i="5"/>
  <c r="G25" i="4"/>
  <c r="G21" i="4"/>
  <c r="G24" i="4"/>
  <c r="G23" i="4"/>
  <c r="G22" i="4"/>
  <c r="G20" i="4"/>
  <c r="G19" i="4"/>
</calcChain>
</file>

<file path=xl/sharedStrings.xml><?xml version="1.0" encoding="utf-8"?>
<sst xmlns="http://schemas.openxmlformats.org/spreadsheetml/2006/main" count="99" uniqueCount="79">
  <si>
    <t>성명</t>
    <phoneticPr fontId="3" type="noConversion"/>
  </si>
  <si>
    <t>[표1] 5월 시행 시험정보</t>
    <phoneticPr fontId="3" type="noConversion"/>
  </si>
  <si>
    <t>[표2] 월평균임금의 50%가 1000000 이상인 자료의 개수</t>
    <phoneticPr fontId="3" type="noConversion"/>
  </si>
  <si>
    <t>과정구분</t>
    <phoneticPr fontId="3" type="noConversion"/>
  </si>
  <si>
    <t>과정구분</t>
    <phoneticPr fontId="3" type="noConversion"/>
  </si>
  <si>
    <t>시험형태</t>
    <phoneticPr fontId="3" type="noConversion"/>
  </si>
  <si>
    <t>시험형태</t>
    <phoneticPr fontId="3" type="noConversion"/>
  </si>
  <si>
    <t>[표3]</t>
    <phoneticPr fontId="3" type="noConversion"/>
  </si>
  <si>
    <t>시행년도</t>
    <phoneticPr fontId="3" type="noConversion"/>
  </si>
  <si>
    <t>서울</t>
    <phoneticPr fontId="3" type="noConversion"/>
  </si>
  <si>
    <t>부산</t>
    <phoneticPr fontId="3" type="noConversion"/>
  </si>
  <si>
    <t>광주</t>
    <phoneticPr fontId="3" type="noConversion"/>
  </si>
  <si>
    <t>엑셀중급</t>
  </si>
  <si>
    <t>필기</t>
    <phoneticPr fontId="3" type="noConversion"/>
  </si>
  <si>
    <t>실기</t>
  </si>
  <si>
    <t>엑셀초급</t>
  </si>
  <si>
    <t>필기</t>
  </si>
  <si>
    <t>워드초급</t>
  </si>
  <si>
    <t>워드중급</t>
    <phoneticPr fontId="3" type="noConversion"/>
  </si>
  <si>
    <t>OS초급</t>
    <phoneticPr fontId="3" type="noConversion"/>
  </si>
  <si>
    <t>OS중급</t>
  </si>
  <si>
    <t>[표4]</t>
    <phoneticPr fontId="3" type="noConversion"/>
  </si>
  <si>
    <t>분류코드</t>
    <phoneticPr fontId="3" type="noConversion"/>
  </si>
  <si>
    <t>업무구분</t>
    <phoneticPr fontId="3" type="noConversion"/>
  </si>
  <si>
    <t>종사자수</t>
  </si>
  <si>
    <t>월평균임금</t>
  </si>
  <si>
    <t>전년월평균임금</t>
    <phoneticPr fontId="3" type="noConversion"/>
  </si>
  <si>
    <t>평균경력</t>
  </si>
  <si>
    <t>보너스지급율</t>
    <phoneticPr fontId="3" type="noConversion"/>
  </si>
  <si>
    <t>SA</t>
  </si>
  <si>
    <t>시스템설계분석가</t>
    <phoneticPr fontId="3" type="noConversion"/>
  </si>
  <si>
    <t>IT컨설턴트</t>
  </si>
  <si>
    <t>AP</t>
  </si>
  <si>
    <t>시스템SW개발자</t>
  </si>
  <si>
    <t>보안관리자</t>
    <phoneticPr fontId="3" type="noConversion"/>
  </si>
  <si>
    <t>NW분석가</t>
  </si>
  <si>
    <t>응용SW개발자</t>
  </si>
  <si>
    <t>SM관리자</t>
  </si>
  <si>
    <r>
      <t>[표</t>
    </r>
    <r>
      <rPr>
        <sz val="11"/>
        <color theme="1"/>
        <rFont val="맑은 고딕"/>
        <family val="3"/>
        <charset val="129"/>
        <scheme val="minor"/>
      </rPr>
      <t>1] '광고시간(초) X 방영일수'가 800초 이상인 프로그램의 제작비용의 평균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</si>
  <si>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</si>
  <si>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광고시간(초)</t>
    <phoneticPr fontId="3" type="noConversion"/>
  </si>
  <si>
    <t>방영일수</t>
    <phoneticPr fontId="3" type="noConversion"/>
  </si>
  <si>
    <t>MD</t>
    <phoneticPr fontId="3" type="noConversion"/>
  </si>
  <si>
    <t>제작비용</t>
    <phoneticPr fontId="3" type="noConversion"/>
  </si>
  <si>
    <t>김정식</t>
    <phoneticPr fontId="3" type="noConversion"/>
  </si>
  <si>
    <t>박명수</t>
  </si>
  <si>
    <t>배승용</t>
    <phoneticPr fontId="3" type="noConversion"/>
  </si>
  <si>
    <t>김도선</t>
    <phoneticPr fontId="3" type="noConversion"/>
  </si>
  <si>
    <t>진설진</t>
    <phoneticPr fontId="3" type="noConversion"/>
  </si>
  <si>
    <t>장정훈</t>
    <phoneticPr fontId="3" type="noConversion"/>
  </si>
  <si>
    <t>강명식</t>
    <phoneticPr fontId="3" type="noConversion"/>
  </si>
  <si>
    <t>도서코드</t>
    <phoneticPr fontId="3" type="noConversion"/>
  </si>
  <si>
    <t>정가</t>
    <phoneticPr fontId="3" type="noConversion"/>
  </si>
  <si>
    <t>수량</t>
    <phoneticPr fontId="3" type="noConversion"/>
  </si>
  <si>
    <t>페이지단가</t>
    <phoneticPr fontId="3" type="noConversion"/>
  </si>
  <si>
    <t>C-130-1</t>
    <phoneticPr fontId="3" type="noConversion"/>
  </si>
  <si>
    <t>A-250-2</t>
    <phoneticPr fontId="3" type="noConversion"/>
  </si>
  <si>
    <t>박세람</t>
    <phoneticPr fontId="3" type="noConversion"/>
  </si>
  <si>
    <t>D-271-2</t>
    <phoneticPr fontId="3" type="noConversion"/>
  </si>
  <si>
    <t>김우승</t>
    <phoneticPr fontId="3" type="noConversion"/>
  </si>
  <si>
    <t>E-61-1</t>
    <phoneticPr fontId="3" type="noConversion"/>
  </si>
  <si>
    <t>인수연</t>
    <phoneticPr fontId="3" type="noConversion"/>
  </si>
  <si>
    <t>D-133-1</t>
    <phoneticPr fontId="3" type="noConversion"/>
  </si>
  <si>
    <t>정유진</t>
    <phoneticPr fontId="3" type="noConversion"/>
  </si>
  <si>
    <t>B-111-2</t>
    <phoneticPr fontId="3" type="noConversion"/>
  </si>
  <si>
    <t>김지연</t>
    <phoneticPr fontId="3" type="noConversion"/>
  </si>
  <si>
    <t>총 광고시간(초)이 800초 이상인 프로그램의 제작비용 평균</t>
    <phoneticPr fontId="9" type="noConversion"/>
  </si>
  <si>
    <t>책임자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</si>
  <si>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3]</t>
    </r>
    <phoneticPr fontId="3" type="noConversion"/>
  </si>
  <si>
    <t>도소매</t>
    <phoneticPr fontId="3" type="noConversion"/>
  </si>
  <si>
    <t>지불액</t>
    <phoneticPr fontId="3" type="noConversion"/>
  </si>
  <si>
    <t>정화선</t>
    <phoneticPr fontId="3" type="noConversion"/>
  </si>
  <si>
    <t>소매</t>
    <phoneticPr fontId="3" type="noConversion"/>
  </si>
  <si>
    <t>도매</t>
    <phoneticPr fontId="3" type="noConversion"/>
  </si>
  <si>
    <t>추영임</t>
    <phoneticPr fontId="3" type="noConversion"/>
  </si>
  <si>
    <t>B-260-1</t>
    <phoneticPr fontId="3" type="noConversion"/>
  </si>
  <si>
    <t>자료의 개수</t>
    <phoneticPr fontId="3" type="noConversion"/>
  </si>
  <si>
    <t>조건</t>
    <phoneticPr fontId="3" type="noConversion"/>
  </si>
  <si>
    <t>조건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</si>
</sst>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체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>
      <alignment vertical="center"/>
    </xf>
    <xf numFmtId="0" fontId="4" fillId="0" borderId="0" xfId="1" applyFont="1"/>
    <xf numFmtId="0" fontId="4" fillId="0" borderId="1" xfId="1" applyFont="1" applyBorder="1"/>
    <xf numFmtId="0" fontId="4" fillId="0" borderId="1" xfId="1" applyFont="1" applyBorder="1" applyAlignment="1">
      <alignment horizontal="center"/>
    </xf>
    <xf numFmtId="3" fontId="4" fillId="0" borderId="1" xfId="1" applyNumberFormat="1" applyFont="1" applyBorder="1" applyAlignment="1">
      <alignment horizontal="center"/>
    </xf>
    <xf numFmtId="0" fontId="4" fillId="0" borderId="0" xfId="1" applyFont="1" applyAlignment="1">
      <alignment horizontal="center"/>
    </xf>
    <xf numFmtId="0" fontId="5" fillId="0" borderId="0" xfId="1" applyFont="1"/>
    <xf numFmtId="0" fontId="5" fillId="0" borderId="0" xfId="1" applyFont="1" applyFill="1" applyBorder="1"/>
    <xf numFmtId="0" fontId="6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41" fontId="5" fillId="0" borderId="0" xfId="1" applyNumberFormat="1" applyFont="1"/>
    <xf numFmtId="41" fontId="5" fillId="2" borderId="1" xfId="2" quotePrefix="1" applyFont="1" applyFill="1" applyBorder="1"/>
    <xf numFmtId="0" fontId="5" fillId="0" borderId="1" xfId="2" quotePrefix="1" applyNumberFormat="1" applyFont="1" applyFill="1" applyBorder="1" applyAlignment="1">
      <alignment horizontal="center"/>
    </xf>
    <xf numFmtId="14" fontId="5" fillId="0" borderId="1" xfId="1" applyNumberFormat="1" applyFont="1" applyBorder="1" applyAlignment="1">
      <alignment horizontal="center"/>
    </xf>
    <xf numFmtId="0" fontId="5" fillId="0" borderId="1" xfId="2" applyNumberFormat="1" applyFont="1" applyBorder="1" applyAlignment="1">
      <alignment horizontal="center"/>
    </xf>
    <xf numFmtId="0" fontId="5" fillId="0" borderId="0" xfId="1" applyFont="1" applyBorder="1"/>
    <xf numFmtId="0" fontId="5" fillId="0" borderId="1" xfId="1" applyNumberFormat="1" applyFont="1" applyBorder="1"/>
    <xf numFmtId="0" fontId="5" fillId="0" borderId="1" xfId="1" applyFont="1" applyBorder="1" applyAlignment="1">
      <alignment horizontal="left"/>
    </xf>
    <xf numFmtId="41" fontId="5" fillId="0" borderId="1" xfId="2" applyFont="1" applyBorder="1" applyAlignment="1">
      <alignment horizontal="center"/>
    </xf>
    <xf numFmtId="41" fontId="5" fillId="0" borderId="1" xfId="2" applyFont="1" applyBorder="1"/>
    <xf numFmtId="9" fontId="5" fillId="0" borderId="1" xfId="3" applyFont="1" applyBorder="1"/>
    <xf numFmtId="0" fontId="8" fillId="2" borderId="1" xfId="1" applyFont="1" applyFill="1" applyBorder="1" applyAlignment="1">
      <alignment horizontal="center"/>
    </xf>
    <xf numFmtId="0" fontId="4" fillId="2" borderId="1" xfId="1" quotePrefix="1" applyFont="1" applyFill="1" applyBorder="1"/>
    <xf numFmtId="0" fontId="4" fillId="2" borderId="1" xfId="1" applyFont="1" applyFill="1" applyBorder="1"/>
    <xf numFmtId="0" fontId="4" fillId="0" borderId="1" xfId="1" applyFont="1" applyFill="1" applyBorder="1" applyAlignment="1">
      <alignment horizontal="center"/>
    </xf>
    <xf numFmtId="0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/>
    <xf numFmtId="41" fontId="4" fillId="0" borderId="1" xfId="2" applyFont="1" applyBorder="1" applyAlignment="1">
      <alignment horizontal="center"/>
    </xf>
    <xf numFmtId="14" fontId="5" fillId="0" borderId="0" xfId="1" applyNumberFormat="1" applyFont="1"/>
    <xf numFmtId="0" fontId="8" fillId="2" borderId="1" xfId="1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</cellXfs>
  <cellStyles count="4">
    <cellStyle name="백분율 2" xfId="3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5"/>
  <sheetViews>
    <sheetView workbookViewId="0">
      <selection activeCell="M26" sqref="M26"/>
    </sheetView>
  </sheetViews>
  <sheetFormatPr defaultRowHeight="13.5"/>
  <cols>
    <col min="1" max="1" width="8.375" style="6" customWidth="1"/>
    <col min="2" max="2" width="14.875" style="6" bestFit="1" customWidth="1"/>
    <col min="3" max="3" width="9.375" style="6" customWidth="1"/>
    <col min="4" max="4" width="9.125" style="6" customWidth="1"/>
    <col min="5" max="5" width="12.5" style="6" customWidth="1"/>
    <col min="6" max="6" width="9.875" style="6" bestFit="1" customWidth="1"/>
    <col min="7" max="7" width="12.125" style="6" bestFit="1" customWidth="1"/>
    <col min="8" max="8" width="12.875" style="6" bestFit="1" customWidth="1"/>
    <col min="9" max="11" width="5.75" style="6" bestFit="1" customWidth="1"/>
    <col min="12" max="16384" width="9" style="6"/>
  </cols>
  <sheetData>
    <row r="1" spans="1:7">
      <c r="A1" s="6" t="s">
        <v>1</v>
      </c>
      <c r="E1" s="7" t="s">
        <v>2</v>
      </c>
    </row>
    <row r="2" spans="1:7">
      <c r="A2" s="8" t="s">
        <v>77</v>
      </c>
      <c r="B2" s="8" t="s">
        <v>3</v>
      </c>
      <c r="C2" s="8" t="s">
        <v>5</v>
      </c>
      <c r="E2" s="8" t="s">
        <v>77</v>
      </c>
      <c r="F2" s="8" t="s">
        <v>76</v>
      </c>
      <c r="G2" s="7"/>
    </row>
    <row r="3" spans="1:7">
      <c r="A3" s="9" t="b">
        <f>MONTH(C7)=5</f>
        <v>0</v>
      </c>
      <c r="B3" s="10" t="str">
        <f>DGET($A$6:$F$15,A6,$A$2:$A$3)</f>
        <v>엑셀중급</v>
      </c>
      <c r="C3" s="10" t="str">
        <f>DGET($A$6:$F$15,B6,$A$2:$A$3)</f>
        <v>실기</v>
      </c>
      <c r="D3" s="11"/>
      <c r="E3" s="12" t="b">
        <f>D19*0.5 &gt;= 1000000</f>
        <v>1</v>
      </c>
      <c r="F3" s="13">
        <f>DCOUNTA($A$18:$G$25,D18,$E$2:$E$3)</f>
        <v>6</v>
      </c>
    </row>
    <row r="4" spans="1:7" ht="16.5">
      <c r="E4" s="1"/>
    </row>
    <row r="5" spans="1:7">
      <c r="A5" s="6" t="s">
        <v>7</v>
      </c>
      <c r="D5" s="11"/>
      <c r="E5" s="11"/>
    </row>
    <row r="6" spans="1:7">
      <c r="A6" s="10" t="s">
        <v>4</v>
      </c>
      <c r="B6" s="10" t="s">
        <v>6</v>
      </c>
      <c r="C6" s="10" t="s">
        <v>8</v>
      </c>
      <c r="D6" s="10" t="s">
        <v>9</v>
      </c>
      <c r="E6" s="10" t="s">
        <v>10</v>
      </c>
      <c r="F6" s="10" t="s">
        <v>11</v>
      </c>
    </row>
    <row r="7" spans="1:7">
      <c r="A7" s="10" t="s">
        <v>12</v>
      </c>
      <c r="B7" s="14" t="s">
        <v>13</v>
      </c>
      <c r="C7" s="14">
        <v>40555</v>
      </c>
      <c r="D7" s="15">
        <v>95</v>
      </c>
      <c r="E7" s="15">
        <v>94</v>
      </c>
      <c r="F7" s="15">
        <v>85</v>
      </c>
      <c r="G7" s="29"/>
    </row>
    <row r="8" spans="1:7">
      <c r="A8" s="10" t="s">
        <v>12</v>
      </c>
      <c r="B8" s="10" t="s">
        <v>14</v>
      </c>
      <c r="C8" s="14">
        <v>40299</v>
      </c>
      <c r="D8" s="15">
        <v>90</v>
      </c>
      <c r="E8" s="15">
        <v>89</v>
      </c>
      <c r="F8" s="15">
        <v>85</v>
      </c>
      <c r="G8" s="29"/>
    </row>
    <row r="9" spans="1:7">
      <c r="A9" s="10" t="s">
        <v>15</v>
      </c>
      <c r="B9" s="10" t="s">
        <v>16</v>
      </c>
      <c r="C9" s="14">
        <v>38353</v>
      </c>
      <c r="D9" s="15">
        <v>90</v>
      </c>
      <c r="E9" s="15">
        <v>95</v>
      </c>
      <c r="F9" s="15">
        <v>80</v>
      </c>
      <c r="G9" s="29"/>
    </row>
    <row r="10" spans="1:7">
      <c r="A10" s="10" t="s">
        <v>15</v>
      </c>
      <c r="B10" s="10" t="s">
        <v>14</v>
      </c>
      <c r="C10" s="14">
        <v>42384</v>
      </c>
      <c r="D10" s="15">
        <v>80</v>
      </c>
      <c r="E10" s="15">
        <v>88</v>
      </c>
      <c r="F10" s="15">
        <v>81</v>
      </c>
      <c r="G10" s="29"/>
    </row>
    <row r="11" spans="1:7">
      <c r="A11" s="10" t="s">
        <v>17</v>
      </c>
      <c r="B11" s="10" t="s">
        <v>16</v>
      </c>
      <c r="C11" s="14">
        <v>42417</v>
      </c>
      <c r="D11" s="15">
        <v>80</v>
      </c>
      <c r="E11" s="15">
        <v>91</v>
      </c>
      <c r="F11" s="15">
        <v>82</v>
      </c>
      <c r="G11" s="29"/>
    </row>
    <row r="12" spans="1:7">
      <c r="A12" s="10" t="s">
        <v>18</v>
      </c>
      <c r="B12" s="10" t="s">
        <v>14</v>
      </c>
      <c r="C12" s="14">
        <v>40575</v>
      </c>
      <c r="D12" s="15">
        <v>60</v>
      </c>
      <c r="E12" s="15">
        <v>56</v>
      </c>
      <c r="F12" s="15">
        <v>81</v>
      </c>
      <c r="G12" s="29"/>
    </row>
    <row r="13" spans="1:7">
      <c r="A13" s="10" t="s">
        <v>19</v>
      </c>
      <c r="B13" s="10" t="s">
        <v>16</v>
      </c>
      <c r="C13" s="14">
        <v>42644</v>
      </c>
      <c r="D13" s="15">
        <v>91</v>
      </c>
      <c r="E13" s="15">
        <v>94</v>
      </c>
      <c r="F13" s="15">
        <v>89</v>
      </c>
      <c r="G13" s="29"/>
    </row>
    <row r="14" spans="1:7">
      <c r="A14" s="10" t="s">
        <v>20</v>
      </c>
      <c r="B14" s="10" t="s">
        <v>14</v>
      </c>
      <c r="C14" s="14">
        <v>42202</v>
      </c>
      <c r="D14" s="15">
        <v>80</v>
      </c>
      <c r="E14" s="15">
        <v>75</v>
      </c>
      <c r="F14" s="15">
        <v>82</v>
      </c>
      <c r="G14" s="29"/>
    </row>
    <row r="15" spans="1:7">
      <c r="A15" s="10" t="s">
        <v>19</v>
      </c>
      <c r="B15" s="10" t="s">
        <v>14</v>
      </c>
      <c r="C15" s="14">
        <v>42377</v>
      </c>
      <c r="D15" s="15">
        <v>85</v>
      </c>
      <c r="E15" s="15">
        <v>82</v>
      </c>
      <c r="F15" s="15">
        <v>87</v>
      </c>
      <c r="G15" s="29"/>
    </row>
    <row r="17" spans="1:7">
      <c r="A17" s="6" t="s">
        <v>21</v>
      </c>
      <c r="G17" s="16"/>
    </row>
    <row r="18" spans="1:7">
      <c r="A18" s="17" t="s">
        <v>22</v>
      </c>
      <c r="B18" s="10" t="s">
        <v>23</v>
      </c>
      <c r="C18" s="10" t="s">
        <v>24</v>
      </c>
      <c r="D18" s="10" t="s">
        <v>25</v>
      </c>
      <c r="E18" s="10" t="s">
        <v>26</v>
      </c>
      <c r="F18" s="10" t="s">
        <v>27</v>
      </c>
      <c r="G18" s="8" t="s">
        <v>28</v>
      </c>
    </row>
    <row r="19" spans="1:7">
      <c r="A19" s="17" t="s">
        <v>29</v>
      </c>
      <c r="B19" s="18" t="s">
        <v>30</v>
      </c>
      <c r="C19" s="19">
        <v>4829</v>
      </c>
      <c r="D19" s="20">
        <v>3420000</v>
      </c>
      <c r="E19" s="20">
        <v>3100000</v>
      </c>
      <c r="F19" s="10">
        <v>8</v>
      </c>
      <c r="G19" s="21">
        <f>ks보너스지급율(D19, E19)</f>
        <v>0.05</v>
      </c>
    </row>
    <row r="20" spans="1:7">
      <c r="A20" s="17" t="s">
        <v>29</v>
      </c>
      <c r="B20" s="18" t="s">
        <v>31</v>
      </c>
      <c r="C20" s="19">
        <v>14195</v>
      </c>
      <c r="D20" s="20">
        <v>3090000</v>
      </c>
      <c r="E20" s="20">
        <v>3000000</v>
      </c>
      <c r="F20" s="10">
        <v>5.9</v>
      </c>
      <c r="G20" s="21">
        <f t="shared" ref="G20:G25" si="0">ks보너스지급율(D20, E20)</f>
        <v>0.1</v>
      </c>
    </row>
    <row r="21" spans="1:7">
      <c r="A21" s="17" t="s">
        <v>32</v>
      </c>
      <c r="B21" s="18" t="s">
        <v>33</v>
      </c>
      <c r="C21" s="19">
        <v>8130</v>
      </c>
      <c r="D21" s="20">
        <v>2560000</v>
      </c>
      <c r="E21" s="20">
        <v>2400000</v>
      </c>
      <c r="F21" s="10">
        <v>6.5</v>
      </c>
      <c r="G21" s="21">
        <f t="shared" si="0"/>
        <v>0.05</v>
      </c>
    </row>
    <row r="22" spans="1:7">
      <c r="A22" s="17" t="s">
        <v>29</v>
      </c>
      <c r="B22" s="18" t="s">
        <v>34</v>
      </c>
      <c r="C22" s="19">
        <v>5797</v>
      </c>
      <c r="D22" s="20">
        <v>2540000</v>
      </c>
      <c r="E22" s="20">
        <v>2450000</v>
      </c>
      <c r="F22" s="10">
        <v>6</v>
      </c>
      <c r="G22" s="21">
        <f t="shared" si="0"/>
        <v>0.1</v>
      </c>
    </row>
    <row r="23" spans="1:7">
      <c r="A23" s="17" t="s">
        <v>29</v>
      </c>
      <c r="B23" s="18" t="s">
        <v>35</v>
      </c>
      <c r="C23" s="19">
        <v>3168</v>
      </c>
      <c r="D23" s="20">
        <v>2290000</v>
      </c>
      <c r="E23" s="20">
        <v>2450000</v>
      </c>
      <c r="F23" s="10">
        <v>4.9000000000000004</v>
      </c>
      <c r="G23" s="21">
        <f t="shared" si="0"/>
        <v>0.1</v>
      </c>
    </row>
    <row r="24" spans="1:7">
      <c r="A24" s="17" t="s">
        <v>32</v>
      </c>
      <c r="B24" s="18" t="s">
        <v>36</v>
      </c>
      <c r="C24" s="19">
        <v>114054</v>
      </c>
      <c r="D24" s="20">
        <v>2200000</v>
      </c>
      <c r="E24" s="20">
        <v>2350000</v>
      </c>
      <c r="F24" s="10">
        <v>5.4</v>
      </c>
      <c r="G24" s="21">
        <f t="shared" si="0"/>
        <v>0.1</v>
      </c>
    </row>
    <row r="25" spans="1:7">
      <c r="A25" s="17" t="s">
        <v>29</v>
      </c>
      <c r="B25" s="18" t="s">
        <v>37</v>
      </c>
      <c r="C25" s="19">
        <v>76947</v>
      </c>
      <c r="D25" s="20">
        <v>1990000</v>
      </c>
      <c r="E25" s="20">
        <v>2100000</v>
      </c>
      <c r="F25" s="10">
        <v>6.7</v>
      </c>
      <c r="G25" s="21">
        <f t="shared" si="0"/>
        <v>0.1</v>
      </c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4"/>
  <sheetViews>
    <sheetView tabSelected="1" workbookViewId="0">
      <selection activeCell="J21" sqref="A1:XFD1048576"/>
    </sheetView>
  </sheetViews>
  <sheetFormatPr defaultRowHeight="16.5"/>
  <cols>
    <col min="1" max="1" width="9.75" style="1" customWidth="1"/>
    <col min="2" max="2" width="16.125" style="1" customWidth="1"/>
    <col min="3" max="3" width="12" style="1" customWidth="1"/>
    <col min="4" max="4" width="13.25" style="1" customWidth="1"/>
    <col min="5" max="5" width="13.375" style="1" customWidth="1"/>
    <col min="6" max="6" width="13" style="1" bestFit="1" customWidth="1"/>
    <col min="7" max="7" width="11.875" style="1" bestFit="1" customWidth="1"/>
    <col min="8" max="9" width="9" style="1"/>
    <col min="10" max="10" width="9" style="5"/>
    <col min="11" max="16384" width="9" style="1"/>
  </cols>
  <sheetData>
    <row r="1" spans="1:11">
      <c r="A1" s="1" t="s">
        <v>38</v>
      </c>
    </row>
    <row r="2" spans="1:11">
      <c r="A2" s="22" t="s">
        <v>78</v>
      </c>
      <c r="B2" s="30" t="s">
        <v>66</v>
      </c>
      <c r="C2" s="30"/>
      <c r="D2" s="30"/>
      <c r="E2" s="30"/>
    </row>
    <row r="3" spans="1:11">
      <c r="A3" s="23" t="b">
        <f>B8*C8 &gt;= 800</f>
        <v>0</v>
      </c>
      <c r="B3" s="31">
        <f>DAVERAGE($A$7:$E$14,E7,$A$2:$A$3)</f>
        <v>2268000</v>
      </c>
      <c r="C3" s="31"/>
      <c r="D3" s="31"/>
      <c r="E3" s="31"/>
    </row>
    <row r="4" spans="1:11">
      <c r="A4" s="24"/>
    </row>
    <row r="6" spans="1:11">
      <c r="A6" s="1" t="s">
        <v>39</v>
      </c>
    </row>
    <row r="7" spans="1:11">
      <c r="A7" s="3" t="s">
        <v>67</v>
      </c>
      <c r="B7" s="25" t="s">
        <v>40</v>
      </c>
      <c r="C7" s="3" t="s">
        <v>41</v>
      </c>
      <c r="D7" s="3" t="s">
        <v>42</v>
      </c>
      <c r="E7" s="3" t="s">
        <v>43</v>
      </c>
      <c r="G7" s="5"/>
      <c r="J7" s="1"/>
    </row>
    <row r="8" spans="1:11">
      <c r="A8" s="3" t="s">
        <v>44</v>
      </c>
      <c r="B8" s="2">
        <v>30</v>
      </c>
      <c r="C8" s="3">
        <v>13</v>
      </c>
      <c r="D8" s="3">
        <v>12</v>
      </c>
      <c r="E8" s="4">
        <v>1983725</v>
      </c>
      <c r="G8" s="5"/>
      <c r="J8" s="1"/>
    </row>
    <row r="9" spans="1:11">
      <c r="A9" s="3" t="s">
        <v>45</v>
      </c>
      <c r="B9" s="2">
        <v>30</v>
      </c>
      <c r="C9" s="3">
        <v>10</v>
      </c>
      <c r="D9" s="3">
        <v>10</v>
      </c>
      <c r="E9" s="4">
        <v>3678500</v>
      </c>
      <c r="G9" s="5"/>
      <c r="J9" s="1"/>
    </row>
    <row r="10" spans="1:11">
      <c r="A10" s="3" t="s">
        <v>46</v>
      </c>
      <c r="B10" s="2">
        <v>120</v>
      </c>
      <c r="C10" s="3">
        <v>4</v>
      </c>
      <c r="D10" s="3">
        <v>4</v>
      </c>
      <c r="E10" s="4">
        <v>2458000</v>
      </c>
      <c r="G10" s="5"/>
      <c r="J10" s="1"/>
    </row>
    <row r="11" spans="1:11">
      <c r="A11" s="3" t="s">
        <v>47</v>
      </c>
      <c r="B11" s="2">
        <v>70</v>
      </c>
      <c r="C11" s="3">
        <v>15</v>
      </c>
      <c r="D11" s="3">
        <v>12</v>
      </c>
      <c r="E11" s="4">
        <v>2268000</v>
      </c>
      <c r="G11" s="5"/>
      <c r="J11" s="1"/>
    </row>
    <row r="12" spans="1:11">
      <c r="A12" s="3" t="s">
        <v>48</v>
      </c>
      <c r="B12" s="2">
        <v>120</v>
      </c>
      <c r="C12" s="3">
        <v>4</v>
      </c>
      <c r="D12" s="3">
        <v>4</v>
      </c>
      <c r="E12" s="4">
        <v>2458000</v>
      </c>
      <c r="G12" s="5"/>
      <c r="J12" s="1"/>
    </row>
    <row r="13" spans="1:11">
      <c r="A13" s="3" t="s">
        <v>49</v>
      </c>
      <c r="B13" s="2">
        <v>95</v>
      </c>
      <c r="C13" s="3">
        <v>15</v>
      </c>
      <c r="D13" s="3">
        <v>12</v>
      </c>
      <c r="E13" s="4">
        <v>2268000</v>
      </c>
      <c r="G13" s="5"/>
      <c r="J13" s="1"/>
    </row>
    <row r="14" spans="1:11">
      <c r="A14" s="3" t="s">
        <v>50</v>
      </c>
      <c r="B14" s="2">
        <v>45</v>
      </c>
      <c r="C14" s="3">
        <v>9</v>
      </c>
      <c r="D14" s="3">
        <v>8.5</v>
      </c>
      <c r="E14" s="4">
        <v>2466000</v>
      </c>
      <c r="G14" s="5"/>
      <c r="J14" s="1"/>
    </row>
    <row r="16" spans="1:11">
      <c r="A16" s="1" t="s">
        <v>68</v>
      </c>
      <c r="G16" s="6"/>
      <c r="H16" s="6"/>
      <c r="I16" s="6"/>
      <c r="J16" s="6"/>
      <c r="K16" s="6"/>
    </row>
    <row r="17" spans="1:10">
      <c r="A17" s="26" t="s">
        <v>51</v>
      </c>
      <c r="B17" s="3" t="s">
        <v>0</v>
      </c>
      <c r="C17" s="3" t="s">
        <v>69</v>
      </c>
      <c r="D17" s="3" t="s">
        <v>52</v>
      </c>
      <c r="E17" s="3" t="s">
        <v>53</v>
      </c>
      <c r="F17" s="3" t="s">
        <v>70</v>
      </c>
      <c r="G17" s="22" t="s">
        <v>54</v>
      </c>
      <c r="J17" s="1"/>
    </row>
    <row r="18" spans="1:10">
      <c r="A18" s="27" t="s">
        <v>55</v>
      </c>
      <c r="B18" s="3" t="s">
        <v>71</v>
      </c>
      <c r="C18" s="3" t="s">
        <v>72</v>
      </c>
      <c r="D18" s="28">
        <v>12480</v>
      </c>
      <c r="E18" s="3">
        <v>15</v>
      </c>
      <c r="F18" s="28">
        <v>157200</v>
      </c>
      <c r="G18" s="28">
        <f>F단가(A18, D18)</f>
        <v>96</v>
      </c>
      <c r="J18" s="1"/>
    </row>
    <row r="19" spans="1:10">
      <c r="A19" s="27" t="s">
        <v>56</v>
      </c>
      <c r="B19" s="3" t="s">
        <v>57</v>
      </c>
      <c r="C19" s="3" t="s">
        <v>73</v>
      </c>
      <c r="D19" s="28">
        <v>7040</v>
      </c>
      <c r="E19" s="3">
        <v>6</v>
      </c>
      <c r="F19" s="28">
        <v>38016</v>
      </c>
      <c r="G19" s="28">
        <f t="shared" ref="G19:G24" si="0">F단가(A19, D19)</f>
        <v>28.16</v>
      </c>
      <c r="J19" s="1"/>
    </row>
    <row r="20" spans="1:10">
      <c r="A20" s="27" t="s">
        <v>58</v>
      </c>
      <c r="B20" s="3" t="s">
        <v>74</v>
      </c>
      <c r="C20" s="3" t="s">
        <v>73</v>
      </c>
      <c r="D20" s="28">
        <v>19520</v>
      </c>
      <c r="E20" s="3">
        <v>18</v>
      </c>
      <c r="F20" s="28">
        <v>339360</v>
      </c>
      <c r="G20" s="28">
        <f t="shared" si="0"/>
        <v>72.029520295202957</v>
      </c>
      <c r="J20" s="1"/>
    </row>
    <row r="21" spans="1:10">
      <c r="A21" s="27" t="s">
        <v>75</v>
      </c>
      <c r="B21" s="3" t="s">
        <v>59</v>
      </c>
      <c r="C21" s="3" t="s">
        <v>73</v>
      </c>
      <c r="D21" s="28">
        <v>30400</v>
      </c>
      <c r="E21" s="3">
        <v>26</v>
      </c>
      <c r="F21" s="28">
        <v>553280</v>
      </c>
      <c r="G21" s="28">
        <f t="shared" si="0"/>
        <v>116.92307692307692</v>
      </c>
      <c r="J21" s="1"/>
    </row>
    <row r="22" spans="1:10">
      <c r="A22" s="27" t="s">
        <v>60</v>
      </c>
      <c r="B22" s="3" t="s">
        <v>61</v>
      </c>
      <c r="C22" s="3" t="s">
        <v>73</v>
      </c>
      <c r="D22" s="28">
        <v>4160</v>
      </c>
      <c r="E22" s="3">
        <v>6</v>
      </c>
      <c r="F22" s="28">
        <v>24960</v>
      </c>
      <c r="G22" s="28">
        <f t="shared" si="0"/>
        <v>68.196721311475414</v>
      </c>
      <c r="J22" s="1"/>
    </row>
    <row r="23" spans="1:10">
      <c r="A23" s="27" t="s">
        <v>62</v>
      </c>
      <c r="B23" s="3" t="s">
        <v>63</v>
      </c>
      <c r="C23" s="3" t="s">
        <v>72</v>
      </c>
      <c r="D23" s="28">
        <v>26560</v>
      </c>
      <c r="E23" s="3">
        <v>70</v>
      </c>
      <c r="F23" s="28">
        <v>1673280</v>
      </c>
      <c r="G23" s="28">
        <f t="shared" si="0"/>
        <v>199.69924812030075</v>
      </c>
      <c r="J23" s="1"/>
    </row>
    <row r="24" spans="1:10">
      <c r="A24" s="27" t="s">
        <v>64</v>
      </c>
      <c r="B24" s="3" t="s">
        <v>65</v>
      </c>
      <c r="C24" s="3" t="s">
        <v>72</v>
      </c>
      <c r="D24" s="28">
        <v>26240</v>
      </c>
      <c r="E24" s="3">
        <v>57</v>
      </c>
      <c r="F24" s="28">
        <v>1495680</v>
      </c>
      <c r="G24" s="28">
        <f t="shared" si="0"/>
        <v>236.3963963963964</v>
      </c>
      <c r="J24" s="1"/>
    </row>
  </sheetData>
  <mergeCells count="2">
    <mergeCell ref="B2:E2"/>
    <mergeCell ref="B3:E3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2011-06-14T06:58:49Z</dcterms:created>
  <dcterms:modified xsi:type="dcterms:W3CDTF">2019-12-16T13:23:21Z</dcterms:modified>
</cp:coreProperties>
</file>