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4"/>
  </bookViews>
  <sheets>
    <sheet name="무작정따라하기" sheetId="4" r:id="rId1"/>
    <sheet name="무작정따라하기2" sheetId="5" r:id="rId2"/>
    <sheet name="기출01" sheetId="6" r:id="rId3"/>
    <sheet name="기출02" sheetId="7" r:id="rId4"/>
    <sheet name="기출03" sheetId="8" r:id="rId5"/>
  </sheets>
  <definedNames>
    <definedName name="_111" localSheetId="1">무작정따라하기2!#REF!</definedName>
    <definedName name="_xlnm._FilterDatabase" localSheetId="2" hidden="1">기출01!$B$2:$G$36</definedName>
    <definedName name="_xlnm._FilterDatabase" localSheetId="3" hidden="1">기출02!$A$3:$E$12</definedName>
    <definedName name="_xlnm._FilterDatabase" localSheetId="4" hidden="1">기출03!$A$3:$G$13</definedName>
    <definedName name="_xlnm._FilterDatabase" localSheetId="0" hidden="1">무작정따라하기!$A$4:$H$14</definedName>
    <definedName name="_xlnm._FilterDatabase" localSheetId="1" hidden="1">무작정따라하기2!$A$4:$H$14</definedName>
    <definedName name="_xlnm.Criteria" localSheetId="3">기출02!$A$15:$C$18</definedName>
    <definedName name="_xlnm.Criteria" localSheetId="4">기출03!$A$16:$B$18</definedName>
    <definedName name="_xlnm.Criteria" localSheetId="0">무작정따라하기!#REF!</definedName>
    <definedName name="_xlnm.Criteria" localSheetId="1">무작정따라하기2!$A$16:$C$17</definedName>
    <definedName name="_xlnm.Extract" localSheetId="3">기출02!$A$20:$D$20</definedName>
    <definedName name="_xlnm.Extract" localSheetId="4">기출03!$A$21:$G$21</definedName>
    <definedName name="_xlnm.Extract" localSheetId="0">무작정따라하기!#REF!</definedName>
    <definedName name="_xlnm.Extract" localSheetId="1">무작정따라하기2!$A$20:$E$20</definedName>
    <definedName name="MS_Access_Database_Query" localSheetId="1">무작정따라하기2!#REF!</definedName>
    <definedName name="MS_Access_Database_Query_1" localSheetId="1">무작정따라하기2!#REF!</definedName>
  </definedNames>
  <calcPr calcId="145621"/>
</workbook>
</file>

<file path=xl/calcChain.xml><?xml version="1.0" encoding="utf-8"?>
<calcChain xmlns="http://schemas.openxmlformats.org/spreadsheetml/2006/main">
  <c r="B18" i="8" l="1"/>
  <c r="A17" i="8"/>
  <c r="C18" i="7"/>
  <c r="G14" i="5" l="1"/>
  <c r="F14" i="5"/>
  <c r="G13" i="5"/>
  <c r="F13" i="5"/>
  <c r="H13" i="5" s="1"/>
  <c r="G12" i="5"/>
  <c r="F12" i="5"/>
  <c r="G11" i="5"/>
  <c r="F11" i="5"/>
  <c r="H11" i="5" s="1"/>
  <c r="G10" i="5"/>
  <c r="H10" i="5" s="1"/>
  <c r="F10" i="5"/>
  <c r="G9" i="5"/>
  <c r="F9" i="5"/>
  <c r="H9" i="5" s="1"/>
  <c r="G8" i="5"/>
  <c r="F8" i="5"/>
  <c r="G7" i="5"/>
  <c r="F7" i="5"/>
  <c r="G6" i="5"/>
  <c r="F6" i="5"/>
  <c r="G5" i="5"/>
  <c r="F5" i="5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H7" i="5" l="1"/>
  <c r="H6" i="5"/>
  <c r="H8" i="5"/>
  <c r="H12" i="5"/>
  <c r="H14" i="5"/>
  <c r="H5" i="5"/>
  <c r="H7" i="4"/>
  <c r="H9" i="4"/>
  <c r="H13" i="4"/>
  <c r="H5" i="4"/>
  <c r="H8" i="4"/>
  <c r="H10" i="4"/>
  <c r="H12" i="4"/>
  <c r="H6" i="4"/>
  <c r="H11" i="4"/>
  <c r="H14" i="4"/>
</calcChain>
</file>

<file path=xl/sharedStrings.xml><?xml version="1.0" encoding="utf-8"?>
<sst xmlns="http://schemas.openxmlformats.org/spreadsheetml/2006/main" count="330" uniqueCount="162">
  <si>
    <t>성명</t>
  </si>
  <si>
    <t>부서명</t>
    <phoneticPr fontId="3" type="noConversion"/>
  </si>
  <si>
    <t>직책</t>
    <phoneticPr fontId="3" type="noConversion"/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</si>
  <si>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</si>
  <si>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</si>
  <si>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</si>
  <si>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</si>
  <si>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</si>
  <si>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</si>
  <si>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</si>
  <si>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</si>
  <si>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</si>
  <si>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</si>
  <si>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</si>
  <si>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</si>
  <si>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</si>
  <si>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</si>
  <si>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</si>
  <si>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</si>
  <si>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</si>
  <si>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</si>
  <si>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</si>
  <si>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연번</t>
    <phoneticPr fontId="3" type="noConversion"/>
  </si>
  <si>
    <t>회사명</t>
    <phoneticPr fontId="3" type="noConversion"/>
  </si>
  <si>
    <t>업종</t>
    <phoneticPr fontId="3" type="noConversion"/>
  </si>
  <si>
    <t>주소</t>
    <phoneticPr fontId="3" type="noConversion"/>
  </si>
  <si>
    <t>취급품</t>
    <phoneticPr fontId="3" type="noConversion"/>
  </si>
  <si>
    <t>종업원수(명)</t>
    <phoneticPr fontId="3" type="noConversion"/>
  </si>
  <si>
    <t>굿모에스</t>
  </si>
  <si>
    <t>도소매</t>
    <phoneticPr fontId="3" type="noConversion"/>
  </si>
  <si>
    <t>서울 양천구 목동</t>
    <phoneticPr fontId="3" type="noConversion"/>
  </si>
  <si>
    <t>컴퓨터</t>
    <phoneticPr fontId="3" type="noConversion"/>
  </si>
  <si>
    <t>넷인기술</t>
  </si>
  <si>
    <t>서비스</t>
    <phoneticPr fontId="3" type="noConversion"/>
  </si>
  <si>
    <t>서울 중구 순화동</t>
    <phoneticPr fontId="3" type="noConversion"/>
  </si>
  <si>
    <t>다비서㈜</t>
  </si>
  <si>
    <t>서울 종로구 사간동</t>
    <phoneticPr fontId="3" type="noConversion"/>
  </si>
  <si>
    <t>소프트웨어</t>
    <phoneticPr fontId="3" type="noConversion"/>
  </si>
  <si>
    <t>다우프트</t>
  </si>
  <si>
    <t>서울 동작구 신대방동</t>
    <phoneticPr fontId="3" type="noConversion"/>
  </si>
  <si>
    <t>대통젤㈜</t>
  </si>
  <si>
    <t>서울 구로구 구로동</t>
    <phoneticPr fontId="3" type="noConversion"/>
  </si>
  <si>
    <t>유지보수</t>
    <phoneticPr fontId="3" type="noConversion"/>
  </si>
  <si>
    <t>아정비드</t>
  </si>
  <si>
    <t>경기 고양시 덕양구 행신동</t>
    <phoneticPr fontId="3" type="noConversion"/>
  </si>
  <si>
    <t>이랜데㈜</t>
  </si>
  <si>
    <t>홈페이지</t>
    <phoneticPr fontId="3" type="noConversion"/>
  </si>
  <si>
    <t>서울 용산구 신계동</t>
    <phoneticPr fontId="3" type="noConversion"/>
  </si>
  <si>
    <t>에소술㈜</t>
  </si>
  <si>
    <t>서울 강남구 역삼동</t>
    <phoneticPr fontId="3" type="noConversion"/>
  </si>
  <si>
    <t>에엔털㈜</t>
  </si>
  <si>
    <t>서울 강서구</t>
    <phoneticPr fontId="3" type="noConversion"/>
  </si>
  <si>
    <t>디에트㈜</t>
  </si>
  <si>
    <t>서울 강남구 대치동</t>
    <phoneticPr fontId="3" type="noConversion"/>
  </si>
  <si>
    <t>개발</t>
    <phoneticPr fontId="3" type="noConversion"/>
  </si>
  <si>
    <t>엔정술㈜</t>
  </si>
  <si>
    <t>제조도매</t>
    <phoneticPr fontId="3" type="noConversion"/>
  </si>
  <si>
    <t>서울 영등포구 영등포동</t>
    <phoneticPr fontId="3" type="noConversion"/>
  </si>
  <si>
    <t>지전데타</t>
  </si>
  <si>
    <t>경기도 성남시 분당구</t>
    <phoneticPr fontId="3" type="noConversion"/>
  </si>
  <si>
    <t>엠컨츠코</t>
  </si>
  <si>
    <t>컨설팅</t>
    <phoneticPr fontId="3" type="noConversion"/>
  </si>
  <si>
    <t>와전</t>
  </si>
  <si>
    <t>서울 서초구 양재동</t>
    <phoneticPr fontId="3" type="noConversion"/>
  </si>
  <si>
    <t>인트</t>
  </si>
  <si>
    <t>서울 서초구 서초동</t>
    <phoneticPr fontId="3" type="noConversion"/>
  </si>
  <si>
    <t>오앤</t>
  </si>
  <si>
    <t>태쳐</t>
  </si>
  <si>
    <t>경기도 수원시 영통구 매탄동</t>
    <phoneticPr fontId="3" type="noConversion"/>
  </si>
  <si>
    <t>크피</t>
  </si>
  <si>
    <t>소프트</t>
    <phoneticPr fontId="3" type="noConversion"/>
  </si>
  <si>
    <t>서울 강남구 삼성동</t>
    <phoneticPr fontId="3" type="noConversion"/>
  </si>
  <si>
    <t>컨텐츠</t>
    <phoneticPr fontId="3" type="noConversion"/>
  </si>
  <si>
    <t>씨㈜</t>
  </si>
  <si>
    <t>부산 금정구 구서동</t>
    <phoneticPr fontId="3" type="noConversion"/>
  </si>
  <si>
    <t>전설</t>
  </si>
  <si>
    <t>서울 영등포 여의도동</t>
    <phoneticPr fontId="3" type="noConversion"/>
  </si>
  <si>
    <t>한기</t>
  </si>
  <si>
    <t>호컨</t>
  </si>
  <si>
    <t>밀이</t>
  </si>
  <si>
    <t>서울 중구 남대문로</t>
    <phoneticPr fontId="3" type="noConversion"/>
  </si>
  <si>
    <t>광고</t>
    <phoneticPr fontId="3" type="noConversion"/>
  </si>
  <si>
    <t>디지스㈜</t>
  </si>
  <si>
    <t>서울 영등포구 여의도동</t>
    <phoneticPr fontId="3" type="noConversion"/>
  </si>
  <si>
    <t>렉소스템</t>
  </si>
  <si>
    <t>르네전㈜</t>
  </si>
  <si>
    <t>비데팅㈜</t>
  </si>
  <si>
    <t>비츠너㈜</t>
  </si>
  <si>
    <t>삼전트㈜</t>
  </si>
  <si>
    <t>제조업</t>
    <phoneticPr fontId="3" type="noConversion"/>
  </si>
  <si>
    <t>경기도 용인시 동천동</t>
    <phoneticPr fontId="3" type="noConversion"/>
  </si>
  <si>
    <t>새소통신</t>
  </si>
  <si>
    <t>서울 강남구 논현동</t>
    <phoneticPr fontId="3" type="noConversion"/>
  </si>
  <si>
    <t>성화칼㈜</t>
  </si>
  <si>
    <t>서울 강남구 신사동</t>
    <phoneticPr fontId="3" type="noConversion"/>
  </si>
  <si>
    <t>소어컴㈜</t>
  </si>
  <si>
    <t>소프모닝</t>
  </si>
  <si>
    <t>서울 금천구 독산동</t>
    <phoneticPr fontId="3" type="noConversion"/>
  </si>
  <si>
    <t>씨에인프</t>
  </si>
  <si>
    <t>제품코드</t>
    <phoneticPr fontId="4" type="noConversion"/>
  </si>
  <si>
    <t>생산량</t>
    <phoneticPr fontId="4" type="noConversion"/>
  </si>
  <si>
    <t>불량률</t>
    <phoneticPr fontId="4" type="noConversion"/>
  </si>
  <si>
    <t>최대생산량</t>
    <phoneticPr fontId="4" type="noConversion"/>
  </si>
  <si>
    <t>PE-12</t>
    <phoneticPr fontId="4" type="noConversion"/>
  </si>
  <si>
    <t>생산1부</t>
    <phoneticPr fontId="4" type="noConversion"/>
  </si>
  <si>
    <t>PE-23</t>
    <phoneticPr fontId="4" type="noConversion"/>
  </si>
  <si>
    <t>생산2부</t>
    <phoneticPr fontId="4" type="noConversion"/>
  </si>
  <si>
    <t>PE-34</t>
    <phoneticPr fontId="4" type="noConversion"/>
  </si>
  <si>
    <t>생산3부</t>
    <phoneticPr fontId="4" type="noConversion"/>
  </si>
  <si>
    <t>CE-10</t>
    <phoneticPr fontId="4" type="noConversion"/>
  </si>
  <si>
    <t>CE-20</t>
    <phoneticPr fontId="4" type="noConversion"/>
  </si>
  <si>
    <t>CE-30</t>
    <phoneticPr fontId="4" type="noConversion"/>
  </si>
  <si>
    <t>AM-33</t>
    <phoneticPr fontId="4" type="noConversion"/>
  </si>
  <si>
    <t>고객번호</t>
  </si>
  <si>
    <t>이름</t>
  </si>
  <si>
    <t>주소</t>
  </si>
  <si>
    <t>구매실적</t>
  </si>
  <si>
    <t>거래회수</t>
  </si>
  <si>
    <t>구매포인트</t>
  </si>
  <si>
    <t>설문포인트</t>
  </si>
  <si>
    <t>C94023</t>
  </si>
  <si>
    <t>박거상</t>
  </si>
  <si>
    <t>광주광역시</t>
  </si>
  <si>
    <t>B90120</t>
  </si>
  <si>
    <t>한심해</t>
  </si>
  <si>
    <t>대전광역시</t>
  </si>
  <si>
    <t>A93055</t>
  </si>
  <si>
    <t>최고봉</t>
  </si>
  <si>
    <t>서울특별시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</si>
  <si>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</si>
  <si>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</si>
  <si>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</si>
  <si>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</si>
  <si>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</si>
  <si>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</si>
  <si>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</si>
  <si>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</si>
  <si>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</si>
  <si>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</si>
  <si>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</si>
  <si>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</si>
  <si>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</si>
  <si>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</si>
  <si>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강감찬</t>
    <phoneticPr fontId="3" type="noConversion"/>
  </si>
  <si>
    <t>인사부</t>
    <phoneticPr fontId="3" type="noConversion"/>
  </si>
  <si>
    <t>조민준</t>
    <phoneticPr fontId="3" type="noConversion"/>
  </si>
  <si>
    <t>인사부</t>
    <phoneticPr fontId="3" type="noConversion"/>
  </si>
  <si>
    <t>고객포인트 관리</t>
    <phoneticPr fontId="3" type="noConversion"/>
  </si>
  <si>
    <t>제품 생산 현황</t>
    <phoneticPr fontId="3" type="noConversion"/>
  </si>
  <si>
    <t>퇴직금 정산 내역</t>
    <phoneticPr fontId="3" type="noConversion"/>
  </si>
  <si>
    <t>성명</t>
    <phoneticPr fontId="2" type="noConversion"/>
  </si>
  <si>
    <t>김*</t>
    <phoneticPr fontId="2" type="noConversion"/>
  </si>
  <si>
    <t>근속기간</t>
    <phoneticPr fontId="2" type="noConversion"/>
  </si>
  <si>
    <t>&gt;=15</t>
    <phoneticPr fontId="2" type="noConversion"/>
  </si>
  <si>
    <t>퇴직금</t>
    <phoneticPr fontId="2" type="noConversion"/>
  </si>
  <si>
    <t>&lt;=50000</t>
    <phoneticPr fontId="2" type="noConversion"/>
  </si>
  <si>
    <t>부서명</t>
    <phoneticPr fontId="2" type="noConversion"/>
  </si>
  <si>
    <t>직책</t>
    <phoneticPr fontId="2" type="noConversion"/>
  </si>
  <si>
    <t>생산부서</t>
    <phoneticPr fontId="4" type="noConversion"/>
  </si>
  <si>
    <t>생산1부</t>
    <phoneticPr fontId="2" type="noConversion"/>
  </si>
  <si>
    <t>&lt;=700</t>
    <phoneticPr fontId="2" type="noConversion"/>
  </si>
  <si>
    <t>실적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</si>
</sst>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m&quot;월&quot;\ d&quot;일&quot;"/>
    <numFmt numFmtId="177" formatCode="&quot;₩&quot;#,##0"/>
  </numFmts>
  <fonts count="9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굴림"/>
      <family val="3"/>
      <charset val="129"/>
    </font>
    <font>
      <u/>
      <sz val="14"/>
      <name val="굴림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>
      <alignment vertical="center"/>
    </xf>
    <xf numFmtId="0" fontId="5" fillId="0" borderId="0" xfId="1" applyFont="1"/>
    <xf numFmtId="0" fontId="5" fillId="0" borderId="0" xfId="1" applyFont="1" applyBorder="1" applyAlignment="1"/>
    <xf numFmtId="176" fontId="5" fillId="0" borderId="0" xfId="1" applyNumberFormat="1" applyFont="1" applyBorder="1" applyAlignment="1"/>
    <xf numFmtId="0" fontId="5" fillId="0" borderId="1" xfId="1" applyFont="1" applyBorder="1" applyAlignment="1">
      <alignment vertical="center"/>
    </xf>
    <xf numFmtId="0" fontId="5" fillId="0" borderId="1" xfId="1" applyNumberFormat="1" applyFont="1" applyBorder="1" applyAlignment="1"/>
    <xf numFmtId="0" fontId="5" fillId="0" borderId="1" xfId="2" applyNumberFormat="1" applyFont="1" applyBorder="1" applyAlignment="1">
      <alignment vertical="center"/>
    </xf>
    <xf numFmtId="177" fontId="5" fillId="0" borderId="1" xfId="2" applyNumberFormat="1" applyFont="1" applyBorder="1" applyAlignment="1">
      <alignment vertical="center"/>
    </xf>
    <xf numFmtId="0" fontId="5" fillId="0" borderId="1" xfId="1" applyNumberFormat="1" applyFont="1" applyFill="1" applyBorder="1" applyAlignment="1">
      <alignment vertical="center"/>
    </xf>
    <xf numFmtId="0" fontId="5" fillId="0" borderId="0" xfId="1" applyNumberFormat="1" applyFont="1" applyFill="1" applyBorder="1" applyAlignment="1">
      <alignment vertical="center"/>
    </xf>
    <xf numFmtId="0" fontId="5" fillId="0" borderId="0" xfId="1" applyFont="1" applyBorder="1" applyAlignment="1">
      <alignment vertical="center"/>
    </xf>
    <xf numFmtId="0" fontId="5" fillId="0" borderId="0" xfId="2" applyNumberFormat="1" applyFont="1" applyBorder="1" applyAlignment="1">
      <alignment vertical="center"/>
    </xf>
    <xf numFmtId="177" fontId="5" fillId="0" borderId="0" xfId="2" applyNumberFormat="1" applyFont="1" applyBorder="1" applyAlignment="1">
      <alignment vertical="center"/>
    </xf>
    <xf numFmtId="0" fontId="5" fillId="0" borderId="1" xfId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5" fillId="0" borderId="0" xfId="1" applyNumberFormat="1" applyFont="1"/>
    <xf numFmtId="0" fontId="5" fillId="2" borderId="0" xfId="1" applyNumberFormat="1" applyFont="1" applyFill="1"/>
    <xf numFmtId="0" fontId="5" fillId="0" borderId="0" xfId="3" applyNumberFormat="1" applyFont="1"/>
    <xf numFmtId="0" fontId="6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41" fontId="6" fillId="0" borderId="1" xfId="2" applyFont="1" applyBorder="1" applyAlignment="1">
      <alignment horizontal="center" vertical="center" wrapText="1"/>
    </xf>
    <xf numFmtId="0" fontId="6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6" fillId="0" borderId="1" xfId="1" applyFont="1" applyBorder="1" applyAlignment="1">
      <alignment horizontal="left" vertical="center"/>
    </xf>
    <xf numFmtId="41" fontId="6" fillId="0" borderId="1" xfId="2" applyFont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41" fontId="5" fillId="0" borderId="0" xfId="2" applyFont="1" applyBorder="1" applyAlignment="1">
      <alignment horizontal="center"/>
    </xf>
    <xf numFmtId="0" fontId="8" fillId="0" borderId="0" xfId="1" applyFont="1" applyBorder="1" applyAlignment="1">
      <alignment horizontal="center"/>
    </xf>
    <xf numFmtId="0" fontId="7" fillId="0" borderId="0" xfId="1" applyNumberFormat="1" applyFont="1" applyFill="1" applyAlignment="1">
      <alignment horizontal="center" vertical="center"/>
    </xf>
    <xf numFmtId="0" fontId="7" fillId="0" borderId="0" xfId="1" applyFont="1" applyAlignment="1">
      <alignment horizontal="center"/>
    </xf>
    <xf numFmtId="41" fontId="5" fillId="0" borderId="0" xfId="1" applyNumberFormat="1" applyFont="1" applyBorder="1" applyAlignment="1">
      <alignment horizontal="center"/>
    </xf>
  </cellXfs>
  <cellStyles count="4">
    <cellStyle name="백분율 2" xfId="3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2:H15"/>
  <sheetViews>
    <sheetView workbookViewId="0">
      <selection activeCell="K22" sqref="K22"/>
    </sheetView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2" spans="1:8" ht="18" customHeight="1">
      <c r="A2" s="27" t="s">
        <v>149</v>
      </c>
      <c r="B2" s="27"/>
      <c r="C2" s="27"/>
      <c r="D2" s="27"/>
      <c r="E2" s="27"/>
      <c r="F2" s="27"/>
      <c r="G2" s="27"/>
      <c r="H2" s="27"/>
    </row>
    <row r="3" spans="1:8">
      <c r="A3" s="2"/>
      <c r="B3" s="2"/>
      <c r="C3" s="2"/>
      <c r="D3" s="2"/>
      <c r="E3" s="2"/>
      <c r="F3" s="2"/>
      <c r="G3" s="3"/>
      <c r="H3" s="2"/>
    </row>
    <row r="4" spans="1:8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4" t="s">
        <v>7</v>
      </c>
    </row>
    <row r="5" spans="1:8" hidden="1">
      <c r="A5" s="5" t="s">
        <v>143</v>
      </c>
      <c r="B5" s="4" t="s">
        <v>8</v>
      </c>
      <c r="C5" s="4" t="s">
        <v>9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8" hidden="1">
      <c r="A6" s="8" t="s">
        <v>10</v>
      </c>
      <c r="B6" s="4" t="s">
        <v>8</v>
      </c>
      <c r="C6" s="4" t="s">
        <v>11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</row>
    <row r="7" spans="1:8" hidden="1">
      <c r="A7" s="8" t="s">
        <v>12</v>
      </c>
      <c r="B7" s="4" t="s">
        <v>144</v>
      </c>
      <c r="C7" s="4" t="s">
        <v>9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</row>
    <row r="8" spans="1:8" hidden="1">
      <c r="A8" s="5" t="s">
        <v>145</v>
      </c>
      <c r="B8" s="4" t="s">
        <v>13</v>
      </c>
      <c r="C8" s="4" t="s">
        <v>14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</row>
    <row r="9" spans="1:8" hidden="1">
      <c r="A9" s="8" t="s">
        <v>15</v>
      </c>
      <c r="B9" s="4" t="s">
        <v>13</v>
      </c>
      <c r="C9" s="4" t="s">
        <v>16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8">
      <c r="A10" s="8" t="s">
        <v>17</v>
      </c>
      <c r="B10" s="4" t="s">
        <v>8</v>
      </c>
      <c r="C10" s="4" t="s">
        <v>11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8" hidden="1">
      <c r="A11" s="8" t="s">
        <v>18</v>
      </c>
      <c r="B11" s="4" t="s">
        <v>8</v>
      </c>
      <c r="C11" s="4" t="s">
        <v>14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</row>
    <row r="12" spans="1:8" hidden="1">
      <c r="A12" s="8" t="s">
        <v>19</v>
      </c>
      <c r="B12" s="4" t="s">
        <v>146</v>
      </c>
      <c r="C12" s="4" t="s">
        <v>16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</row>
    <row r="13" spans="1:8" hidden="1">
      <c r="A13" s="8" t="s">
        <v>20</v>
      </c>
      <c r="B13" s="4" t="s">
        <v>8</v>
      </c>
      <c r="C13" s="4" t="s">
        <v>16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</row>
    <row r="14" spans="1:8" hidden="1">
      <c r="A14" s="8" t="s">
        <v>21</v>
      </c>
      <c r="B14" s="4" t="s">
        <v>13</v>
      </c>
      <c r="C14" s="4" t="s">
        <v>16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</row>
    <row r="15" spans="1:8" ht="14.25" customHeight="1">
      <c r="A15" s="9"/>
      <c r="B15" s="10"/>
      <c r="C15" s="10"/>
      <c r="D15" s="11"/>
      <c r="E15" s="12"/>
      <c r="F15" s="12"/>
      <c r="G15" s="12"/>
      <c r="H15" s="12"/>
    </row>
  </sheetData>
  <autoFilter ref="A4:H14">
    <filterColumn colId="3">
      <customFilters>
        <customFilter operator="greaterThanOrEqual" val="15"/>
      </customFilters>
    </filterColumn>
    <filterColumn colId="7">
      <customFilters>
        <customFilter operator="lessThanOrEqual" val="50000"/>
      </customFilters>
    </filterColumn>
  </autoFilter>
  <mergeCells count="1">
    <mergeCell ref="A2:H2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21"/>
  <sheetViews>
    <sheetView workbookViewId="0">
      <selection activeCell="G21" sqref="G21"/>
    </sheetView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2" spans="1:8" ht="18" customHeight="1">
      <c r="A2" s="27" t="s">
        <v>149</v>
      </c>
      <c r="B2" s="27"/>
      <c r="C2" s="27"/>
      <c r="D2" s="27"/>
      <c r="E2" s="27"/>
      <c r="F2" s="27"/>
      <c r="G2" s="27"/>
      <c r="H2" s="27"/>
    </row>
    <row r="3" spans="1:8">
      <c r="A3" s="2"/>
      <c r="B3" s="2"/>
      <c r="C3" s="2"/>
      <c r="D3" s="2"/>
      <c r="E3" s="2"/>
      <c r="F3" s="2"/>
      <c r="G3" s="3"/>
      <c r="H3" s="2"/>
    </row>
    <row r="4" spans="1:8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4" t="s">
        <v>7</v>
      </c>
    </row>
    <row r="5" spans="1:8">
      <c r="A5" s="5" t="s">
        <v>143</v>
      </c>
      <c r="B5" s="4" t="s">
        <v>8</v>
      </c>
      <c r="C5" s="4" t="s">
        <v>9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8">
      <c r="A6" s="8" t="s">
        <v>10</v>
      </c>
      <c r="B6" s="4" t="s">
        <v>8</v>
      </c>
      <c r="C6" s="4" t="s">
        <v>11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</row>
    <row r="7" spans="1:8">
      <c r="A7" s="8" t="s">
        <v>12</v>
      </c>
      <c r="B7" s="4" t="s">
        <v>144</v>
      </c>
      <c r="C7" s="4" t="s">
        <v>9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</row>
    <row r="8" spans="1:8">
      <c r="A8" s="5" t="s">
        <v>145</v>
      </c>
      <c r="B8" s="4" t="s">
        <v>13</v>
      </c>
      <c r="C8" s="4" t="s">
        <v>14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</row>
    <row r="9" spans="1:8">
      <c r="A9" s="8" t="s">
        <v>15</v>
      </c>
      <c r="B9" s="4" t="s">
        <v>13</v>
      </c>
      <c r="C9" s="4" t="s">
        <v>16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8">
      <c r="A10" s="8" t="s">
        <v>17</v>
      </c>
      <c r="B10" s="4" t="s">
        <v>8</v>
      </c>
      <c r="C10" s="4" t="s">
        <v>11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8">
      <c r="A11" s="8" t="s">
        <v>18</v>
      </c>
      <c r="B11" s="4" t="s">
        <v>8</v>
      </c>
      <c r="C11" s="4" t="s">
        <v>14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</row>
    <row r="12" spans="1:8">
      <c r="A12" s="8" t="s">
        <v>19</v>
      </c>
      <c r="B12" s="4" t="s">
        <v>146</v>
      </c>
      <c r="C12" s="4" t="s">
        <v>16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</row>
    <row r="13" spans="1:8">
      <c r="A13" s="8" t="s">
        <v>20</v>
      </c>
      <c r="B13" s="4" t="s">
        <v>8</v>
      </c>
      <c r="C13" s="4" t="s">
        <v>16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</row>
    <row r="14" spans="1:8">
      <c r="A14" s="8" t="s">
        <v>21</v>
      </c>
      <c r="B14" s="4" t="s">
        <v>13</v>
      </c>
      <c r="C14" s="4" t="s">
        <v>16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</row>
    <row r="15" spans="1:8">
      <c r="A15" s="9"/>
      <c r="B15" s="10"/>
      <c r="C15" s="10"/>
      <c r="D15" s="11"/>
      <c r="E15" s="12"/>
      <c r="F15" s="12"/>
      <c r="G15" s="12"/>
      <c r="H15" s="12"/>
    </row>
    <row r="16" spans="1:8">
      <c r="A16" s="1" t="s">
        <v>150</v>
      </c>
      <c r="B16" s="1" t="s">
        <v>152</v>
      </c>
      <c r="C16" s="1" t="s">
        <v>154</v>
      </c>
    </row>
    <row r="17" spans="1:5">
      <c r="A17" s="1" t="s">
        <v>151</v>
      </c>
      <c r="B17" s="1" t="s">
        <v>153</v>
      </c>
      <c r="C17" s="1" t="s">
        <v>155</v>
      </c>
    </row>
    <row r="20" spans="1:5">
      <c r="A20" s="1" t="s">
        <v>150</v>
      </c>
      <c r="B20" s="1" t="s">
        <v>156</v>
      </c>
      <c r="C20" s="1" t="s">
        <v>157</v>
      </c>
      <c r="D20" s="1" t="s">
        <v>152</v>
      </c>
      <c r="E20" s="1" t="s">
        <v>154</v>
      </c>
    </row>
    <row r="21" spans="1:5">
      <c r="A21" s="8" t="s">
        <v>17</v>
      </c>
      <c r="B21" s="4" t="s">
        <v>8</v>
      </c>
      <c r="C21" s="4" t="s">
        <v>11</v>
      </c>
      <c r="D21" s="6">
        <v>18</v>
      </c>
      <c r="E21" s="7">
        <v>44040</v>
      </c>
    </row>
  </sheetData>
  <mergeCells count="1">
    <mergeCell ref="A2:H2"/>
  </mergeCells>
  <phoneticPr fontId="2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B2:G36"/>
  <sheetViews>
    <sheetView workbookViewId="0">
      <selection activeCell="H42" sqref="H42"/>
    </sheetView>
  </sheetViews>
  <sheetFormatPr defaultColWidth="14.375" defaultRowHeight="16.5"/>
  <cols>
    <col min="1" max="1" width="5.5" style="1" customWidth="1"/>
    <col min="2" max="2" width="8.75" style="1" customWidth="1"/>
    <col min="3" max="3" width="10.375" style="1" customWidth="1"/>
    <col min="4" max="4" width="8.75" style="1" customWidth="1"/>
    <col min="5" max="5" width="23.625" style="1" customWidth="1"/>
    <col min="6" max="6" width="16.125" style="1" customWidth="1"/>
    <col min="7" max="16384" width="14.375" style="1"/>
  </cols>
  <sheetData>
    <row r="2" spans="2:7">
      <c r="B2" s="18" t="s">
        <v>22</v>
      </c>
      <c r="C2" s="18" t="s">
        <v>23</v>
      </c>
      <c r="D2" s="18" t="s">
        <v>24</v>
      </c>
      <c r="E2" s="18" t="s">
        <v>25</v>
      </c>
      <c r="F2" s="19" t="s">
        <v>26</v>
      </c>
      <c r="G2" s="20" t="s">
        <v>27</v>
      </c>
    </row>
    <row r="3" spans="2:7" hidden="1">
      <c r="B3" s="18">
        <v>1</v>
      </c>
      <c r="C3" s="21" t="s">
        <v>28</v>
      </c>
      <c r="D3" s="21" t="s">
        <v>29</v>
      </c>
      <c r="E3" s="22" t="s">
        <v>30</v>
      </c>
      <c r="F3" s="23" t="s">
        <v>31</v>
      </c>
      <c r="G3" s="24">
        <v>45</v>
      </c>
    </row>
    <row r="4" spans="2:7" hidden="1">
      <c r="B4" s="18">
        <v>2</v>
      </c>
      <c r="C4" s="21" t="s">
        <v>32</v>
      </c>
      <c r="D4" s="21" t="s">
        <v>33</v>
      </c>
      <c r="E4" s="22" t="s">
        <v>34</v>
      </c>
      <c r="F4" s="23" t="s">
        <v>31</v>
      </c>
      <c r="G4" s="24">
        <v>432</v>
      </c>
    </row>
    <row r="5" spans="2:7" hidden="1">
      <c r="B5" s="18">
        <v>3</v>
      </c>
      <c r="C5" s="21" t="s">
        <v>35</v>
      </c>
      <c r="D5" s="21" t="s">
        <v>29</v>
      </c>
      <c r="E5" s="22" t="s">
        <v>36</v>
      </c>
      <c r="F5" s="23" t="s">
        <v>37</v>
      </c>
      <c r="G5" s="24">
        <v>324</v>
      </c>
    </row>
    <row r="6" spans="2:7" hidden="1">
      <c r="B6" s="18">
        <v>4</v>
      </c>
      <c r="C6" s="21" t="s">
        <v>38</v>
      </c>
      <c r="D6" s="21" t="s">
        <v>29</v>
      </c>
      <c r="E6" s="22" t="s">
        <v>39</v>
      </c>
      <c r="F6" s="23" t="s">
        <v>37</v>
      </c>
      <c r="G6" s="24">
        <v>45</v>
      </c>
    </row>
    <row r="7" spans="2:7" hidden="1">
      <c r="B7" s="18">
        <v>5</v>
      </c>
      <c r="C7" s="21" t="s">
        <v>40</v>
      </c>
      <c r="D7" s="21" t="s">
        <v>29</v>
      </c>
      <c r="E7" s="22" t="s">
        <v>41</v>
      </c>
      <c r="F7" s="23" t="s">
        <v>42</v>
      </c>
      <c r="G7" s="24">
        <v>1999</v>
      </c>
    </row>
    <row r="8" spans="2:7" hidden="1">
      <c r="B8" s="18">
        <v>6</v>
      </c>
      <c r="C8" s="21" t="s">
        <v>43</v>
      </c>
      <c r="D8" s="21" t="s">
        <v>33</v>
      </c>
      <c r="E8" s="22" t="s">
        <v>44</v>
      </c>
      <c r="F8" s="23" t="s">
        <v>31</v>
      </c>
      <c r="G8" s="24">
        <v>65</v>
      </c>
    </row>
    <row r="9" spans="2:7" hidden="1">
      <c r="B9" s="18">
        <v>7</v>
      </c>
      <c r="C9" s="21" t="s">
        <v>45</v>
      </c>
      <c r="D9" s="21" t="s">
        <v>46</v>
      </c>
      <c r="E9" s="22" t="s">
        <v>47</v>
      </c>
      <c r="F9" s="23" t="s">
        <v>37</v>
      </c>
      <c r="G9" s="24">
        <v>45</v>
      </c>
    </row>
    <row r="10" spans="2:7">
      <c r="B10" s="18">
        <v>8</v>
      </c>
      <c r="C10" s="21" t="s">
        <v>48</v>
      </c>
      <c r="D10" s="21" t="s">
        <v>29</v>
      </c>
      <c r="E10" s="22" t="s">
        <v>49</v>
      </c>
      <c r="F10" s="23" t="s">
        <v>37</v>
      </c>
      <c r="G10" s="24">
        <v>565</v>
      </c>
    </row>
    <row r="11" spans="2:7" hidden="1">
      <c r="B11" s="18">
        <v>9</v>
      </c>
      <c r="C11" s="21" t="s">
        <v>50</v>
      </c>
      <c r="D11" s="21" t="s">
        <v>33</v>
      </c>
      <c r="E11" s="22" t="s">
        <v>51</v>
      </c>
      <c r="F11" s="23" t="s">
        <v>37</v>
      </c>
      <c r="G11" s="24">
        <v>342</v>
      </c>
    </row>
    <row r="12" spans="2:7">
      <c r="B12" s="18">
        <v>10</v>
      </c>
      <c r="C12" s="21" t="s">
        <v>52</v>
      </c>
      <c r="D12" s="21" t="s">
        <v>33</v>
      </c>
      <c r="E12" s="22" t="s">
        <v>53</v>
      </c>
      <c r="F12" s="23" t="s">
        <v>54</v>
      </c>
      <c r="G12" s="24">
        <v>565</v>
      </c>
    </row>
    <row r="13" spans="2:7">
      <c r="B13" s="18">
        <v>11</v>
      </c>
      <c r="C13" s="21" t="s">
        <v>55</v>
      </c>
      <c r="D13" s="21" t="s">
        <v>56</v>
      </c>
      <c r="E13" s="22" t="s">
        <v>57</v>
      </c>
      <c r="F13" s="23" t="s">
        <v>31</v>
      </c>
      <c r="G13" s="24">
        <v>999</v>
      </c>
    </row>
    <row r="14" spans="2:7" hidden="1">
      <c r="B14" s="18">
        <v>12</v>
      </c>
      <c r="C14" s="21" t="s">
        <v>58</v>
      </c>
      <c r="D14" s="21" t="s">
        <v>33</v>
      </c>
      <c r="E14" s="22" t="s">
        <v>59</v>
      </c>
      <c r="F14" s="23" t="s">
        <v>31</v>
      </c>
      <c r="G14" s="24">
        <v>454</v>
      </c>
    </row>
    <row r="15" spans="2:7" hidden="1">
      <c r="B15" s="18">
        <v>13</v>
      </c>
      <c r="C15" s="21" t="s">
        <v>60</v>
      </c>
      <c r="D15" s="21" t="s">
        <v>33</v>
      </c>
      <c r="E15" s="22" t="s">
        <v>53</v>
      </c>
      <c r="F15" s="23" t="s">
        <v>61</v>
      </c>
      <c r="G15" s="24">
        <v>1212</v>
      </c>
    </row>
    <row r="16" spans="2:7" hidden="1">
      <c r="B16" s="18">
        <v>14</v>
      </c>
      <c r="C16" s="21" t="s">
        <v>62</v>
      </c>
      <c r="D16" s="21" t="s">
        <v>33</v>
      </c>
      <c r="E16" s="22" t="s">
        <v>63</v>
      </c>
      <c r="F16" s="23" t="s">
        <v>61</v>
      </c>
      <c r="G16" s="24">
        <v>233</v>
      </c>
    </row>
    <row r="17" spans="2:7" hidden="1">
      <c r="B17" s="18">
        <v>15</v>
      </c>
      <c r="C17" s="21" t="s">
        <v>64</v>
      </c>
      <c r="D17" s="21" t="s">
        <v>29</v>
      </c>
      <c r="E17" s="22" t="s">
        <v>65</v>
      </c>
      <c r="F17" s="23" t="s">
        <v>37</v>
      </c>
      <c r="G17" s="24">
        <v>34</v>
      </c>
    </row>
    <row r="18" spans="2:7" hidden="1">
      <c r="B18" s="18">
        <v>16</v>
      </c>
      <c r="C18" s="21" t="s">
        <v>66</v>
      </c>
      <c r="D18" s="21" t="s">
        <v>56</v>
      </c>
      <c r="E18" s="22" t="s">
        <v>53</v>
      </c>
      <c r="F18" s="23" t="s">
        <v>31</v>
      </c>
      <c r="G18" s="24">
        <v>54</v>
      </c>
    </row>
    <row r="19" spans="2:7" hidden="1">
      <c r="B19" s="18">
        <v>17</v>
      </c>
      <c r="C19" s="21" t="s">
        <v>67</v>
      </c>
      <c r="D19" s="21" t="s">
        <v>33</v>
      </c>
      <c r="E19" s="22" t="s">
        <v>68</v>
      </c>
      <c r="F19" s="23" t="s">
        <v>31</v>
      </c>
      <c r="G19" s="24">
        <v>45</v>
      </c>
    </row>
    <row r="20" spans="2:7" hidden="1">
      <c r="B20" s="18">
        <v>18</v>
      </c>
      <c r="C20" s="21" t="s">
        <v>69</v>
      </c>
      <c r="D20" s="21" t="s">
        <v>70</v>
      </c>
      <c r="E20" s="22" t="s">
        <v>71</v>
      </c>
      <c r="F20" s="23" t="s">
        <v>72</v>
      </c>
      <c r="G20" s="24">
        <v>5</v>
      </c>
    </row>
    <row r="21" spans="2:7" hidden="1">
      <c r="B21" s="18">
        <v>19</v>
      </c>
      <c r="C21" s="21" t="s">
        <v>73</v>
      </c>
      <c r="D21" s="21" t="s">
        <v>33</v>
      </c>
      <c r="E21" s="22" t="s">
        <v>74</v>
      </c>
      <c r="F21" s="23" t="s">
        <v>72</v>
      </c>
      <c r="G21" s="24">
        <v>65</v>
      </c>
    </row>
    <row r="22" spans="2:7" hidden="1">
      <c r="B22" s="18">
        <v>20</v>
      </c>
      <c r="C22" s="21" t="s">
        <v>75</v>
      </c>
      <c r="D22" s="21" t="s">
        <v>33</v>
      </c>
      <c r="E22" s="22" t="s">
        <v>76</v>
      </c>
      <c r="F22" s="23" t="s">
        <v>42</v>
      </c>
      <c r="G22" s="24">
        <v>67</v>
      </c>
    </row>
    <row r="23" spans="2:7" hidden="1">
      <c r="B23" s="18">
        <v>21</v>
      </c>
      <c r="C23" s="21" t="s">
        <v>77</v>
      </c>
      <c r="D23" s="21" t="s">
        <v>29</v>
      </c>
      <c r="E23" s="22" t="s">
        <v>41</v>
      </c>
      <c r="F23" s="23" t="s">
        <v>42</v>
      </c>
      <c r="G23" s="24">
        <v>277</v>
      </c>
    </row>
    <row r="24" spans="2:7" hidden="1">
      <c r="B24" s="18">
        <v>22</v>
      </c>
      <c r="C24" s="21" t="s">
        <v>78</v>
      </c>
      <c r="D24" s="21" t="s">
        <v>29</v>
      </c>
      <c r="E24" s="22" t="s">
        <v>53</v>
      </c>
      <c r="F24" s="23" t="s">
        <v>61</v>
      </c>
      <c r="G24" s="24">
        <v>26</v>
      </c>
    </row>
    <row r="25" spans="2:7" hidden="1">
      <c r="B25" s="18">
        <v>23</v>
      </c>
      <c r="C25" s="21" t="s">
        <v>79</v>
      </c>
      <c r="D25" s="21" t="s">
        <v>29</v>
      </c>
      <c r="E25" s="22" t="s">
        <v>80</v>
      </c>
      <c r="F25" s="23" t="s">
        <v>81</v>
      </c>
      <c r="G25" s="24">
        <v>2750</v>
      </c>
    </row>
    <row r="26" spans="2:7" hidden="1">
      <c r="B26" s="18">
        <v>24</v>
      </c>
      <c r="C26" s="21" t="s">
        <v>82</v>
      </c>
      <c r="D26" s="21" t="s">
        <v>33</v>
      </c>
      <c r="E26" s="22" t="s">
        <v>83</v>
      </c>
      <c r="F26" s="23" t="s">
        <v>42</v>
      </c>
      <c r="G26" s="24">
        <v>34</v>
      </c>
    </row>
    <row r="27" spans="2:7" hidden="1">
      <c r="B27" s="18">
        <v>25</v>
      </c>
      <c r="C27" s="21" t="s">
        <v>84</v>
      </c>
      <c r="D27" s="21" t="s">
        <v>29</v>
      </c>
      <c r="E27" s="22" t="s">
        <v>49</v>
      </c>
      <c r="F27" s="23" t="s">
        <v>37</v>
      </c>
      <c r="G27" s="24">
        <v>65</v>
      </c>
    </row>
    <row r="28" spans="2:7" hidden="1">
      <c r="B28" s="18">
        <v>26</v>
      </c>
      <c r="C28" s="21" t="s">
        <v>85</v>
      </c>
      <c r="D28" s="21" t="s">
        <v>56</v>
      </c>
      <c r="E28" s="22" t="s">
        <v>83</v>
      </c>
      <c r="F28" s="23" t="s">
        <v>42</v>
      </c>
      <c r="G28" s="24">
        <v>3242</v>
      </c>
    </row>
    <row r="29" spans="2:7" hidden="1">
      <c r="B29" s="18">
        <v>27</v>
      </c>
      <c r="C29" s="21" t="s">
        <v>86</v>
      </c>
      <c r="D29" s="21" t="s">
        <v>29</v>
      </c>
      <c r="E29" s="22" t="s">
        <v>63</v>
      </c>
      <c r="F29" s="23" t="s">
        <v>37</v>
      </c>
      <c r="G29" s="24">
        <v>444</v>
      </c>
    </row>
    <row r="30" spans="2:7">
      <c r="B30" s="18">
        <v>28</v>
      </c>
      <c r="C30" s="21" t="s">
        <v>87</v>
      </c>
      <c r="D30" s="21" t="s">
        <v>29</v>
      </c>
      <c r="E30" s="22" t="s">
        <v>71</v>
      </c>
      <c r="F30" s="23" t="s">
        <v>37</v>
      </c>
      <c r="G30" s="24">
        <v>675</v>
      </c>
    </row>
    <row r="31" spans="2:7">
      <c r="B31" s="18">
        <v>29</v>
      </c>
      <c r="C31" s="21" t="s">
        <v>88</v>
      </c>
      <c r="D31" s="21" t="s">
        <v>89</v>
      </c>
      <c r="E31" s="22" t="s">
        <v>90</v>
      </c>
      <c r="F31" s="23" t="s">
        <v>31</v>
      </c>
      <c r="G31" s="24">
        <v>765</v>
      </c>
    </row>
    <row r="32" spans="2:7" hidden="1">
      <c r="B32" s="18">
        <v>30</v>
      </c>
      <c r="C32" s="21" t="s">
        <v>91</v>
      </c>
      <c r="D32" s="21" t="s">
        <v>29</v>
      </c>
      <c r="E32" s="22" t="s">
        <v>92</v>
      </c>
      <c r="F32" s="23" t="s">
        <v>37</v>
      </c>
      <c r="G32" s="24">
        <v>23</v>
      </c>
    </row>
    <row r="33" spans="2:7" hidden="1">
      <c r="B33" s="18">
        <v>31</v>
      </c>
      <c r="C33" s="21" t="s">
        <v>93</v>
      </c>
      <c r="D33" s="21" t="s">
        <v>29</v>
      </c>
      <c r="E33" s="22" t="s">
        <v>94</v>
      </c>
      <c r="F33" s="23" t="s">
        <v>37</v>
      </c>
      <c r="G33" s="24">
        <v>345</v>
      </c>
    </row>
    <row r="34" spans="2:7">
      <c r="B34" s="18">
        <v>32</v>
      </c>
      <c r="C34" s="21" t="s">
        <v>95</v>
      </c>
      <c r="D34" s="21" t="s">
        <v>29</v>
      </c>
      <c r="E34" s="22" t="s">
        <v>41</v>
      </c>
      <c r="F34" s="23" t="s">
        <v>37</v>
      </c>
      <c r="G34" s="24">
        <v>674</v>
      </c>
    </row>
    <row r="35" spans="2:7" hidden="1">
      <c r="B35" s="18">
        <v>33</v>
      </c>
      <c r="C35" s="21" t="s">
        <v>96</v>
      </c>
      <c r="D35" s="21" t="s">
        <v>29</v>
      </c>
      <c r="E35" s="22" t="s">
        <v>97</v>
      </c>
      <c r="F35" s="23" t="s">
        <v>37</v>
      </c>
      <c r="G35" s="24">
        <v>212</v>
      </c>
    </row>
    <row r="36" spans="2:7" hidden="1">
      <c r="B36" s="18">
        <v>34</v>
      </c>
      <c r="C36" s="21" t="s">
        <v>98</v>
      </c>
      <c r="D36" s="21" t="s">
        <v>33</v>
      </c>
      <c r="E36" s="22" t="s">
        <v>80</v>
      </c>
      <c r="F36" s="23" t="s">
        <v>31</v>
      </c>
      <c r="G36" s="24">
        <v>45</v>
      </c>
    </row>
  </sheetData>
  <autoFilter ref="B2:G36">
    <filterColumn colId="5">
      <customFilters and="1">
        <customFilter operator="greaterThanOrEqual" val="500"/>
        <customFilter operator="lessThanOrEqual" val="1000"/>
      </customFilters>
    </filterColumn>
  </autoFilter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5"/>
  <sheetViews>
    <sheetView workbookViewId="0">
      <selection activeCell="G23" sqref="G23"/>
    </sheetView>
  </sheetViews>
  <sheetFormatPr defaultRowHeight="16.5"/>
  <cols>
    <col min="1" max="4" width="9" style="1"/>
    <col min="5" max="5" width="11" style="1" bestFit="1" customWidth="1"/>
    <col min="6" max="16384" width="9" style="1"/>
  </cols>
  <sheetData>
    <row r="1" spans="1:5" ht="18.75">
      <c r="A1" s="28" t="s">
        <v>148</v>
      </c>
      <c r="B1" s="28"/>
      <c r="C1" s="28"/>
      <c r="D1" s="28"/>
      <c r="E1" s="28"/>
    </row>
    <row r="2" spans="1:5">
      <c r="A2" s="15"/>
      <c r="B2" s="15"/>
      <c r="C2" s="15"/>
      <c r="D2" s="15"/>
      <c r="E2" s="15"/>
    </row>
    <row r="3" spans="1:5">
      <c r="A3" s="16" t="s">
        <v>99</v>
      </c>
      <c r="B3" s="16" t="s">
        <v>158</v>
      </c>
      <c r="C3" s="16" t="s">
        <v>100</v>
      </c>
      <c r="D3" s="16" t="s">
        <v>101</v>
      </c>
      <c r="E3" s="16" t="s">
        <v>102</v>
      </c>
    </row>
    <row r="4" spans="1:5">
      <c r="A4" s="15" t="s">
        <v>103</v>
      </c>
      <c r="B4" s="15" t="s">
        <v>104</v>
      </c>
      <c r="C4" s="15">
        <v>680</v>
      </c>
      <c r="D4" s="17">
        <v>0.01</v>
      </c>
      <c r="E4" s="15">
        <v>900</v>
      </c>
    </row>
    <row r="5" spans="1:5">
      <c r="A5" s="15" t="s">
        <v>105</v>
      </c>
      <c r="B5" s="15" t="s">
        <v>106</v>
      </c>
      <c r="C5" s="15">
        <v>2000</v>
      </c>
      <c r="D5" s="17">
        <v>0.04</v>
      </c>
      <c r="E5" s="15">
        <v>2500</v>
      </c>
    </row>
    <row r="6" spans="1:5">
      <c r="A6" s="15" t="s">
        <v>107</v>
      </c>
      <c r="B6" s="15" t="s">
        <v>108</v>
      </c>
      <c r="C6" s="15">
        <v>960</v>
      </c>
      <c r="D6" s="17">
        <v>0</v>
      </c>
      <c r="E6" s="15">
        <v>1200</v>
      </c>
    </row>
    <row r="7" spans="1:5">
      <c r="A7" s="15" t="s">
        <v>109</v>
      </c>
      <c r="B7" s="15" t="s">
        <v>104</v>
      </c>
      <c r="C7" s="15">
        <v>720</v>
      </c>
      <c r="D7" s="17">
        <v>0</v>
      </c>
      <c r="E7" s="15">
        <v>900</v>
      </c>
    </row>
    <row r="8" spans="1:5">
      <c r="A8" s="15" t="s">
        <v>110</v>
      </c>
      <c r="B8" s="15" t="s">
        <v>106</v>
      </c>
      <c r="C8" s="15">
        <v>720</v>
      </c>
      <c r="D8" s="17">
        <v>0.02</v>
      </c>
      <c r="E8" s="15">
        <v>1500</v>
      </c>
    </row>
    <row r="9" spans="1:5">
      <c r="A9" s="15" t="s">
        <v>111</v>
      </c>
      <c r="B9" s="15" t="s">
        <v>108</v>
      </c>
      <c r="C9" s="15">
        <v>2800</v>
      </c>
      <c r="D9" s="17">
        <v>0.04</v>
      </c>
      <c r="E9" s="15">
        <v>3500</v>
      </c>
    </row>
    <row r="10" spans="1:5">
      <c r="A10" s="15" t="s">
        <v>103</v>
      </c>
      <c r="B10" s="15" t="s">
        <v>104</v>
      </c>
      <c r="C10" s="15">
        <v>700</v>
      </c>
      <c r="D10" s="17">
        <v>0.02</v>
      </c>
      <c r="E10" s="15">
        <v>900</v>
      </c>
    </row>
    <row r="11" spans="1:5">
      <c r="A11" s="15" t="s">
        <v>105</v>
      </c>
      <c r="B11" s="15" t="s">
        <v>106</v>
      </c>
      <c r="C11" s="15">
        <v>2000</v>
      </c>
      <c r="D11" s="17">
        <v>0</v>
      </c>
      <c r="E11" s="15">
        <v>2500</v>
      </c>
    </row>
    <row r="12" spans="1:5">
      <c r="A12" s="15" t="s">
        <v>112</v>
      </c>
      <c r="B12" s="15" t="s">
        <v>108</v>
      </c>
      <c r="C12" s="15">
        <v>1200</v>
      </c>
      <c r="D12" s="17">
        <v>0.02</v>
      </c>
      <c r="E12" s="15">
        <v>1500</v>
      </c>
    </row>
    <row r="15" spans="1:5">
      <c r="A15" s="16" t="s">
        <v>158</v>
      </c>
      <c r="B15" s="16" t="s">
        <v>100</v>
      </c>
      <c r="C15" s="16" t="s">
        <v>101</v>
      </c>
    </row>
    <row r="16" spans="1:5">
      <c r="A16" s="1" t="s">
        <v>159</v>
      </c>
    </row>
    <row r="17" spans="1:4">
      <c r="B17" s="1" t="s">
        <v>160</v>
      </c>
    </row>
    <row r="18" spans="1:4">
      <c r="C18" s="1">
        <f>0</f>
        <v>0</v>
      </c>
    </row>
    <row r="20" spans="1:4">
      <c r="A20" s="16" t="s">
        <v>99</v>
      </c>
      <c r="B20" s="16" t="s">
        <v>158</v>
      </c>
      <c r="C20" s="16" t="s">
        <v>100</v>
      </c>
      <c r="D20" s="16" t="s">
        <v>101</v>
      </c>
    </row>
    <row r="21" spans="1:4">
      <c r="A21" s="15" t="s">
        <v>103</v>
      </c>
      <c r="B21" s="15" t="s">
        <v>104</v>
      </c>
      <c r="C21" s="15">
        <v>680</v>
      </c>
      <c r="D21" s="17">
        <v>0.01</v>
      </c>
    </row>
    <row r="22" spans="1:4">
      <c r="A22" s="15" t="s">
        <v>107</v>
      </c>
      <c r="B22" s="15" t="s">
        <v>108</v>
      </c>
      <c r="C22" s="15">
        <v>960</v>
      </c>
      <c r="D22" s="17">
        <v>0</v>
      </c>
    </row>
    <row r="23" spans="1:4">
      <c r="A23" s="15" t="s">
        <v>109</v>
      </c>
      <c r="B23" s="15" t="s">
        <v>104</v>
      </c>
      <c r="C23" s="15">
        <v>720</v>
      </c>
      <c r="D23" s="17">
        <v>0</v>
      </c>
    </row>
    <row r="24" spans="1:4">
      <c r="A24" s="15" t="s">
        <v>103</v>
      </c>
      <c r="B24" s="15" t="s">
        <v>104</v>
      </c>
      <c r="C24" s="15">
        <v>700</v>
      </c>
      <c r="D24" s="17">
        <v>0.02</v>
      </c>
    </row>
    <row r="25" spans="1:4">
      <c r="A25" s="15" t="s">
        <v>105</v>
      </c>
      <c r="B25" s="15" t="s">
        <v>106</v>
      </c>
      <c r="C25" s="15">
        <v>2000</v>
      </c>
      <c r="D25" s="17">
        <v>0</v>
      </c>
    </row>
  </sheetData>
  <mergeCells count="1">
    <mergeCell ref="A1:E1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13"/>
  <sheetViews>
    <sheetView tabSelected="1" workbookViewId="0">
      <selection activeCell="G25" sqref="A1:XFD1048576"/>
    </sheetView>
  </sheetViews>
  <sheetFormatPr defaultRowHeight="16.5"/>
  <cols>
    <col min="1" max="1" width="14" style="1" bestFit="1" customWidth="1"/>
    <col min="2" max="2" width="9" style="1"/>
    <col min="3" max="3" width="12.375" style="1" customWidth="1"/>
    <col min="4" max="4" width="13" style="1" bestFit="1" customWidth="1"/>
    <col min="5" max="5" width="9" style="1"/>
    <col min="6" max="7" width="11" style="1" bestFit="1" customWidth="1"/>
    <col min="8" max="16384" width="9" style="1"/>
  </cols>
  <sheetData>
    <row r="1" spans="1:7" ht="19.5">
      <c r="A1" s="29" t="s">
        <v>147</v>
      </c>
      <c r="B1" s="29"/>
      <c r="C1" s="29"/>
      <c r="D1" s="29"/>
      <c r="E1" s="29"/>
      <c r="F1" s="29"/>
      <c r="G1" s="29"/>
    </row>
    <row r="3" spans="1:7">
      <c r="A3" s="13" t="s">
        <v>113</v>
      </c>
      <c r="B3" s="13" t="s">
        <v>114</v>
      </c>
      <c r="C3" s="13" t="s">
        <v>115</v>
      </c>
      <c r="D3" s="13" t="s">
        <v>116</v>
      </c>
      <c r="E3" s="13" t="s">
        <v>117</v>
      </c>
      <c r="F3" s="13" t="s">
        <v>118</v>
      </c>
      <c r="G3" s="13" t="s">
        <v>119</v>
      </c>
    </row>
    <row r="4" spans="1:7">
      <c r="A4" s="13" t="s">
        <v>120</v>
      </c>
      <c r="B4" s="13" t="s">
        <v>121</v>
      </c>
      <c r="C4" s="13" t="s">
        <v>122</v>
      </c>
      <c r="D4" s="14">
        <v>950000</v>
      </c>
      <c r="E4" s="13">
        <v>20</v>
      </c>
      <c r="F4" s="13">
        <v>190</v>
      </c>
      <c r="G4" s="13">
        <v>80</v>
      </c>
    </row>
    <row r="5" spans="1:7">
      <c r="A5" s="13" t="s">
        <v>123</v>
      </c>
      <c r="B5" s="13" t="s">
        <v>124</v>
      </c>
      <c r="C5" s="13" t="s">
        <v>125</v>
      </c>
      <c r="D5" s="14">
        <v>950000</v>
      </c>
      <c r="E5" s="13">
        <v>45</v>
      </c>
      <c r="F5" s="13">
        <v>190</v>
      </c>
      <c r="G5" s="13">
        <v>70</v>
      </c>
    </row>
    <row r="6" spans="1:7">
      <c r="A6" s="13" t="s">
        <v>126</v>
      </c>
      <c r="B6" s="13" t="s">
        <v>127</v>
      </c>
      <c r="C6" s="13" t="s">
        <v>128</v>
      </c>
      <c r="D6" s="14">
        <v>1300000</v>
      </c>
      <c r="E6" s="13">
        <v>60</v>
      </c>
      <c r="F6" s="13">
        <v>260</v>
      </c>
      <c r="G6" s="13">
        <v>50</v>
      </c>
    </row>
    <row r="7" spans="1:7">
      <c r="A7" s="13" t="s">
        <v>129</v>
      </c>
      <c r="B7" s="13" t="s">
        <v>130</v>
      </c>
      <c r="C7" s="13" t="s">
        <v>122</v>
      </c>
      <c r="D7" s="14">
        <v>900000</v>
      </c>
      <c r="E7" s="13">
        <v>50</v>
      </c>
      <c r="F7" s="13">
        <v>180</v>
      </c>
      <c r="G7" s="13">
        <v>65</v>
      </c>
    </row>
    <row r="8" spans="1:7">
      <c r="A8" s="13" t="s">
        <v>131</v>
      </c>
      <c r="B8" s="13" t="s">
        <v>132</v>
      </c>
      <c r="C8" s="13" t="s">
        <v>125</v>
      </c>
      <c r="D8" s="14">
        <v>775000</v>
      </c>
      <c r="E8" s="13">
        <v>43</v>
      </c>
      <c r="F8" s="13">
        <v>155</v>
      </c>
      <c r="G8" s="13">
        <v>85</v>
      </c>
    </row>
    <row r="9" spans="1:7">
      <c r="A9" s="13" t="s">
        <v>133</v>
      </c>
      <c r="B9" s="13" t="s">
        <v>134</v>
      </c>
      <c r="C9" s="13" t="s">
        <v>125</v>
      </c>
      <c r="D9" s="14">
        <v>755000</v>
      </c>
      <c r="E9" s="13">
        <v>35</v>
      </c>
      <c r="F9" s="13">
        <v>151</v>
      </c>
      <c r="G9" s="13">
        <v>75</v>
      </c>
    </row>
    <row r="10" spans="1:7">
      <c r="A10" s="13" t="s">
        <v>135</v>
      </c>
      <c r="B10" s="13" t="s">
        <v>136</v>
      </c>
      <c r="C10" s="13" t="s">
        <v>122</v>
      </c>
      <c r="D10" s="14">
        <v>805000</v>
      </c>
      <c r="E10" s="13">
        <v>25</v>
      </c>
      <c r="F10" s="13">
        <v>161</v>
      </c>
      <c r="G10" s="13">
        <v>25</v>
      </c>
    </row>
    <row r="11" spans="1:7">
      <c r="A11" s="13" t="s">
        <v>137</v>
      </c>
      <c r="B11" s="13" t="s">
        <v>138</v>
      </c>
      <c r="C11" s="13" t="s">
        <v>128</v>
      </c>
      <c r="D11" s="14">
        <v>500000</v>
      </c>
      <c r="E11" s="13">
        <v>30</v>
      </c>
      <c r="F11" s="13">
        <v>100</v>
      </c>
      <c r="G11" s="13">
        <v>35</v>
      </c>
    </row>
    <row r="12" spans="1:7">
      <c r="A12" s="13" t="s">
        <v>139</v>
      </c>
      <c r="B12" s="13" t="s">
        <v>140</v>
      </c>
      <c r="C12" s="13" t="s">
        <v>128</v>
      </c>
      <c r="D12" s="14">
        <v>1250000</v>
      </c>
      <c r="E12" s="13">
        <v>40</v>
      </c>
      <c r="F12" s="13">
        <v>250</v>
      </c>
      <c r="G12" s="13">
        <v>85</v>
      </c>
    </row>
    <row r="13" spans="1:7">
      <c r="A13" s="13" t="s">
        <v>141</v>
      </c>
      <c r="B13" s="13" t="s">
        <v>142</v>
      </c>
      <c r="C13" s="13" t="s">
        <v>125</v>
      </c>
      <c r="D13" s="14">
        <v>1000000</v>
      </c>
      <c r="E13" s="13">
        <v>45</v>
      </c>
      <c r="F13" s="13">
        <v>200</v>
      </c>
      <c r="G13" s="13">
        <v>98</v>
      </c>
    </row>
    <row r="14" spans="1:7">
      <c r="A14" s="25"/>
      <c r="B14" s="25"/>
      <c r="C14" s="25"/>
      <c r="D14" s="26"/>
      <c r="E14" s="25"/>
      <c r="F14" s="25"/>
      <c r="G14" s="25"/>
    </row>
    <row r="15" spans="1:7">
      <c r="A15" s="25"/>
      <c r="B15" s="25"/>
      <c r="C15" s="25"/>
      <c r="D15" s="26"/>
      <c r="E15" s="25"/>
      <c r="F15" s="25"/>
      <c r="G15" s="25"/>
    </row>
    <row r="16" spans="1:7">
      <c r="A16" s="13" t="s">
        <v>161</v>
      </c>
      <c r="B16" s="13" t="s">
        <v>161</v>
      </c>
      <c r="C16" s="25"/>
      <c r="D16" s="26"/>
      <c r="E16" s="25"/>
      <c r="F16" s="25"/>
      <c r="G16" s="25"/>
    </row>
    <row r="17" spans="1:7">
      <c r="A17" s="30" t="b">
        <f>$D4=LARGE($D$4:$D$13, 2)</f>
        <v>0</v>
      </c>
      <c r="B17" s="25"/>
      <c r="C17" s="25"/>
      <c r="D17" s="26"/>
      <c r="E17" s="25"/>
      <c r="F17" s="25"/>
      <c r="G17" s="25"/>
    </row>
    <row r="18" spans="1:7">
      <c r="A18" s="25"/>
      <c r="B18" s="30" t="b">
        <f>$D4=SMALL($D$4:$D$13, 2)</f>
        <v>0</v>
      </c>
      <c r="C18" s="25"/>
      <c r="D18" s="26"/>
      <c r="E18" s="25"/>
      <c r="F18" s="25"/>
      <c r="G18" s="25"/>
    </row>
    <row r="19" spans="1:7">
      <c r="A19" s="25"/>
      <c r="B19" s="25"/>
      <c r="C19" s="25"/>
      <c r="D19" s="26"/>
      <c r="E19" s="25"/>
      <c r="F19" s="25"/>
      <c r="G19" s="25"/>
    </row>
    <row r="20" spans="1:7">
      <c r="A20" s="25"/>
      <c r="B20" s="25"/>
      <c r="C20" s="25"/>
      <c r="D20" s="26"/>
      <c r="E20" s="25"/>
      <c r="F20" s="25"/>
      <c r="G20" s="25"/>
    </row>
    <row r="21" spans="1:7">
      <c r="A21" s="13" t="s">
        <v>113</v>
      </c>
      <c r="B21" s="13" t="s">
        <v>114</v>
      </c>
      <c r="C21" s="13" t="s">
        <v>115</v>
      </c>
      <c r="D21" s="13" t="s">
        <v>116</v>
      </c>
      <c r="E21" s="13" t="s">
        <v>117</v>
      </c>
      <c r="F21" s="13" t="s">
        <v>118</v>
      </c>
      <c r="G21" s="13" t="s">
        <v>119</v>
      </c>
    </row>
    <row r="22" spans="1:7">
      <c r="A22" s="13" t="s">
        <v>133</v>
      </c>
      <c r="B22" s="13" t="s">
        <v>134</v>
      </c>
      <c r="C22" s="13" t="s">
        <v>125</v>
      </c>
      <c r="D22" s="14">
        <v>755000</v>
      </c>
      <c r="E22" s="13">
        <v>35</v>
      </c>
      <c r="F22" s="13">
        <v>151</v>
      </c>
      <c r="G22" s="13">
        <v>75</v>
      </c>
    </row>
    <row r="23" spans="1:7">
      <c r="A23" s="13" t="s">
        <v>139</v>
      </c>
      <c r="B23" s="13" t="s">
        <v>140</v>
      </c>
      <c r="C23" s="13" t="s">
        <v>128</v>
      </c>
      <c r="D23" s="14">
        <v>1250000</v>
      </c>
      <c r="E23" s="13">
        <v>40</v>
      </c>
      <c r="F23" s="13">
        <v>250</v>
      </c>
      <c r="G23" s="13">
        <v>85</v>
      </c>
    </row>
    <row r="24" spans="1:7">
      <c r="A24" s="25"/>
      <c r="B24" s="25"/>
      <c r="C24" s="25"/>
      <c r="D24" s="26"/>
      <c r="E24" s="25"/>
      <c r="F24" s="25"/>
      <c r="G24" s="25"/>
    </row>
    <row r="25" spans="1:7">
      <c r="A25" s="25"/>
      <c r="B25" s="25"/>
      <c r="C25" s="25"/>
      <c r="D25" s="26"/>
      <c r="E25" s="25"/>
      <c r="F25" s="25"/>
      <c r="G25" s="25"/>
    </row>
    <row r="26" spans="1:7">
      <c r="A26" s="25"/>
      <c r="B26" s="25"/>
      <c r="C26" s="25"/>
      <c r="D26" s="26"/>
      <c r="E26" s="25"/>
      <c r="F26" s="25"/>
      <c r="G26" s="25"/>
    </row>
    <row r="27" spans="1:7">
      <c r="A27" s="25"/>
      <c r="B27" s="25"/>
      <c r="C27" s="25"/>
      <c r="D27" s="26"/>
      <c r="E27" s="25"/>
      <c r="F27" s="25"/>
      <c r="G27" s="25"/>
    </row>
    <row r="28" spans="1:7">
      <c r="A28" s="25"/>
      <c r="B28" s="25"/>
      <c r="C28" s="25"/>
      <c r="D28" s="26"/>
      <c r="E28" s="25"/>
      <c r="F28" s="25"/>
      <c r="G28" s="25"/>
    </row>
    <row r="29" spans="1:7">
      <c r="A29" s="25"/>
      <c r="B29" s="25"/>
      <c r="C29" s="25"/>
      <c r="D29" s="26"/>
      <c r="E29" s="25"/>
      <c r="F29" s="25"/>
      <c r="G29" s="25"/>
    </row>
    <row r="30" spans="1:7">
      <c r="A30" s="25"/>
      <c r="B30" s="25"/>
      <c r="C30" s="25"/>
      <c r="D30" s="26"/>
      <c r="E30" s="25"/>
      <c r="F30" s="25"/>
      <c r="G30" s="25"/>
    </row>
    <row r="31" spans="1:7">
      <c r="A31" s="25"/>
      <c r="B31" s="25"/>
      <c r="C31" s="25"/>
      <c r="D31" s="26"/>
      <c r="E31" s="25"/>
      <c r="F31" s="25"/>
      <c r="G31" s="25"/>
    </row>
    <row r="32" spans="1:7">
      <c r="A32" s="25"/>
      <c r="B32" s="25"/>
      <c r="C32" s="25"/>
      <c r="D32" s="26"/>
      <c r="E32" s="25"/>
      <c r="F32" s="25"/>
      <c r="G32" s="25"/>
    </row>
    <row r="33" spans="1:7">
      <c r="A33" s="25"/>
      <c r="B33" s="25"/>
      <c r="C33" s="25"/>
      <c r="D33" s="26"/>
      <c r="E33" s="25"/>
      <c r="F33" s="25"/>
      <c r="G33" s="25"/>
    </row>
    <row r="34" spans="1:7">
      <c r="A34" s="25"/>
      <c r="B34" s="25"/>
      <c r="C34" s="25"/>
      <c r="D34" s="26"/>
      <c r="E34" s="25"/>
      <c r="F34" s="25"/>
      <c r="G34" s="25"/>
    </row>
    <row r="35" spans="1:7">
      <c r="A35" s="25"/>
      <c r="B35" s="25"/>
      <c r="C35" s="25"/>
      <c r="D35" s="26"/>
      <c r="E35" s="25"/>
      <c r="F35" s="25"/>
      <c r="G35" s="25"/>
    </row>
    <row r="36" spans="1:7">
      <c r="A36" s="25"/>
      <c r="B36" s="25"/>
      <c r="C36" s="25"/>
      <c r="D36" s="26"/>
      <c r="E36" s="25"/>
      <c r="F36" s="25"/>
      <c r="G36" s="25"/>
    </row>
    <row r="37" spans="1:7">
      <c r="A37" s="25"/>
      <c r="B37" s="25"/>
      <c r="C37" s="25"/>
      <c r="D37" s="26"/>
      <c r="E37" s="25"/>
      <c r="F37" s="25"/>
      <c r="G37" s="25"/>
    </row>
    <row r="38" spans="1:7">
      <c r="A38" s="25"/>
      <c r="B38" s="25"/>
      <c r="C38" s="25"/>
      <c r="D38" s="26"/>
      <c r="E38" s="25"/>
      <c r="F38" s="25"/>
      <c r="G38" s="25"/>
    </row>
    <row r="39" spans="1:7">
      <c r="A39" s="25"/>
      <c r="B39" s="25"/>
      <c r="C39" s="25"/>
      <c r="D39" s="26"/>
      <c r="E39" s="25"/>
      <c r="F39" s="25"/>
      <c r="G39" s="25"/>
    </row>
    <row r="40" spans="1:7">
      <c r="A40" s="25"/>
      <c r="B40" s="25"/>
      <c r="C40" s="25"/>
      <c r="D40" s="26"/>
      <c r="E40" s="25"/>
      <c r="F40" s="25"/>
      <c r="G40" s="25"/>
    </row>
    <row r="41" spans="1:7">
      <c r="A41" s="25"/>
      <c r="B41" s="25"/>
      <c r="C41" s="25"/>
      <c r="D41" s="26"/>
      <c r="E41" s="25"/>
      <c r="F41" s="25"/>
      <c r="G41" s="25"/>
    </row>
    <row r="42" spans="1:7">
      <c r="A42" s="25"/>
      <c r="B42" s="25"/>
      <c r="C42" s="25"/>
      <c r="D42" s="26"/>
      <c r="E42" s="25"/>
      <c r="F42" s="25"/>
      <c r="G42" s="25"/>
    </row>
    <row r="43" spans="1:7">
      <c r="A43" s="25"/>
      <c r="B43" s="25"/>
      <c r="C43" s="25"/>
      <c r="D43" s="26"/>
      <c r="E43" s="25"/>
      <c r="F43" s="25"/>
      <c r="G43" s="25"/>
    </row>
    <row r="44" spans="1:7">
      <c r="A44" s="25"/>
      <c r="B44" s="25"/>
      <c r="C44" s="25"/>
      <c r="D44" s="26"/>
      <c r="E44" s="25"/>
      <c r="F44" s="25"/>
      <c r="G44" s="25"/>
    </row>
    <row r="45" spans="1:7">
      <c r="A45" s="25"/>
      <c r="B45" s="25"/>
      <c r="C45" s="25"/>
      <c r="D45" s="26"/>
      <c r="E45" s="25"/>
      <c r="F45" s="25"/>
      <c r="G45" s="25"/>
    </row>
    <row r="46" spans="1:7">
      <c r="A46" s="25"/>
      <c r="B46" s="25"/>
      <c r="C46" s="25"/>
      <c r="D46" s="26"/>
      <c r="E46" s="25"/>
      <c r="F46" s="25"/>
      <c r="G46" s="25"/>
    </row>
    <row r="47" spans="1:7">
      <c r="A47" s="25"/>
      <c r="B47" s="25"/>
      <c r="C47" s="25"/>
      <c r="D47" s="26"/>
      <c r="E47" s="25"/>
      <c r="F47" s="25"/>
      <c r="G47" s="25"/>
    </row>
    <row r="48" spans="1:7">
      <c r="A48" s="25"/>
      <c r="B48" s="25"/>
      <c r="C48" s="25"/>
      <c r="D48" s="26"/>
      <c r="E48" s="25"/>
      <c r="F48" s="25"/>
      <c r="G48" s="25"/>
    </row>
    <row r="49" spans="1:7">
      <c r="A49" s="25"/>
      <c r="B49" s="25"/>
      <c r="C49" s="25"/>
      <c r="D49" s="26"/>
      <c r="E49" s="25"/>
      <c r="F49" s="25"/>
      <c r="G49" s="25"/>
    </row>
    <row r="50" spans="1:7">
      <c r="A50" s="25"/>
      <c r="B50" s="25"/>
      <c r="C50" s="25"/>
      <c r="D50" s="26"/>
      <c r="E50" s="25"/>
      <c r="F50" s="25"/>
      <c r="G50" s="25"/>
    </row>
    <row r="51" spans="1:7">
      <c r="A51" s="25"/>
      <c r="B51" s="25"/>
      <c r="C51" s="25"/>
      <c r="D51" s="26"/>
      <c r="E51" s="25"/>
      <c r="F51" s="25"/>
      <c r="G51" s="25"/>
    </row>
    <row r="52" spans="1:7">
      <c r="A52" s="25"/>
      <c r="B52" s="25"/>
      <c r="C52" s="25"/>
      <c r="D52" s="26"/>
      <c r="E52" s="25"/>
      <c r="F52" s="25"/>
      <c r="G52" s="25"/>
    </row>
    <row r="53" spans="1:7">
      <c r="A53" s="25"/>
      <c r="B53" s="25"/>
      <c r="C53" s="25"/>
      <c r="D53" s="26"/>
      <c r="E53" s="25"/>
      <c r="F53" s="25"/>
      <c r="G53" s="25"/>
    </row>
    <row r="54" spans="1:7">
      <c r="A54" s="25"/>
      <c r="B54" s="25"/>
      <c r="C54" s="25"/>
      <c r="D54" s="26"/>
      <c r="E54" s="25"/>
      <c r="F54" s="25"/>
      <c r="G54" s="25"/>
    </row>
    <row r="55" spans="1:7">
      <c r="A55" s="25"/>
      <c r="B55" s="25"/>
      <c r="C55" s="25"/>
      <c r="D55" s="26"/>
      <c r="E55" s="25"/>
      <c r="F55" s="25"/>
      <c r="G55" s="25"/>
    </row>
    <row r="56" spans="1:7">
      <c r="A56" s="25"/>
      <c r="B56" s="25"/>
      <c r="C56" s="25"/>
      <c r="D56" s="26"/>
      <c r="E56" s="25"/>
      <c r="F56" s="25"/>
      <c r="G56" s="25"/>
    </row>
    <row r="57" spans="1:7">
      <c r="A57" s="25"/>
      <c r="B57" s="25"/>
      <c r="C57" s="25"/>
      <c r="D57" s="26"/>
      <c r="E57" s="25"/>
      <c r="F57" s="25"/>
      <c r="G57" s="25"/>
    </row>
    <row r="58" spans="1:7">
      <c r="A58" s="25"/>
      <c r="B58" s="25"/>
      <c r="C58" s="25"/>
      <c r="D58" s="26"/>
      <c r="E58" s="25"/>
      <c r="F58" s="25"/>
      <c r="G58" s="25"/>
    </row>
    <row r="59" spans="1:7">
      <c r="A59" s="25"/>
      <c r="B59" s="25"/>
      <c r="C59" s="25"/>
      <c r="D59" s="26"/>
      <c r="E59" s="25"/>
      <c r="F59" s="25"/>
      <c r="G59" s="25"/>
    </row>
    <row r="60" spans="1:7">
      <c r="A60" s="25"/>
      <c r="B60" s="25"/>
      <c r="C60" s="25"/>
      <c r="D60" s="26"/>
      <c r="E60" s="25"/>
      <c r="F60" s="25"/>
      <c r="G60" s="25"/>
    </row>
    <row r="61" spans="1:7">
      <c r="A61" s="25"/>
      <c r="B61" s="25"/>
      <c r="C61" s="25"/>
      <c r="D61" s="26"/>
      <c r="E61" s="25"/>
      <c r="F61" s="25"/>
      <c r="G61" s="25"/>
    </row>
    <row r="62" spans="1:7">
      <c r="A62" s="25"/>
      <c r="B62" s="25"/>
      <c r="C62" s="25"/>
      <c r="D62" s="26"/>
      <c r="E62" s="25"/>
      <c r="F62" s="25"/>
      <c r="G62" s="25"/>
    </row>
    <row r="63" spans="1:7">
      <c r="A63" s="25"/>
      <c r="B63" s="25"/>
      <c r="C63" s="25"/>
      <c r="D63" s="26"/>
      <c r="E63" s="25"/>
      <c r="F63" s="25"/>
      <c r="G63" s="25"/>
    </row>
    <row r="64" spans="1:7">
      <c r="A64" s="25"/>
      <c r="B64" s="25"/>
      <c r="C64" s="25"/>
      <c r="D64" s="26"/>
      <c r="E64" s="25"/>
      <c r="F64" s="25"/>
      <c r="G64" s="25"/>
    </row>
    <row r="65" spans="1:7">
      <c r="A65" s="25"/>
      <c r="B65" s="25"/>
      <c r="C65" s="25"/>
      <c r="D65" s="26"/>
      <c r="E65" s="25"/>
      <c r="F65" s="25"/>
      <c r="G65" s="25"/>
    </row>
    <row r="66" spans="1:7">
      <c r="A66" s="25"/>
      <c r="B66" s="25"/>
      <c r="C66" s="25"/>
      <c r="D66" s="26"/>
      <c r="E66" s="25"/>
      <c r="F66" s="25"/>
      <c r="G66" s="25"/>
    </row>
    <row r="67" spans="1:7">
      <c r="A67" s="25"/>
      <c r="B67" s="25"/>
      <c r="C67" s="25"/>
      <c r="D67" s="26"/>
      <c r="E67" s="25"/>
      <c r="F67" s="25"/>
      <c r="G67" s="25"/>
    </row>
    <row r="68" spans="1:7">
      <c r="A68" s="25"/>
      <c r="B68" s="25"/>
      <c r="C68" s="25"/>
      <c r="D68" s="26"/>
      <c r="E68" s="25"/>
      <c r="F68" s="25"/>
      <c r="G68" s="25"/>
    </row>
    <row r="69" spans="1:7">
      <c r="A69" s="25"/>
      <c r="B69" s="25"/>
      <c r="C69" s="25"/>
      <c r="D69" s="26"/>
      <c r="E69" s="25"/>
      <c r="F69" s="25"/>
      <c r="G69" s="25"/>
    </row>
    <row r="70" spans="1:7">
      <c r="A70" s="25"/>
      <c r="B70" s="25"/>
      <c r="C70" s="25"/>
      <c r="D70" s="26"/>
      <c r="E70" s="25"/>
      <c r="F70" s="25"/>
      <c r="G70" s="25"/>
    </row>
    <row r="71" spans="1:7">
      <c r="A71" s="25"/>
      <c r="B71" s="25"/>
      <c r="C71" s="25"/>
      <c r="D71" s="26"/>
      <c r="E71" s="25"/>
      <c r="F71" s="25"/>
      <c r="G71" s="25"/>
    </row>
    <row r="72" spans="1:7">
      <c r="A72" s="25"/>
      <c r="B72" s="25"/>
      <c r="C72" s="25"/>
      <c r="D72" s="26"/>
      <c r="E72" s="25"/>
      <c r="F72" s="25"/>
      <c r="G72" s="25"/>
    </row>
    <row r="73" spans="1:7">
      <c r="A73" s="25"/>
      <c r="B73" s="25"/>
      <c r="C73" s="25"/>
      <c r="D73" s="26"/>
      <c r="E73" s="25"/>
      <c r="F73" s="25"/>
      <c r="G73" s="25"/>
    </row>
    <row r="74" spans="1:7">
      <c r="A74" s="25"/>
      <c r="B74" s="25"/>
      <c r="C74" s="25"/>
      <c r="D74" s="26"/>
      <c r="E74" s="25"/>
      <c r="F74" s="25"/>
      <c r="G74" s="25"/>
    </row>
    <row r="75" spans="1:7">
      <c r="A75" s="25"/>
      <c r="B75" s="25"/>
      <c r="C75" s="25"/>
      <c r="D75" s="26"/>
      <c r="E75" s="25"/>
      <c r="F75" s="25"/>
      <c r="G75" s="25"/>
    </row>
    <row r="76" spans="1:7">
      <c r="A76" s="25"/>
      <c r="B76" s="25"/>
      <c r="C76" s="25"/>
      <c r="D76" s="26"/>
      <c r="E76" s="25"/>
      <c r="F76" s="25"/>
      <c r="G76" s="25"/>
    </row>
    <row r="77" spans="1:7">
      <c r="A77" s="25"/>
      <c r="B77" s="25"/>
      <c r="C77" s="25"/>
      <c r="D77" s="26"/>
      <c r="E77" s="25"/>
      <c r="F77" s="25"/>
      <c r="G77" s="25"/>
    </row>
    <row r="78" spans="1:7">
      <c r="A78" s="25"/>
      <c r="B78" s="25"/>
      <c r="C78" s="25"/>
      <c r="D78" s="26"/>
      <c r="E78" s="25"/>
      <c r="F78" s="25"/>
      <c r="G78" s="25"/>
    </row>
    <row r="79" spans="1:7">
      <c r="A79" s="25"/>
      <c r="B79" s="25"/>
      <c r="C79" s="25"/>
      <c r="D79" s="26"/>
      <c r="E79" s="25"/>
      <c r="F79" s="25"/>
      <c r="G79" s="25"/>
    </row>
    <row r="80" spans="1:7">
      <c r="A80" s="25"/>
      <c r="B80" s="25"/>
      <c r="C80" s="25"/>
      <c r="D80" s="26"/>
      <c r="E80" s="25"/>
      <c r="F80" s="25"/>
      <c r="G80" s="25"/>
    </row>
    <row r="81" spans="1:7">
      <c r="A81" s="25"/>
      <c r="B81" s="25"/>
      <c r="C81" s="25"/>
      <c r="D81" s="26"/>
      <c r="E81" s="25"/>
      <c r="F81" s="25"/>
      <c r="G81" s="25"/>
    </row>
    <row r="82" spans="1:7">
      <c r="A82" s="25"/>
      <c r="B82" s="25"/>
      <c r="C82" s="25"/>
      <c r="D82" s="26"/>
      <c r="E82" s="25"/>
      <c r="F82" s="25"/>
      <c r="G82" s="25"/>
    </row>
    <row r="83" spans="1:7">
      <c r="A83" s="25"/>
      <c r="B83" s="25"/>
      <c r="C83" s="25"/>
      <c r="D83" s="26"/>
      <c r="E83" s="25"/>
      <c r="F83" s="25"/>
      <c r="G83" s="25"/>
    </row>
    <row r="84" spans="1:7">
      <c r="A84" s="25"/>
      <c r="B84" s="25"/>
      <c r="C84" s="25"/>
      <c r="D84" s="26"/>
      <c r="E84" s="25"/>
      <c r="F84" s="25"/>
      <c r="G84" s="25"/>
    </row>
    <row r="85" spans="1:7">
      <c r="A85" s="25"/>
      <c r="B85" s="25"/>
      <c r="C85" s="25"/>
      <c r="D85" s="26"/>
      <c r="E85" s="25"/>
      <c r="F85" s="25"/>
      <c r="G85" s="25"/>
    </row>
    <row r="86" spans="1:7">
      <c r="A86" s="25"/>
      <c r="B86" s="25"/>
      <c r="C86" s="25"/>
      <c r="D86" s="26"/>
      <c r="E86" s="25"/>
      <c r="F86" s="25"/>
      <c r="G86" s="25"/>
    </row>
    <row r="87" spans="1:7">
      <c r="A87" s="25"/>
      <c r="B87" s="25"/>
      <c r="C87" s="25"/>
      <c r="D87" s="26"/>
      <c r="E87" s="25"/>
      <c r="F87" s="25"/>
      <c r="G87" s="25"/>
    </row>
    <row r="88" spans="1:7">
      <c r="A88" s="25"/>
      <c r="B88" s="25"/>
      <c r="C88" s="25"/>
      <c r="D88" s="26"/>
      <c r="E88" s="25"/>
      <c r="F88" s="25"/>
      <c r="G88" s="25"/>
    </row>
    <row r="89" spans="1:7">
      <c r="A89" s="25"/>
      <c r="B89" s="25"/>
      <c r="C89" s="25"/>
      <c r="D89" s="26"/>
      <c r="E89" s="25"/>
      <c r="F89" s="25"/>
      <c r="G89" s="25"/>
    </row>
    <row r="90" spans="1:7">
      <c r="A90" s="25"/>
      <c r="B90" s="25"/>
      <c r="C90" s="25"/>
      <c r="D90" s="26"/>
      <c r="E90" s="25"/>
      <c r="F90" s="25"/>
      <c r="G90" s="25"/>
    </row>
    <row r="91" spans="1:7">
      <c r="A91" s="25"/>
      <c r="B91" s="25"/>
      <c r="C91" s="25"/>
      <c r="D91" s="26"/>
      <c r="E91" s="25"/>
      <c r="F91" s="25"/>
      <c r="G91" s="25"/>
    </row>
    <row r="92" spans="1:7">
      <c r="A92" s="25"/>
      <c r="B92" s="25"/>
      <c r="C92" s="25"/>
      <c r="D92" s="26"/>
      <c r="E92" s="25"/>
      <c r="F92" s="25"/>
      <c r="G92" s="25"/>
    </row>
    <row r="93" spans="1:7">
      <c r="A93" s="25"/>
      <c r="B93" s="25"/>
      <c r="C93" s="25"/>
      <c r="D93" s="26"/>
      <c r="E93" s="25"/>
      <c r="F93" s="25"/>
      <c r="G93" s="25"/>
    </row>
    <row r="94" spans="1:7">
      <c r="A94" s="25"/>
      <c r="B94" s="25"/>
      <c r="C94" s="25"/>
      <c r="D94" s="26"/>
      <c r="E94" s="25"/>
      <c r="F94" s="25"/>
      <c r="G94" s="25"/>
    </row>
    <row r="95" spans="1:7">
      <c r="A95" s="25"/>
      <c r="B95" s="25"/>
      <c r="C95" s="25"/>
      <c r="D95" s="26"/>
      <c r="E95" s="25"/>
      <c r="F95" s="25"/>
      <c r="G95" s="25"/>
    </row>
    <row r="96" spans="1:7">
      <c r="A96" s="25"/>
      <c r="B96" s="25"/>
      <c r="C96" s="25"/>
      <c r="D96" s="26"/>
      <c r="E96" s="25"/>
      <c r="F96" s="25"/>
      <c r="G96" s="25"/>
    </row>
    <row r="97" spans="1:7">
      <c r="A97" s="25"/>
      <c r="B97" s="25"/>
      <c r="C97" s="25"/>
      <c r="D97" s="26"/>
      <c r="E97" s="25"/>
      <c r="F97" s="25"/>
      <c r="G97" s="25"/>
    </row>
    <row r="98" spans="1:7">
      <c r="A98" s="25"/>
      <c r="B98" s="25"/>
      <c r="C98" s="25"/>
      <c r="D98" s="26"/>
      <c r="E98" s="25"/>
      <c r="F98" s="25"/>
      <c r="G98" s="25"/>
    </row>
    <row r="99" spans="1:7">
      <c r="A99" s="25"/>
      <c r="B99" s="25"/>
      <c r="C99" s="25"/>
      <c r="D99" s="26"/>
      <c r="E99" s="25"/>
      <c r="F99" s="25"/>
      <c r="G99" s="25"/>
    </row>
    <row r="100" spans="1:7">
      <c r="A100" s="25"/>
      <c r="B100" s="25"/>
      <c r="C100" s="25"/>
      <c r="D100" s="26"/>
      <c r="E100" s="25"/>
      <c r="F100" s="25"/>
      <c r="G100" s="25"/>
    </row>
    <row r="101" spans="1:7">
      <c r="A101" s="25"/>
      <c r="B101" s="25"/>
      <c r="C101" s="25"/>
      <c r="D101" s="26"/>
      <c r="E101" s="25"/>
      <c r="F101" s="25"/>
      <c r="G101" s="25"/>
    </row>
    <row r="102" spans="1:7">
      <c r="A102" s="25"/>
      <c r="B102" s="25"/>
      <c r="C102" s="25"/>
      <c r="D102" s="26"/>
      <c r="E102" s="25"/>
      <c r="F102" s="25"/>
      <c r="G102" s="25"/>
    </row>
    <row r="103" spans="1:7">
      <c r="A103" s="25"/>
      <c r="B103" s="25"/>
      <c r="C103" s="25"/>
      <c r="D103" s="26"/>
      <c r="E103" s="25"/>
      <c r="F103" s="25"/>
      <c r="G103" s="25"/>
    </row>
    <row r="104" spans="1:7">
      <c r="A104" s="25"/>
      <c r="B104" s="25"/>
      <c r="C104" s="25"/>
      <c r="D104" s="26"/>
      <c r="E104" s="25"/>
      <c r="F104" s="25"/>
      <c r="G104" s="25"/>
    </row>
    <row r="105" spans="1:7">
      <c r="A105" s="25"/>
      <c r="B105" s="25"/>
      <c r="C105" s="25"/>
      <c r="D105" s="26"/>
      <c r="E105" s="25"/>
      <c r="F105" s="25"/>
      <c r="G105" s="25"/>
    </row>
    <row r="106" spans="1:7">
      <c r="A106" s="25"/>
      <c r="B106" s="25"/>
      <c r="C106" s="25"/>
      <c r="D106" s="26"/>
      <c r="E106" s="25"/>
      <c r="F106" s="25"/>
      <c r="G106" s="25"/>
    </row>
    <row r="107" spans="1:7">
      <c r="A107" s="25"/>
      <c r="B107" s="25"/>
      <c r="C107" s="25"/>
      <c r="D107" s="26"/>
      <c r="E107" s="25"/>
      <c r="F107" s="25"/>
      <c r="G107" s="25"/>
    </row>
    <row r="108" spans="1:7">
      <c r="A108" s="25"/>
      <c r="B108" s="25"/>
      <c r="C108" s="25"/>
      <c r="D108" s="26"/>
      <c r="E108" s="25"/>
      <c r="F108" s="25"/>
      <c r="G108" s="25"/>
    </row>
    <row r="109" spans="1:7">
      <c r="A109" s="25"/>
      <c r="B109" s="25"/>
      <c r="C109" s="25"/>
      <c r="D109" s="26"/>
      <c r="E109" s="25"/>
      <c r="F109" s="25"/>
      <c r="G109" s="25"/>
    </row>
    <row r="110" spans="1:7">
      <c r="A110" s="25"/>
      <c r="B110" s="25"/>
      <c r="C110" s="25"/>
      <c r="D110" s="26"/>
      <c r="E110" s="25"/>
      <c r="F110" s="25"/>
      <c r="G110" s="25"/>
    </row>
    <row r="111" spans="1:7">
      <c r="A111" s="25"/>
      <c r="B111" s="25"/>
      <c r="C111" s="25"/>
      <c r="D111" s="26"/>
      <c r="E111" s="25"/>
      <c r="F111" s="25"/>
      <c r="G111" s="25"/>
    </row>
    <row r="112" spans="1:7">
      <c r="A112" s="25"/>
      <c r="B112" s="25"/>
      <c r="C112" s="25"/>
      <c r="D112" s="26"/>
      <c r="E112" s="25"/>
      <c r="F112" s="25"/>
      <c r="G112" s="25"/>
    </row>
    <row r="113" spans="1:7">
      <c r="A113" s="25"/>
      <c r="B113" s="25"/>
      <c r="C113" s="25"/>
      <c r="D113" s="26"/>
      <c r="E113" s="25"/>
      <c r="F113" s="25"/>
      <c r="G113" s="25"/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6</vt:i4>
      </vt:variant>
    </vt:vector>
  </HeadingPairs>
  <TitlesOfParts>
    <vt:vector size="11" baseType="lpstr">
      <vt:lpstr>무작정따라하기</vt:lpstr>
      <vt:lpstr>무작정따라하기2</vt:lpstr>
      <vt:lpstr>기출01</vt:lpstr>
      <vt:lpstr>기출02</vt:lpstr>
      <vt:lpstr>기출03</vt:lpstr>
      <vt:lpstr>기출02!Criteria</vt:lpstr>
      <vt:lpstr>기출03!Criteria</vt:lpstr>
      <vt:lpstr>무작정따라하기2!Criteria</vt:lpstr>
      <vt:lpstr>기출02!Extract</vt:lpstr>
      <vt:lpstr>기출03!Extract</vt:lpstr>
      <vt:lpstr>무작정따라하기2!Extract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2011-06-14T06:49:44Z</dcterms:created>
  <dcterms:modified xsi:type="dcterms:W3CDTF">2019-12-15T11:07:18Z</dcterms:modified>
</cp:coreProperties>
</file>