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1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F34" i="5" l="1"/>
  <c r="E34" i="5"/>
  <c r="D34" i="5"/>
  <c r="H20" i="5"/>
  <c r="H19" i="5"/>
  <c r="H18" i="5"/>
  <c r="H17" i="5"/>
  <c r="H16" i="5"/>
  <c r="H9" i="5"/>
  <c r="H12" i="5"/>
  <c r="H11" i="5"/>
  <c r="H10" i="5"/>
  <c r="H8" i="5"/>
  <c r="G29" i="4"/>
  <c r="G28" i="4"/>
  <c r="G27" i="4"/>
  <c r="G26" i="4"/>
  <c r="G25" i="4"/>
  <c r="E15" i="4"/>
  <c r="E14" i="4"/>
  <c r="E16" i="4"/>
  <c r="E17" i="4"/>
  <c r="E13" i="4"/>
  <c r="D9" i="4"/>
  <c r="D8" i="4"/>
  <c r="D7" i="4"/>
  <c r="D6" i="4"/>
  <c r="D5" i="4"/>
  <c r="D4" i="4"/>
  <c r="D3" i="4"/>
</calcChain>
</file>

<file path=xl/sharedStrings.xml><?xml version="1.0" encoding="utf-8"?>
<sst xmlns="http://schemas.openxmlformats.org/spreadsheetml/2006/main" count="156" uniqueCount="127">
  <si>
    <t>경원실업</t>
  </si>
  <si>
    <t>경인에폭시</t>
  </si>
  <si>
    <t>고려상사</t>
  </si>
  <si>
    <t>직위</t>
  </si>
  <si>
    <t>대리</t>
  </si>
  <si>
    <t>[표1]</t>
    <phoneticPr fontId="3" type="noConversion"/>
  </si>
  <si>
    <t>[표4]  부동산 임대 중개수수료</t>
    <phoneticPr fontId="3" type="noConversion"/>
  </si>
  <si>
    <t>구분</t>
    <phoneticPr fontId="3" type="noConversion"/>
  </si>
  <si>
    <t>연습1</t>
  </si>
  <si>
    <t>연습2</t>
  </si>
  <si>
    <t>연습3</t>
  </si>
  <si>
    <t>연습4</t>
  </si>
  <si>
    <t>임대가격</t>
    <phoneticPr fontId="3" type="noConversion"/>
  </si>
  <si>
    <t>수수료율</t>
    <phoneticPr fontId="3" type="noConversion"/>
  </si>
  <si>
    <t>한도액</t>
    <phoneticPr fontId="3" type="noConversion"/>
  </si>
  <si>
    <t>가중치</t>
    <phoneticPr fontId="3" type="noConversion"/>
  </si>
  <si>
    <t>[표2]</t>
    <phoneticPr fontId="3" type="noConversion"/>
  </si>
  <si>
    <t>개인별 투자 성적</t>
    <phoneticPr fontId="3" type="noConversion"/>
  </si>
  <si>
    <t>부서</t>
    <phoneticPr fontId="3" type="noConversion"/>
  </si>
  <si>
    <t>이름</t>
    <phoneticPr fontId="3" type="noConversion"/>
  </si>
  <si>
    <t>직위</t>
    <phoneticPr fontId="3" type="noConversion"/>
  </si>
  <si>
    <t>평균점수</t>
    <phoneticPr fontId="3" type="noConversion"/>
  </si>
  <si>
    <t>기획실</t>
    <phoneticPr fontId="3" type="noConversion"/>
  </si>
  <si>
    <t>김세환</t>
    <phoneticPr fontId="3" type="noConversion"/>
  </si>
  <si>
    <t>사원</t>
    <phoneticPr fontId="3" type="noConversion"/>
  </si>
  <si>
    <t>홍보팀</t>
    <phoneticPr fontId="3" type="noConversion"/>
  </si>
  <si>
    <t>황선철</t>
    <phoneticPr fontId="3" type="noConversion"/>
  </si>
  <si>
    <t>유제관</t>
    <phoneticPr fontId="3" type="noConversion"/>
  </si>
  <si>
    <t>과장</t>
    <phoneticPr fontId="3" type="noConversion"/>
  </si>
  <si>
    <t>관리과</t>
    <phoneticPr fontId="3" type="noConversion"/>
  </si>
  <si>
    <t>고수정</t>
    <phoneticPr fontId="3" type="noConversion"/>
  </si>
  <si>
    <t>도경민</t>
    <phoneticPr fontId="3" type="noConversion"/>
  </si>
  <si>
    <t>대리</t>
    <phoneticPr fontId="3" type="noConversion"/>
  </si>
  <si>
    <t>[표3]</t>
    <phoneticPr fontId="3" type="noConversion"/>
  </si>
  <si>
    <t>건물번호</t>
  </si>
  <si>
    <t>건물이름</t>
    <phoneticPr fontId="3" type="noConversion"/>
  </si>
  <si>
    <t>면적(㎡)</t>
    <phoneticPr fontId="3" type="noConversion"/>
  </si>
  <si>
    <t>월입대료</t>
    <phoneticPr fontId="3" type="noConversion"/>
  </si>
  <si>
    <t>임대시작일</t>
  </si>
  <si>
    <t>임대종료일</t>
  </si>
  <si>
    <t>중개수수료</t>
    <phoneticPr fontId="3" type="noConversion"/>
  </si>
  <si>
    <t>BD-004</t>
  </si>
  <si>
    <t>장수빌딩</t>
  </si>
  <si>
    <t>BD-002</t>
  </si>
  <si>
    <t>제주빌딩</t>
  </si>
  <si>
    <t>BD-015</t>
  </si>
  <si>
    <t>미래빌딩</t>
    <phoneticPr fontId="3" type="noConversion"/>
  </si>
  <si>
    <t>BD-003</t>
  </si>
  <si>
    <t>우리빌딩</t>
    <phoneticPr fontId="3" type="noConversion"/>
  </si>
  <si>
    <t>[표5]</t>
    <phoneticPr fontId="3" type="noConversion"/>
  </si>
  <si>
    <t xml:space="preserve"> 제품별 판매 현황</t>
  </si>
  <si>
    <t>단위:천원</t>
    <phoneticPr fontId="3" type="noConversion"/>
  </si>
  <si>
    <t>제품코드</t>
    <phoneticPr fontId="3" type="noConversion"/>
  </si>
  <si>
    <t>제품명</t>
    <phoneticPr fontId="3" type="noConversion"/>
  </si>
  <si>
    <t>등급</t>
    <phoneticPr fontId="3" type="noConversion"/>
  </si>
  <si>
    <t>판매량</t>
    <phoneticPr fontId="3" type="noConversion"/>
  </si>
  <si>
    <t>단가</t>
    <phoneticPr fontId="3" type="noConversion"/>
  </si>
  <si>
    <t>원가비율</t>
    <phoneticPr fontId="3" type="noConversion"/>
  </si>
  <si>
    <t>tv-a</t>
    <phoneticPr fontId="3" type="noConversion"/>
  </si>
  <si>
    <t>TV</t>
  </si>
  <si>
    <t>고급형</t>
    <phoneticPr fontId="3" type="noConversion"/>
  </si>
  <si>
    <t>tv-b</t>
    <phoneticPr fontId="3" type="noConversion"/>
  </si>
  <si>
    <t>중급형</t>
    <phoneticPr fontId="3" type="noConversion"/>
  </si>
  <si>
    <t>tv-c</t>
    <phoneticPr fontId="3" type="noConversion"/>
  </si>
  <si>
    <t>보급형</t>
    <phoneticPr fontId="3" type="noConversion"/>
  </si>
  <si>
    <t>vtr-b</t>
    <phoneticPr fontId="3" type="noConversion"/>
  </si>
  <si>
    <t>VTR</t>
  </si>
  <si>
    <t>AUD</t>
  </si>
  <si>
    <t>[표1]</t>
    <phoneticPr fontId="3" type="noConversion"/>
  </si>
  <si>
    <t>단위: 만</t>
    <phoneticPr fontId="3" type="noConversion"/>
  </si>
  <si>
    <t>&lt;조견표1&gt;</t>
    <phoneticPr fontId="3" type="noConversion"/>
  </si>
  <si>
    <t>&lt;조견표2&gt;</t>
    <phoneticPr fontId="3" type="noConversion"/>
  </si>
  <si>
    <t>고객사</t>
    <phoneticPr fontId="3" type="noConversion"/>
  </si>
  <si>
    <t>중량(KG)</t>
    <phoneticPr fontId="3" type="noConversion"/>
  </si>
  <si>
    <t>용적(CBM)</t>
    <phoneticPr fontId="3" type="noConversion"/>
  </si>
  <si>
    <t>운임</t>
    <phoneticPr fontId="3" type="noConversion"/>
  </si>
  <si>
    <t>중량</t>
    <phoneticPr fontId="3" type="noConversion"/>
  </si>
  <si>
    <t>단위요금</t>
    <phoneticPr fontId="3" type="noConversion"/>
  </si>
  <si>
    <t>용적</t>
    <phoneticPr fontId="3" type="noConversion"/>
  </si>
  <si>
    <t>건우교역</t>
    <phoneticPr fontId="3" type="noConversion"/>
  </si>
  <si>
    <t>고려종합</t>
    <phoneticPr fontId="3" type="noConversion"/>
  </si>
  <si>
    <t>SDC</t>
    <phoneticPr fontId="3" type="noConversion"/>
  </si>
  <si>
    <t>영원종합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</si>
  <si>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</si>
  <si>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성명</t>
    <phoneticPr fontId="3" type="noConversion"/>
  </si>
  <si>
    <t>총급여</t>
    <phoneticPr fontId="3" type="noConversion"/>
  </si>
  <si>
    <t>월불입액</t>
    <phoneticPr fontId="3" type="noConversion"/>
  </si>
  <si>
    <t>만기지급액</t>
    <phoneticPr fontId="3" type="noConversion"/>
  </si>
  <si>
    <t>고아라</t>
    <phoneticPr fontId="3" type="noConversion"/>
  </si>
  <si>
    <t>차장</t>
    <phoneticPr fontId="3" type="noConversion"/>
  </si>
  <si>
    <t>나영희</t>
    <phoneticPr fontId="3" type="noConversion"/>
  </si>
  <si>
    <t>과장</t>
    <phoneticPr fontId="3" type="noConversion"/>
  </si>
  <si>
    <t>박철수</t>
    <phoneticPr fontId="3" type="noConversion"/>
  </si>
  <si>
    <t>부장</t>
    <phoneticPr fontId="3" type="noConversion"/>
  </si>
  <si>
    <t>안도해</t>
    <phoneticPr fontId="3" type="noConversion"/>
  </si>
  <si>
    <t>김원중</t>
    <phoneticPr fontId="3" type="noConversion"/>
  </si>
  <si>
    <t>[표3]</t>
    <phoneticPr fontId="3" type="noConversion"/>
  </si>
  <si>
    <t>구분</t>
    <phoneticPr fontId="3" type="noConversion"/>
  </si>
  <si>
    <t>개설강좌</t>
    <phoneticPr fontId="3" type="noConversion"/>
  </si>
  <si>
    <t>초과강의</t>
    <phoneticPr fontId="3" type="noConversion"/>
  </si>
  <si>
    <t>학생지도</t>
    <phoneticPr fontId="3" type="noConversion"/>
  </si>
  <si>
    <t>수당</t>
    <phoneticPr fontId="3" type="noConversion"/>
  </si>
  <si>
    <t>[표4]</t>
    <phoneticPr fontId="3" type="noConversion"/>
  </si>
  <si>
    <t>학과</t>
    <phoneticPr fontId="3" type="noConversion"/>
  </si>
  <si>
    <t>직급</t>
    <phoneticPr fontId="3" type="noConversion"/>
  </si>
  <si>
    <t>기말수당</t>
    <phoneticPr fontId="3" type="noConversion"/>
  </si>
  <si>
    <t>비서학과</t>
    <phoneticPr fontId="3" type="noConversion"/>
  </si>
  <si>
    <t>부교수</t>
    <phoneticPr fontId="3" type="noConversion"/>
  </si>
  <si>
    <t>장기웅</t>
    <phoneticPr fontId="3" type="noConversion"/>
  </si>
  <si>
    <t>경영학과</t>
    <phoneticPr fontId="3" type="noConversion"/>
  </si>
  <si>
    <t>인정제</t>
    <phoneticPr fontId="3" type="noConversion"/>
  </si>
  <si>
    <t>경제학과</t>
    <phoneticPr fontId="3" type="noConversion"/>
  </si>
  <si>
    <t>조교수</t>
    <phoneticPr fontId="3" type="noConversion"/>
  </si>
  <si>
    <t>정태은</t>
    <phoneticPr fontId="3" type="noConversion"/>
  </si>
  <si>
    <t>무역학과</t>
    <phoneticPr fontId="3" type="noConversion"/>
  </si>
  <si>
    <t>신경국</t>
    <phoneticPr fontId="3" type="noConversion"/>
  </si>
  <si>
    <t>유봉선</t>
    <phoneticPr fontId="3" type="noConversion"/>
  </si>
  <si>
    <t>중급형</t>
    <phoneticPr fontId="3" type="noConversion"/>
  </si>
  <si>
    <t>vtr-b</t>
    <phoneticPr fontId="3" type="noConversion"/>
  </si>
  <si>
    <t>vtr-c</t>
    <phoneticPr fontId="3" type="noConversion"/>
  </si>
  <si>
    <t>보급형</t>
    <phoneticPr fontId="3" type="noConversion"/>
  </si>
  <si>
    <t>aud-a</t>
    <phoneticPr fontId="3" type="noConversion"/>
  </si>
  <si>
    <t>고급형</t>
    <phoneticPr fontId="3" type="noConversion"/>
  </si>
  <si>
    <t>aud-b</t>
    <phoneticPr fontId="3" type="noConversion"/>
  </si>
  <si>
    <t>중급형</t>
    <phoneticPr fontId="3" type="noConversion"/>
  </si>
  <si>
    <t>aud-c</t>
    <phoneticPr fontId="3" type="noConversion"/>
  </si>
  <si>
    <t>고급형 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</si>
</sst>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#,##0_ "/>
    <numFmt numFmtId="177" formatCode="dd\-mmm\-yy"/>
  </numFmts>
  <fonts count="10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</cellStyleXfs>
  <cellXfs count="47">
    <xf numFmtId="0" fontId="0" fillId="0" borderId="0" xfId="0">
      <alignment vertical="center"/>
    </xf>
    <xf numFmtId="41" fontId="5" fillId="0" borderId="1" xfId="2" applyFont="1" applyBorder="1"/>
    <xf numFmtId="0" fontId="5" fillId="0" borderId="1" xfId="2" applyNumberFormat="1" applyFont="1" applyBorder="1" applyAlignment="1">
      <alignment vertical="center"/>
    </xf>
    <xf numFmtId="1" fontId="5" fillId="0" borderId="1" xfId="2" applyNumberFormat="1" applyFont="1" applyBorder="1" applyAlignment="1">
      <alignment vertical="center"/>
    </xf>
    <xf numFmtId="0" fontId="5" fillId="0" borderId="1" xfId="2" applyNumberFormat="1" applyFont="1" applyBorder="1"/>
    <xf numFmtId="41" fontId="5" fillId="0" borderId="1" xfId="2" applyFont="1" applyBorder="1" applyAlignment="1">
      <alignment horizontal="right"/>
    </xf>
    <xf numFmtId="41" fontId="5" fillId="0" borderId="1" xfId="2" applyFont="1" applyBorder="1" applyAlignment="1">
      <alignment horizontal="center"/>
    </xf>
    <xf numFmtId="9" fontId="5" fillId="0" borderId="1" xfId="5" applyFont="1" applyBorder="1"/>
    <xf numFmtId="0" fontId="6" fillId="0" borderId="0" xfId="1" applyFont="1" applyFill="1"/>
    <xf numFmtId="0" fontId="6" fillId="0" borderId="0" xfId="1" applyFont="1" applyFill="1" applyAlignment="1">
      <alignment horizontal="right" vertical="center"/>
    </xf>
    <xf numFmtId="0" fontId="6" fillId="0" borderId="0" xfId="1" applyFont="1"/>
    <xf numFmtId="0" fontId="6" fillId="0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41" fontId="6" fillId="0" borderId="1" xfId="2" applyFont="1" applyFill="1" applyBorder="1" applyAlignment="1">
      <alignment horizontal="center" vertical="center"/>
    </xf>
    <xf numFmtId="0" fontId="6" fillId="0" borderId="1" xfId="1" applyFont="1" applyFill="1" applyBorder="1"/>
    <xf numFmtId="0" fontId="6" fillId="0" borderId="0" xfId="1" applyFont="1" applyAlignment="1">
      <alignment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" xfId="1" quotePrefix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76" fontId="6" fillId="0" borderId="1" xfId="1" applyNumberFormat="1" applyFont="1" applyBorder="1" applyAlignment="1">
      <alignment vertical="center"/>
    </xf>
    <xf numFmtId="41" fontId="6" fillId="0" borderId="1" xfId="2" applyFont="1" applyBorder="1" applyAlignment="1">
      <alignment horizontal="center" vertical="center"/>
    </xf>
    <xf numFmtId="0" fontId="6" fillId="0" borderId="0" xfId="1" applyFont="1" applyAlignment="1">
      <alignment horizontal="center"/>
    </xf>
    <xf numFmtId="0" fontId="6" fillId="0" borderId="1" xfId="1" applyFont="1" applyFill="1" applyBorder="1" applyAlignment="1">
      <alignment horizontal="center"/>
    </xf>
    <xf numFmtId="9" fontId="6" fillId="0" borderId="1" xfId="1" applyNumberFormat="1" applyFont="1" applyBorder="1" applyAlignment="1">
      <alignment horizontal="center" vertical="center"/>
    </xf>
    <xf numFmtId="0" fontId="6" fillId="0" borderId="1" xfId="1" applyFont="1" applyBorder="1"/>
    <xf numFmtId="10" fontId="6" fillId="0" borderId="1" xfId="1" applyNumberFormat="1" applyFont="1" applyBorder="1"/>
    <xf numFmtId="0" fontId="6" fillId="0" borderId="0" xfId="1" applyFont="1" applyBorder="1" applyAlignment="1">
      <alignment horizontal="center" vertical="center"/>
    </xf>
    <xf numFmtId="9" fontId="6" fillId="0" borderId="0" xfId="1" applyNumberFormat="1" applyFont="1" applyBorder="1" applyAlignment="1">
      <alignment horizontal="center" vertical="center"/>
    </xf>
    <xf numFmtId="2" fontId="6" fillId="0" borderId="0" xfId="1" applyNumberFormat="1" applyFont="1"/>
    <xf numFmtId="0" fontId="8" fillId="0" borderId="1" xfId="3" applyFont="1" applyFill="1" applyBorder="1" applyAlignment="1">
      <alignment horizontal="center"/>
    </xf>
    <xf numFmtId="0" fontId="8" fillId="0" borderId="1" xfId="4" applyFont="1" applyFill="1" applyBorder="1" applyAlignment="1">
      <alignment horizontal="center"/>
    </xf>
    <xf numFmtId="41" fontId="8" fillId="0" borderId="1" xfId="2" applyFont="1" applyFill="1" applyBorder="1" applyAlignment="1">
      <alignment horizontal="center"/>
    </xf>
    <xf numFmtId="0" fontId="9" fillId="2" borderId="1" xfId="4" applyFont="1" applyFill="1" applyBorder="1" applyAlignment="1">
      <alignment horizontal="center"/>
    </xf>
    <xf numFmtId="41" fontId="8" fillId="0" borderId="1" xfId="2" applyFont="1" applyFill="1" applyBorder="1" applyAlignment="1">
      <alignment horizontal="right"/>
    </xf>
    <xf numFmtId="0" fontId="8" fillId="0" borderId="1" xfId="3" applyNumberFormat="1" applyFont="1" applyFill="1" applyBorder="1" applyAlignment="1">
      <alignment horizontal="right"/>
    </xf>
    <xf numFmtId="177" fontId="8" fillId="0" borderId="1" xfId="4" applyNumberFormat="1" applyFont="1" applyFill="1" applyBorder="1" applyAlignment="1">
      <alignment horizontal="right" wrapText="1"/>
    </xf>
    <xf numFmtId="0" fontId="6" fillId="0" borderId="0" xfId="1" applyFont="1" applyAlignment="1">
      <alignment horizontal="left"/>
    </xf>
    <xf numFmtId="0" fontId="6" fillId="0" borderId="1" xfId="1" applyFont="1" applyBorder="1" applyAlignment="1">
      <alignment horizontal="center"/>
    </xf>
    <xf numFmtId="0" fontId="6" fillId="0" borderId="1" xfId="1" applyFont="1" applyBorder="1" applyAlignment="1">
      <alignment horizontal="left"/>
    </xf>
    <xf numFmtId="9" fontId="6" fillId="0" borderId="1" xfId="1" applyNumberFormat="1" applyFont="1" applyBorder="1"/>
    <xf numFmtId="0" fontId="6" fillId="0" borderId="2" xfId="1" applyFont="1" applyBorder="1" applyAlignment="1">
      <alignment horizontal="left"/>
    </xf>
    <xf numFmtId="0" fontId="6" fillId="0" borderId="2" xfId="1" applyFont="1" applyBorder="1" applyAlignment="1">
      <alignment horizontal="center"/>
    </xf>
    <xf numFmtId="0" fontId="7" fillId="2" borderId="3" xfId="1" applyFont="1" applyFill="1" applyBorder="1" applyAlignment="1">
      <alignment horizontal="center"/>
    </xf>
    <xf numFmtId="0" fontId="7" fillId="2" borderId="4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9" fontId="5" fillId="0" borderId="1" xfId="2" applyNumberFormat="1" applyFont="1" applyBorder="1" applyAlignment="1">
      <alignment horizontal="right"/>
    </xf>
  </cellXfs>
  <cellStyles count="6">
    <cellStyle name="백분율 2" xfId="5"/>
    <cellStyle name="쉼표 [0] 2" xfId="2"/>
    <cellStyle name="표준" xfId="0" builtinId="0"/>
    <cellStyle name="표준 2" xfId="1"/>
    <cellStyle name="표준_Sheet3" xfId="4"/>
    <cellStyle name="표준_건물임대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"/>
  <sheetViews>
    <sheetView workbookViewId="0">
      <selection activeCell="L25" sqref="A1:XFD1048576"/>
    </sheetView>
  </sheetViews>
  <sheetFormatPr defaultRowHeight="16.5"/>
  <cols>
    <col min="1" max="1" width="13.25" style="10" bestFit="1" customWidth="1"/>
    <col min="2" max="2" width="9" style="10"/>
    <col min="3" max="3" width="11.5" style="10" bestFit="1" customWidth="1"/>
    <col min="4" max="4" width="9.75" style="10" bestFit="1" customWidth="1"/>
    <col min="5" max="5" width="11.75" style="10" bestFit="1" customWidth="1"/>
    <col min="6" max="6" width="10.75" style="10" bestFit="1" customWidth="1"/>
    <col min="7" max="7" width="13" style="10" bestFit="1" customWidth="1"/>
    <col min="8" max="8" width="2" style="10" customWidth="1"/>
    <col min="9" max="9" width="10.75" style="10" bestFit="1" customWidth="1"/>
    <col min="10" max="10" width="9.25" style="10" bestFit="1" customWidth="1"/>
    <col min="11" max="16384" width="9" style="10"/>
  </cols>
  <sheetData>
    <row r="1" spans="1:11">
      <c r="A1" s="8" t="s">
        <v>68</v>
      </c>
      <c r="B1" s="8"/>
      <c r="C1" s="8"/>
      <c r="D1" s="9" t="s">
        <v>69</v>
      </c>
      <c r="E1" s="8"/>
      <c r="F1" s="8" t="s">
        <v>70</v>
      </c>
      <c r="G1" s="8"/>
      <c r="H1" s="8"/>
      <c r="I1" s="8" t="s">
        <v>71</v>
      </c>
      <c r="J1" s="8"/>
    </row>
    <row r="2" spans="1:11">
      <c r="A2" s="11" t="s">
        <v>72</v>
      </c>
      <c r="B2" s="11" t="s">
        <v>73</v>
      </c>
      <c r="C2" s="11" t="s">
        <v>74</v>
      </c>
      <c r="D2" s="12" t="s">
        <v>75</v>
      </c>
      <c r="E2" s="8"/>
      <c r="F2" s="11" t="s">
        <v>76</v>
      </c>
      <c r="G2" s="11" t="s">
        <v>77</v>
      </c>
      <c r="H2" s="13"/>
      <c r="I2" s="11" t="s">
        <v>78</v>
      </c>
      <c r="J2" s="11" t="s">
        <v>77</v>
      </c>
    </row>
    <row r="3" spans="1:11">
      <c r="A3" s="14" t="s">
        <v>79</v>
      </c>
      <c r="B3" s="11">
        <v>25</v>
      </c>
      <c r="C3" s="11">
        <v>80</v>
      </c>
      <c r="D3" s="15">
        <f>MAX(VLOOKUP(B3, $F$3:$G$6, 2, TRUE) * B3, VLOOKUP(C3, $I$3:$J$6, 2, TRUE) * C3)</f>
        <v>400</v>
      </c>
      <c r="E3" s="8"/>
      <c r="F3" s="15">
        <v>0</v>
      </c>
      <c r="G3" s="15">
        <v>10</v>
      </c>
      <c r="H3" s="8"/>
      <c r="I3" s="15">
        <v>0</v>
      </c>
      <c r="J3" s="15">
        <v>5</v>
      </c>
    </row>
    <row r="4" spans="1:11">
      <c r="A4" s="14" t="s">
        <v>0</v>
      </c>
      <c r="B4" s="11">
        <v>26</v>
      </c>
      <c r="C4" s="11">
        <v>65</v>
      </c>
      <c r="D4" s="15">
        <f t="shared" ref="D4:D9" si="0">MAX(VLOOKUP(B4, $F$3:$G$6, 2, TRUE) * B4, VLOOKUP(C4, $I$3:$J$6, 2, TRUE) * C4)</f>
        <v>325</v>
      </c>
      <c r="E4" s="8"/>
      <c r="F4" s="15">
        <v>50</v>
      </c>
      <c r="G4" s="15">
        <v>9</v>
      </c>
      <c r="H4" s="8"/>
      <c r="I4" s="15">
        <v>100</v>
      </c>
      <c r="J4" s="15">
        <v>4</v>
      </c>
    </row>
    <row r="5" spans="1:11">
      <c r="A5" s="14" t="s">
        <v>1</v>
      </c>
      <c r="B5" s="11">
        <v>120</v>
      </c>
      <c r="C5" s="11">
        <v>45</v>
      </c>
      <c r="D5" s="15">
        <f t="shared" si="0"/>
        <v>1080</v>
      </c>
      <c r="E5" s="8"/>
      <c r="F5" s="15">
        <v>150</v>
      </c>
      <c r="G5" s="15">
        <v>8</v>
      </c>
      <c r="H5" s="8"/>
      <c r="I5" s="15">
        <v>200</v>
      </c>
      <c r="J5" s="15">
        <v>3</v>
      </c>
    </row>
    <row r="6" spans="1:11">
      <c r="A6" s="14" t="s">
        <v>2</v>
      </c>
      <c r="B6" s="11">
        <v>56</v>
      </c>
      <c r="C6" s="11">
        <v>77</v>
      </c>
      <c r="D6" s="15">
        <f t="shared" si="0"/>
        <v>504</v>
      </c>
      <c r="E6" s="8"/>
      <c r="F6" s="15">
        <v>300</v>
      </c>
      <c r="G6" s="15">
        <v>7</v>
      </c>
      <c r="H6" s="8"/>
      <c r="I6" s="15">
        <v>350</v>
      </c>
      <c r="J6" s="15">
        <v>3.5</v>
      </c>
    </row>
    <row r="7" spans="1:11">
      <c r="A7" s="14" t="s">
        <v>80</v>
      </c>
      <c r="B7" s="11">
        <v>23</v>
      </c>
      <c r="C7" s="11">
        <v>39</v>
      </c>
      <c r="D7" s="15">
        <f t="shared" si="0"/>
        <v>230</v>
      </c>
      <c r="E7" s="8"/>
      <c r="F7" s="8"/>
      <c r="G7" s="8"/>
      <c r="H7" s="8"/>
      <c r="I7" s="8"/>
      <c r="J7" s="8"/>
    </row>
    <row r="8" spans="1:11">
      <c r="A8" s="11" t="s">
        <v>81</v>
      </c>
      <c r="B8" s="11">
        <v>44</v>
      </c>
      <c r="C8" s="11">
        <v>108</v>
      </c>
      <c r="D8" s="15">
        <f t="shared" si="0"/>
        <v>440</v>
      </c>
      <c r="E8" s="8"/>
      <c r="F8" s="8"/>
      <c r="G8" s="8"/>
      <c r="H8" s="8"/>
      <c r="I8" s="8"/>
      <c r="J8" s="8"/>
    </row>
    <row r="9" spans="1:11">
      <c r="A9" s="11" t="s">
        <v>82</v>
      </c>
      <c r="B9" s="11">
        <v>35</v>
      </c>
      <c r="C9" s="11">
        <v>120</v>
      </c>
      <c r="D9" s="15">
        <f t="shared" si="0"/>
        <v>480</v>
      </c>
      <c r="E9" s="8"/>
      <c r="F9" s="8"/>
      <c r="G9" s="8"/>
      <c r="H9" s="8"/>
      <c r="I9" s="8"/>
      <c r="J9" s="8"/>
    </row>
    <row r="11" spans="1:11">
      <c r="A11" s="16" t="s">
        <v>83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17" t="s">
        <v>84</v>
      </c>
      <c r="B12" s="18" t="s">
        <v>3</v>
      </c>
      <c r="C12" s="11" t="s">
        <v>85</v>
      </c>
      <c r="D12" s="19" t="s">
        <v>86</v>
      </c>
      <c r="E12" s="12" t="s">
        <v>87</v>
      </c>
    </row>
    <row r="13" spans="1:11">
      <c r="A13" s="17" t="s">
        <v>88</v>
      </c>
      <c r="B13" s="17" t="s">
        <v>89</v>
      </c>
      <c r="C13" s="20">
        <v>2800500</v>
      </c>
      <c r="D13" s="20">
        <v>112000</v>
      </c>
      <c r="E13" s="20">
        <f>ROUNDUP(FV(0.04/12,60,-D13,0,1),-2)</f>
        <v>7450300</v>
      </c>
    </row>
    <row r="14" spans="1:11">
      <c r="A14" s="17" t="s">
        <v>90</v>
      </c>
      <c r="B14" s="17" t="s">
        <v>91</v>
      </c>
      <c r="C14" s="20">
        <v>2709000</v>
      </c>
      <c r="D14" s="20">
        <v>81300</v>
      </c>
      <c r="E14" s="20">
        <f>ROUNDUP(FV(0.04/12,60,-D14,0,1),-2)</f>
        <v>5408100</v>
      </c>
    </row>
    <row r="15" spans="1:11">
      <c r="A15" s="17" t="s">
        <v>92</v>
      </c>
      <c r="B15" s="17" t="s">
        <v>93</v>
      </c>
      <c r="C15" s="20">
        <v>2839500</v>
      </c>
      <c r="D15" s="20">
        <v>113600</v>
      </c>
      <c r="E15" s="20">
        <f>ROUNDUP(FV(0.04/12,60,-D15,0,1),-2)</f>
        <v>7556700</v>
      </c>
    </row>
    <row r="16" spans="1:11">
      <c r="A16" s="17" t="s">
        <v>94</v>
      </c>
      <c r="B16" s="17" t="s">
        <v>89</v>
      </c>
      <c r="C16" s="20">
        <v>2800400</v>
      </c>
      <c r="D16" s="20">
        <v>112000</v>
      </c>
      <c r="E16" s="20">
        <f>ROUNDUP(FV(0.04/12,60,-D16,0,1),-2)</f>
        <v>7450300</v>
      </c>
    </row>
    <row r="17" spans="1:7">
      <c r="A17" s="17" t="s">
        <v>95</v>
      </c>
      <c r="B17" s="18" t="s">
        <v>4</v>
      </c>
      <c r="C17" s="20">
        <v>2310000</v>
      </c>
      <c r="D17" s="20">
        <v>69300</v>
      </c>
      <c r="E17" s="20">
        <f>ROUNDUP(FV(0.04/12,60,-D17,0,1),-2)</f>
        <v>4609900</v>
      </c>
    </row>
    <row r="19" spans="1:7">
      <c r="A19" s="10" t="s">
        <v>96</v>
      </c>
    </row>
    <row r="20" spans="1:7">
      <c r="A20" s="19" t="s">
        <v>97</v>
      </c>
      <c r="B20" s="19" t="s">
        <v>98</v>
      </c>
      <c r="C20" s="19" t="s">
        <v>99</v>
      </c>
      <c r="D20" s="19" t="s">
        <v>100</v>
      </c>
    </row>
    <row r="21" spans="1:7">
      <c r="A21" s="19" t="s">
        <v>101</v>
      </c>
      <c r="B21" s="21">
        <v>10000</v>
      </c>
      <c r="C21" s="21">
        <v>15000</v>
      </c>
      <c r="D21" s="21">
        <v>5000</v>
      </c>
    </row>
    <row r="23" spans="1:7">
      <c r="A23" s="10" t="s">
        <v>102</v>
      </c>
    </row>
    <row r="24" spans="1:7">
      <c r="A24" s="19" t="s">
        <v>103</v>
      </c>
      <c r="B24" s="19" t="s">
        <v>104</v>
      </c>
      <c r="C24" s="19" t="s">
        <v>84</v>
      </c>
      <c r="D24" s="19" t="s">
        <v>98</v>
      </c>
      <c r="E24" s="19" t="s">
        <v>99</v>
      </c>
      <c r="F24" s="19" t="s">
        <v>100</v>
      </c>
      <c r="G24" s="12" t="s">
        <v>105</v>
      </c>
    </row>
    <row r="25" spans="1:7">
      <c r="A25" s="19" t="s">
        <v>106</v>
      </c>
      <c r="B25" s="19" t="s">
        <v>107</v>
      </c>
      <c r="C25" s="19" t="s">
        <v>108</v>
      </c>
      <c r="D25" s="21">
        <v>3</v>
      </c>
      <c r="E25" s="21">
        <v>0</v>
      </c>
      <c r="F25" s="19">
        <v>300</v>
      </c>
      <c r="G25" s="21">
        <f>SUMPRODUCT(D25:F25,$B$21:$D$21)</f>
        <v>1530000</v>
      </c>
    </row>
    <row r="26" spans="1:7">
      <c r="A26" s="19" t="s">
        <v>109</v>
      </c>
      <c r="B26" s="19" t="s">
        <v>107</v>
      </c>
      <c r="C26" s="19" t="s">
        <v>110</v>
      </c>
      <c r="D26" s="21">
        <v>3</v>
      </c>
      <c r="E26" s="21">
        <v>5</v>
      </c>
      <c r="F26" s="19">
        <v>270</v>
      </c>
      <c r="G26" s="21">
        <f t="shared" ref="G26:G29" si="1">SUMPRODUCT(D26:F26,$B$21:$D$21)</f>
        <v>1455000</v>
      </c>
    </row>
    <row r="27" spans="1:7">
      <c r="A27" s="19" t="s">
        <v>111</v>
      </c>
      <c r="B27" s="19" t="s">
        <v>112</v>
      </c>
      <c r="C27" s="19" t="s">
        <v>113</v>
      </c>
      <c r="D27" s="21">
        <v>3</v>
      </c>
      <c r="E27" s="21">
        <v>2</v>
      </c>
      <c r="F27" s="19">
        <v>270</v>
      </c>
      <c r="G27" s="21">
        <f t="shared" si="1"/>
        <v>1410000</v>
      </c>
    </row>
    <row r="28" spans="1:7">
      <c r="A28" s="19" t="s">
        <v>114</v>
      </c>
      <c r="B28" s="19" t="s">
        <v>112</v>
      </c>
      <c r="C28" s="19" t="s">
        <v>115</v>
      </c>
      <c r="D28" s="21">
        <v>3</v>
      </c>
      <c r="E28" s="21">
        <v>1</v>
      </c>
      <c r="F28" s="19">
        <v>320</v>
      </c>
      <c r="G28" s="21">
        <f t="shared" si="1"/>
        <v>1645000</v>
      </c>
    </row>
    <row r="29" spans="1:7">
      <c r="A29" s="19" t="s">
        <v>109</v>
      </c>
      <c r="B29" s="19" t="s">
        <v>112</v>
      </c>
      <c r="C29" s="19" t="s">
        <v>116</v>
      </c>
      <c r="D29" s="21">
        <v>4</v>
      </c>
      <c r="E29" s="21">
        <v>1</v>
      </c>
      <c r="F29" s="19">
        <v>160</v>
      </c>
      <c r="G29" s="21">
        <f t="shared" si="1"/>
        <v>855000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"/>
  <sheetViews>
    <sheetView tabSelected="1" topLeftCell="A8" workbookViewId="0">
      <selection activeCell="H26" sqref="H26"/>
    </sheetView>
  </sheetViews>
  <sheetFormatPr defaultRowHeight="13.5" customHeight="1"/>
  <cols>
    <col min="1" max="1" width="9.25" style="10" bestFit="1" customWidth="1"/>
    <col min="2" max="2" width="10.5" style="10" customWidth="1"/>
    <col min="3" max="3" width="13.25" style="10" customWidth="1"/>
    <col min="4" max="4" width="9.5" style="10" customWidth="1"/>
    <col min="5" max="5" width="13" style="10" bestFit="1" customWidth="1"/>
    <col min="6" max="6" width="11.5" style="10" bestFit="1" customWidth="1"/>
    <col min="7" max="7" width="14.5" style="10" customWidth="1"/>
    <col min="8" max="8" width="11.75" style="10" bestFit="1" customWidth="1"/>
    <col min="9" max="9" width="8.5" style="10" bestFit="1" customWidth="1"/>
    <col min="10" max="10" width="11.125" style="10" bestFit="1" customWidth="1"/>
    <col min="11" max="11" width="11.125" style="22" bestFit="1" customWidth="1"/>
    <col min="12" max="12" width="6.375" style="10" bestFit="1" customWidth="1"/>
    <col min="13" max="16384" width="9" style="10"/>
  </cols>
  <sheetData>
    <row r="1" spans="1:11" ht="16.5">
      <c r="A1" s="10" t="s">
        <v>5</v>
      </c>
      <c r="G1" s="41" t="s">
        <v>6</v>
      </c>
      <c r="H1" s="41"/>
      <c r="I1" s="41"/>
    </row>
    <row r="2" spans="1:11" ht="16.5">
      <c r="A2" s="19" t="s">
        <v>7</v>
      </c>
      <c r="B2" s="19" t="s">
        <v>8</v>
      </c>
      <c r="C2" s="19" t="s">
        <v>9</v>
      </c>
      <c r="D2" s="19" t="s">
        <v>10</v>
      </c>
      <c r="E2" s="19" t="s">
        <v>11</v>
      </c>
      <c r="G2" s="23" t="s">
        <v>12</v>
      </c>
      <c r="H2" s="23" t="s">
        <v>13</v>
      </c>
      <c r="I2" s="23" t="s">
        <v>14</v>
      </c>
    </row>
    <row r="3" spans="1:11" ht="16.5">
      <c r="A3" s="19" t="s">
        <v>15</v>
      </c>
      <c r="B3" s="24">
        <v>0.1</v>
      </c>
      <c r="C3" s="24">
        <v>0.2</v>
      </c>
      <c r="D3" s="24">
        <v>0.3</v>
      </c>
      <c r="E3" s="24">
        <v>0.4</v>
      </c>
      <c r="G3" s="25">
        <v>0</v>
      </c>
      <c r="H3" s="26">
        <v>5.0000000000000001E-3</v>
      </c>
      <c r="I3" s="25">
        <v>200000</v>
      </c>
    </row>
    <row r="4" spans="1:11" ht="16.5">
      <c r="A4" s="27"/>
      <c r="B4" s="28"/>
      <c r="C4" s="28"/>
      <c r="D4" s="28"/>
      <c r="E4" s="28"/>
      <c r="G4" s="1">
        <v>50000000</v>
      </c>
      <c r="H4" s="26">
        <v>4.0000000000000001E-3</v>
      </c>
      <c r="I4" s="25">
        <v>300000</v>
      </c>
    </row>
    <row r="5" spans="1:11" ht="16.5">
      <c r="G5" s="1">
        <v>100000000</v>
      </c>
      <c r="H5" s="26">
        <v>3.0000000000000001E-3</v>
      </c>
      <c r="I5" s="25">
        <v>500000</v>
      </c>
    </row>
    <row r="6" spans="1:11" ht="16.5">
      <c r="A6" s="10" t="s">
        <v>16</v>
      </c>
      <c r="B6" s="10" t="s">
        <v>17</v>
      </c>
    </row>
    <row r="7" spans="1:11" ht="16.5">
      <c r="A7" s="19" t="s">
        <v>18</v>
      </c>
      <c r="B7" s="19" t="s">
        <v>19</v>
      </c>
      <c r="C7" s="19" t="s">
        <v>20</v>
      </c>
      <c r="D7" s="19" t="s">
        <v>8</v>
      </c>
      <c r="E7" s="19" t="s">
        <v>9</v>
      </c>
      <c r="F7" s="19" t="s">
        <v>10</v>
      </c>
      <c r="G7" s="19" t="s">
        <v>11</v>
      </c>
      <c r="H7" s="12" t="s">
        <v>21</v>
      </c>
    </row>
    <row r="8" spans="1:11" ht="16.5">
      <c r="A8" s="19" t="s">
        <v>22</v>
      </c>
      <c r="B8" s="19" t="s">
        <v>23</v>
      </c>
      <c r="C8" s="19" t="s">
        <v>24</v>
      </c>
      <c r="D8" s="2">
        <v>85</v>
      </c>
      <c r="E8" s="2">
        <v>60</v>
      </c>
      <c r="F8" s="2">
        <v>85</v>
      </c>
      <c r="G8" s="2">
        <v>85</v>
      </c>
      <c r="H8" s="3">
        <f>ROUND(SUMPRODUCT(D8:G8,$B$3:$E$3), 0)</f>
        <v>80</v>
      </c>
      <c r="I8" s="29"/>
    </row>
    <row r="9" spans="1:11" ht="16.5">
      <c r="A9" s="19" t="s">
        <v>25</v>
      </c>
      <c r="B9" s="19" t="s">
        <v>26</v>
      </c>
      <c r="C9" s="19" t="s">
        <v>24</v>
      </c>
      <c r="D9" s="2">
        <v>90</v>
      </c>
      <c r="E9" s="2">
        <v>93</v>
      </c>
      <c r="F9" s="2">
        <v>71</v>
      </c>
      <c r="G9" s="2">
        <v>90</v>
      </c>
      <c r="H9" s="3">
        <f>ROUND(SUMPRODUCT(D9:G9,$B$3:$E$3),0)</f>
        <v>85</v>
      </c>
    </row>
    <row r="10" spans="1:11" ht="16.5">
      <c r="A10" s="19" t="s">
        <v>22</v>
      </c>
      <c r="B10" s="19" t="s">
        <v>27</v>
      </c>
      <c r="C10" s="19" t="s">
        <v>28</v>
      </c>
      <c r="D10" s="2">
        <v>75</v>
      </c>
      <c r="E10" s="2">
        <v>80</v>
      </c>
      <c r="F10" s="2">
        <v>71</v>
      </c>
      <c r="G10" s="2">
        <v>60</v>
      </c>
      <c r="H10" s="3">
        <f t="shared" ref="H9:H12" si="0">ROUND(SUMPRODUCT(D10:G10,$B$3:$E$3), 0)</f>
        <v>69</v>
      </c>
    </row>
    <row r="11" spans="1:11" ht="16.5">
      <c r="A11" s="19" t="s">
        <v>29</v>
      </c>
      <c r="B11" s="19" t="s">
        <v>30</v>
      </c>
      <c r="C11" s="19" t="s">
        <v>28</v>
      </c>
      <c r="D11" s="2">
        <v>85</v>
      </c>
      <c r="E11" s="2">
        <v>82</v>
      </c>
      <c r="F11" s="2">
        <v>63</v>
      </c>
      <c r="G11" s="2">
        <v>90</v>
      </c>
      <c r="H11" s="3">
        <f t="shared" si="0"/>
        <v>80</v>
      </c>
    </row>
    <row r="12" spans="1:11" ht="16.5">
      <c r="A12" s="19" t="s">
        <v>25</v>
      </c>
      <c r="B12" s="19" t="s">
        <v>31</v>
      </c>
      <c r="C12" s="19" t="s">
        <v>32</v>
      </c>
      <c r="D12" s="2">
        <v>89</v>
      </c>
      <c r="E12" s="2">
        <v>79</v>
      </c>
      <c r="F12" s="2">
        <v>91</v>
      </c>
      <c r="G12" s="2">
        <v>93</v>
      </c>
      <c r="H12" s="3">
        <f t="shared" si="0"/>
        <v>89</v>
      </c>
    </row>
    <row r="13" spans="1:11" ht="16.5">
      <c r="K13" s="10"/>
    </row>
    <row r="14" spans="1:11" ht="16.5">
      <c r="A14" s="10" t="s">
        <v>33</v>
      </c>
      <c r="K14" s="10"/>
    </row>
    <row r="15" spans="1:11" ht="16.5">
      <c r="A15" s="30" t="s">
        <v>34</v>
      </c>
      <c r="B15" s="30" t="s">
        <v>35</v>
      </c>
      <c r="C15" s="31" t="s">
        <v>12</v>
      </c>
      <c r="D15" s="30" t="s">
        <v>36</v>
      </c>
      <c r="E15" s="32" t="s">
        <v>37</v>
      </c>
      <c r="F15" s="31" t="s">
        <v>38</v>
      </c>
      <c r="G15" s="31" t="s">
        <v>39</v>
      </c>
      <c r="H15" s="33" t="s">
        <v>40</v>
      </c>
      <c r="K15" s="10"/>
    </row>
    <row r="16" spans="1:11" ht="16.5">
      <c r="A16" s="30" t="s">
        <v>41</v>
      </c>
      <c r="B16" s="30" t="s">
        <v>42</v>
      </c>
      <c r="C16" s="34">
        <v>25000000</v>
      </c>
      <c r="D16" s="35">
        <v>398</v>
      </c>
      <c r="E16" s="34">
        <v>770000</v>
      </c>
      <c r="F16" s="36">
        <v>42239</v>
      </c>
      <c r="G16" s="36">
        <v>42605</v>
      </c>
      <c r="H16" s="4">
        <f>MIN(VLOOKUP(C16, $G$3:$I$5, 2, TRUE) * C16, VLOOKUP(C16, $G$3:$I$5, 3, TRUE))</f>
        <v>125000</v>
      </c>
      <c r="K16" s="10"/>
    </row>
    <row r="17" spans="1:11" ht="16.5">
      <c r="A17" s="30" t="s">
        <v>43</v>
      </c>
      <c r="B17" s="30" t="s">
        <v>44</v>
      </c>
      <c r="C17" s="34">
        <v>80000000</v>
      </c>
      <c r="D17" s="35">
        <v>107.6</v>
      </c>
      <c r="E17" s="34">
        <v>550000</v>
      </c>
      <c r="F17" s="36">
        <v>41568</v>
      </c>
      <c r="G17" s="36">
        <v>42664</v>
      </c>
      <c r="H17" s="4">
        <f t="shared" ref="H17:H20" si="1">MIN(VLOOKUP(C17, $G$3:$I$5, 2, TRUE) * C17, VLOOKUP(C17, $G$3:$I$5, 3, TRUE))</f>
        <v>300000</v>
      </c>
      <c r="K17" s="10"/>
    </row>
    <row r="18" spans="1:11" ht="16.5">
      <c r="A18" s="30" t="s">
        <v>45</v>
      </c>
      <c r="B18" s="30" t="s">
        <v>46</v>
      </c>
      <c r="C18" s="34">
        <v>30000000</v>
      </c>
      <c r="D18" s="35">
        <v>134</v>
      </c>
      <c r="E18" s="34">
        <v>495000</v>
      </c>
      <c r="F18" s="36">
        <v>42369</v>
      </c>
      <c r="G18" s="36">
        <v>42735</v>
      </c>
      <c r="H18" s="4">
        <f t="shared" si="1"/>
        <v>150000</v>
      </c>
      <c r="K18" s="10"/>
    </row>
    <row r="19" spans="1:11" ht="16.5">
      <c r="A19" s="30" t="s">
        <v>47</v>
      </c>
      <c r="B19" s="30" t="s">
        <v>48</v>
      </c>
      <c r="C19" s="34">
        <v>25000000</v>
      </c>
      <c r="D19" s="35">
        <v>84.5</v>
      </c>
      <c r="E19" s="34">
        <v>450000</v>
      </c>
      <c r="F19" s="36">
        <v>41821</v>
      </c>
      <c r="G19" s="36">
        <v>42917</v>
      </c>
      <c r="H19" s="4">
        <f t="shared" si="1"/>
        <v>125000</v>
      </c>
      <c r="K19" s="10"/>
    </row>
    <row r="20" spans="1:11" ht="16.5">
      <c r="A20" s="30" t="s">
        <v>43</v>
      </c>
      <c r="B20" s="30" t="s">
        <v>44</v>
      </c>
      <c r="C20" s="34">
        <v>10000000</v>
      </c>
      <c r="D20" s="35">
        <v>101</v>
      </c>
      <c r="E20" s="34">
        <v>1650000</v>
      </c>
      <c r="F20" s="36">
        <v>42606</v>
      </c>
      <c r="G20" s="36">
        <v>42971</v>
      </c>
      <c r="H20" s="4">
        <f t="shared" si="1"/>
        <v>50000</v>
      </c>
      <c r="K20" s="10"/>
    </row>
    <row r="21" spans="1:11" ht="16.5">
      <c r="K21" s="10"/>
    </row>
    <row r="22" spans="1:11" ht="16.5">
      <c r="A22" s="37" t="s">
        <v>49</v>
      </c>
      <c r="B22" s="22"/>
      <c r="C22" s="22"/>
      <c r="D22" s="22"/>
      <c r="E22" s="22"/>
      <c r="F22" s="22"/>
      <c r="K22" s="10"/>
    </row>
    <row r="23" spans="1:11" ht="16.5">
      <c r="A23" s="42" t="s">
        <v>50</v>
      </c>
      <c r="B23" s="42"/>
      <c r="C23" s="42"/>
      <c r="D23" s="42"/>
      <c r="E23" s="42"/>
      <c r="F23" s="10" t="s">
        <v>51</v>
      </c>
      <c r="K23" s="10"/>
    </row>
    <row r="24" spans="1:11" ht="16.5">
      <c r="A24" s="38" t="s">
        <v>52</v>
      </c>
      <c r="B24" s="23" t="s">
        <v>53</v>
      </c>
      <c r="C24" s="38" t="s">
        <v>54</v>
      </c>
      <c r="D24" s="38" t="s">
        <v>55</v>
      </c>
      <c r="E24" s="38" t="s">
        <v>56</v>
      </c>
      <c r="F24" s="38" t="s">
        <v>57</v>
      </c>
      <c r="K24" s="10"/>
    </row>
    <row r="25" spans="1:11" ht="16.5">
      <c r="A25" s="39" t="s">
        <v>58</v>
      </c>
      <c r="B25" s="38" t="s">
        <v>59</v>
      </c>
      <c r="C25" s="38" t="s">
        <v>60</v>
      </c>
      <c r="D25" s="5">
        <v>35</v>
      </c>
      <c r="E25" s="6">
        <v>1200</v>
      </c>
      <c r="F25" s="40">
        <v>0.7</v>
      </c>
      <c r="K25" s="10"/>
    </row>
    <row r="26" spans="1:11" ht="16.5">
      <c r="A26" s="39" t="s">
        <v>61</v>
      </c>
      <c r="B26" s="38" t="s">
        <v>59</v>
      </c>
      <c r="C26" s="38" t="s">
        <v>62</v>
      </c>
      <c r="D26" s="5">
        <v>60</v>
      </c>
      <c r="E26" s="6">
        <v>800</v>
      </c>
      <c r="F26" s="40">
        <v>0.6</v>
      </c>
      <c r="K26" s="10"/>
    </row>
    <row r="27" spans="1:11" ht="16.5">
      <c r="A27" s="39" t="s">
        <v>63</v>
      </c>
      <c r="B27" s="38" t="s">
        <v>59</v>
      </c>
      <c r="C27" s="38" t="s">
        <v>64</v>
      </c>
      <c r="D27" s="5">
        <v>120</v>
      </c>
      <c r="E27" s="6">
        <v>600</v>
      </c>
      <c r="F27" s="40">
        <v>0.55000000000000004</v>
      </c>
    </row>
    <row r="28" spans="1:11" ht="16.5">
      <c r="A28" s="39" t="s">
        <v>65</v>
      </c>
      <c r="B28" s="38" t="s">
        <v>66</v>
      </c>
      <c r="C28" s="38" t="s">
        <v>117</v>
      </c>
      <c r="D28" s="5">
        <v>10</v>
      </c>
      <c r="E28" s="6">
        <v>800</v>
      </c>
      <c r="F28" s="40">
        <v>0.7</v>
      </c>
    </row>
    <row r="29" spans="1:11" ht="16.5">
      <c r="A29" s="39" t="s">
        <v>118</v>
      </c>
      <c r="B29" s="38" t="s">
        <v>66</v>
      </c>
      <c r="C29" s="38" t="s">
        <v>117</v>
      </c>
      <c r="D29" s="5">
        <v>34</v>
      </c>
      <c r="E29" s="6">
        <v>1200</v>
      </c>
      <c r="F29" s="40">
        <v>0.6</v>
      </c>
    </row>
    <row r="30" spans="1:11" ht="16.5">
      <c r="A30" s="39" t="s">
        <v>119</v>
      </c>
      <c r="B30" s="38" t="s">
        <v>66</v>
      </c>
      <c r="C30" s="38" t="s">
        <v>120</v>
      </c>
      <c r="D30" s="5">
        <v>60</v>
      </c>
      <c r="E30" s="6">
        <v>800</v>
      </c>
      <c r="F30" s="40">
        <v>0.55000000000000004</v>
      </c>
    </row>
    <row r="31" spans="1:11" ht="16.5">
      <c r="A31" s="39" t="s">
        <v>121</v>
      </c>
      <c r="B31" s="38" t="s">
        <v>67</v>
      </c>
      <c r="C31" s="38" t="s">
        <v>122</v>
      </c>
      <c r="D31" s="5">
        <v>25</v>
      </c>
      <c r="E31" s="6">
        <v>600</v>
      </c>
      <c r="F31" s="40">
        <v>0.7</v>
      </c>
    </row>
    <row r="32" spans="1:11" ht="16.5">
      <c r="A32" s="39" t="s">
        <v>123</v>
      </c>
      <c r="B32" s="38" t="s">
        <v>67</v>
      </c>
      <c r="C32" s="38" t="s">
        <v>124</v>
      </c>
      <c r="D32" s="5">
        <v>54</v>
      </c>
      <c r="E32" s="6">
        <v>800</v>
      </c>
      <c r="F32" s="40">
        <v>0.6</v>
      </c>
    </row>
    <row r="33" spans="1:6" ht="16.5">
      <c r="A33" s="39" t="s">
        <v>125</v>
      </c>
      <c r="B33" s="38" t="s">
        <v>67</v>
      </c>
      <c r="C33" s="38" t="s">
        <v>122</v>
      </c>
      <c r="D33" s="5">
        <v>110</v>
      </c>
      <c r="E33" s="6">
        <v>500</v>
      </c>
      <c r="F33" s="7">
        <v>0.55000000000000004</v>
      </c>
    </row>
    <row r="34" spans="1:6" ht="16.5">
      <c r="A34" s="43" t="s">
        <v>126</v>
      </c>
      <c r="B34" s="44"/>
      <c r="C34" s="45"/>
      <c r="D34" s="5">
        <f>SUMIF($C$25:$C$33,"고급형",D25:D33) / COUNTIF($C$25:$C$33,"고급형")</f>
        <v>56.666666666666664</v>
      </c>
      <c r="E34" s="5">
        <f>SUMIF($C$25:$C$33,"고급형",E25:E33) / COUNTIF($C$25:$C$33,"고급형")</f>
        <v>766.66666666666663</v>
      </c>
      <c r="F34" s="46">
        <f>SUMIF($C$25:$C$33,"고급형",F25:F33) / COUNTIF($C$25:$C$33,"고급형")</f>
        <v>0.65</v>
      </c>
    </row>
  </sheetData>
  <mergeCells count="3">
    <mergeCell ref="G1:I1"/>
    <mergeCell ref="A23:E23"/>
    <mergeCell ref="A34:C34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2011-06-14T06:54:20Z</dcterms:created>
  <dcterms:modified xsi:type="dcterms:W3CDTF">2019-12-16T12:51:15Z</dcterms:modified>
</cp:coreProperties>
</file>