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720" yWindow="315" windowWidth="17955" windowHeight="11565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E26" i="5" l="1"/>
  <c r="D26" i="5"/>
  <c r="E24" i="5"/>
  <c r="D24" i="5"/>
  <c r="E15" i="5"/>
  <c r="D15" i="5"/>
  <c r="E8" i="5"/>
  <c r="E27" i="5" s="1"/>
  <c r="D8" i="5"/>
  <c r="D27" i="5"/>
  <c r="E25" i="5"/>
  <c r="D25" i="5"/>
  <c r="E16" i="5"/>
  <c r="D16" i="5"/>
  <c r="E9" i="5"/>
  <c r="D9" i="5"/>
  <c r="E17" i="4" l="1"/>
  <c r="F17" i="4" s="1"/>
  <c r="E9" i="4"/>
  <c r="F9" i="4" s="1"/>
  <c r="E8" i="4"/>
  <c r="F8" i="4" s="1"/>
  <c r="E12" i="4"/>
  <c r="F12" i="4" s="1"/>
  <c r="E16" i="4"/>
  <c r="F16" i="4" s="1"/>
  <c r="E7" i="4"/>
  <c r="F7" i="4" s="1"/>
  <c r="E18" i="4"/>
  <c r="F18" i="4" s="1"/>
  <c r="E13" i="4"/>
  <c r="F13" i="4" s="1"/>
  <c r="E4" i="4"/>
  <c r="F4" i="4" s="1"/>
  <c r="E19" i="4"/>
  <c r="F19" i="4" s="1"/>
  <c r="E3" i="4"/>
  <c r="F3" i="4" s="1"/>
  <c r="F11" i="4" l="1"/>
  <c r="F10" i="4"/>
  <c r="F14" i="4"/>
  <c r="F15" i="4"/>
  <c r="F20" i="4"/>
  <c r="F21" i="4"/>
  <c r="F5" i="4"/>
  <c r="F6" i="4"/>
  <c r="G4" i="4"/>
  <c r="H4" i="4" s="1"/>
  <c r="G16" i="4"/>
  <c r="G17" i="4"/>
  <c r="H17" i="4" s="1"/>
  <c r="G19" i="4"/>
  <c r="H19" i="4" s="1"/>
  <c r="G7" i="4"/>
  <c r="H7" i="4"/>
  <c r="G9" i="4"/>
  <c r="H9" i="4" s="1"/>
  <c r="G3" i="4"/>
  <c r="G18" i="4"/>
  <c r="H18" i="4" s="1"/>
  <c r="G8" i="4"/>
  <c r="H8" i="4" s="1"/>
  <c r="G13" i="4"/>
  <c r="H13" i="4" s="1"/>
  <c r="G12" i="4"/>
  <c r="H12" i="4" s="1"/>
  <c r="F22" i="4" l="1"/>
  <c r="F23" i="4"/>
  <c r="H14" i="4"/>
  <c r="H15" i="4"/>
  <c r="H3" i="4"/>
  <c r="G6" i="4"/>
  <c r="G5" i="4"/>
  <c r="H16" i="4"/>
  <c r="G20" i="4"/>
  <c r="G21" i="4"/>
  <c r="H11" i="4"/>
  <c r="H10" i="4"/>
  <c r="G11" i="4"/>
  <c r="G10" i="4"/>
  <c r="G14" i="4"/>
  <c r="G15" i="4"/>
  <c r="G22" i="4" l="1"/>
  <c r="H20" i="4"/>
  <c r="H21" i="4"/>
  <c r="G23" i="4"/>
  <c r="H5" i="4"/>
  <c r="H6" i="4"/>
  <c r="H23" i="4" l="1"/>
  <c r="H22" i="4"/>
</calcChain>
</file>

<file path=xl/sharedStrings.xml><?xml version="1.0" encoding="utf-8"?>
<sst xmlns="http://schemas.openxmlformats.org/spreadsheetml/2006/main" count="91" uniqueCount="57">
  <si>
    <t>배달일지</t>
    <phoneticPr fontId="3" type="noConversion"/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</si>
  <si>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</si>
  <si>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</si>
  <si>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</si>
  <si>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배달시간(분)</t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</si>
  <si>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</si>
  <si>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</si>
  <si>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</si>
  <si>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</si>
  <si>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</si>
  <si>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</si>
  <si>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</si>
  <si>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</si>
  <si>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</si>
  <si>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</si>
  <si>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</si>
  <si>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</si>
  <si>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</si>
  <si>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</si>
  <si>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</si>
  <si>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</si>
  <si>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</si>
  <si>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</si>
  <si>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</si>
  <si>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</si>
  <si>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</si>
  <si>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</si>
  <si>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</si>
  <si>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</si>
  <si>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</si>
  <si>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</si>
  <si>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</si>
  <si>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</si>
  <si>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</si>
  <si>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</si>
  <si>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</si>
  <si>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</si>
  <si>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</si>
  <si>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</si>
  <si>
    <t>과장 요약</t>
  </si>
  <si>
    <t>대리 요약</t>
  </si>
  <si>
    <t>부장 요약</t>
  </si>
  <si>
    <t>사원 요약</t>
  </si>
  <si>
    <t>총합계</t>
  </si>
  <si>
    <t>과장 평균</t>
  </si>
  <si>
    <t>대리 평균</t>
  </si>
  <si>
    <t>부장 평균</t>
  </si>
  <si>
    <t>사원 평균</t>
  </si>
  <si>
    <t>전체 평균</t>
  </si>
  <si>
    <t>도부영 최대값</t>
  </si>
  <si>
    <t>배무현 최대값</t>
  </si>
  <si>
    <t>장동욱 최대값</t>
  </si>
  <si>
    <t>전체 최대값</t>
  </si>
  <si>
    <t>도부영 최소값</t>
  </si>
  <si>
    <t>배무현 최소값</t>
  </si>
  <si>
    <t>장동욱 최소값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</si>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</sst>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3" fontId="6" fillId="0" borderId="2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3" fontId="5" fillId="0" borderId="0" xfId="1" applyNumberFormat="1" applyFont="1" applyBorder="1"/>
    <xf numFmtId="41" fontId="5" fillId="0" borderId="0" xfId="2" applyFont="1" applyBorder="1"/>
    <xf numFmtId="3" fontId="6" fillId="0" borderId="0" xfId="1" applyNumberFormat="1" applyFont="1" applyBorder="1" applyAlignment="1">
      <alignment horizontal="center"/>
    </xf>
    <xf numFmtId="0" fontId="6" fillId="0" borderId="0" xfId="1" applyFont="1"/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3"/>
  <sheetViews>
    <sheetView workbookViewId="0">
      <selection activeCell="A2" sqref="A2:H23"/>
    </sheetView>
  </sheetViews>
  <sheetFormatPr defaultRowHeight="16.5" outlineLevelRow="3"/>
  <cols>
    <col min="1" max="1" width="9.25" style="1" bestFit="1" customWidth="1"/>
    <col min="2" max="2" width="7.375" style="1" bestFit="1" customWidth="1"/>
    <col min="3" max="3" width="5.5" style="1" bestFit="1" customWidth="1"/>
    <col min="4" max="4" width="10.875" style="1" bestFit="1" customWidth="1"/>
    <col min="5" max="5" width="13" style="1" bestFit="1" customWidth="1"/>
    <col min="6" max="6" width="14.25" style="1" bestFit="1" customWidth="1"/>
    <col min="7" max="7" width="13" style="1" bestFit="1" customWidth="1"/>
    <col min="8" max="8" width="14.25" style="1" bestFit="1" customWidth="1"/>
    <col min="9" max="16384" width="9" style="1"/>
  </cols>
  <sheetData>
    <row r="1" spans="1:8" ht="20.25">
      <c r="A1" s="9" t="s">
        <v>15</v>
      </c>
      <c r="B1" s="9"/>
      <c r="C1" s="9"/>
      <c r="D1" s="9"/>
      <c r="E1" s="9"/>
      <c r="F1" s="9"/>
      <c r="G1" s="9"/>
      <c r="H1" s="9"/>
    </row>
    <row r="2" spans="1:8">
      <c r="A2" s="2" t="s">
        <v>16</v>
      </c>
      <c r="B2" s="3" t="s">
        <v>17</v>
      </c>
      <c r="C2" s="3" t="s">
        <v>18</v>
      </c>
      <c r="D2" s="3" t="s">
        <v>19</v>
      </c>
      <c r="E2" s="3" t="s">
        <v>20</v>
      </c>
      <c r="F2" s="3" t="s">
        <v>21</v>
      </c>
      <c r="G2" s="3" t="s">
        <v>22</v>
      </c>
      <c r="H2" s="3" t="s">
        <v>23</v>
      </c>
    </row>
    <row r="3" spans="1:8" outlineLevel="3">
      <c r="A3" s="3">
        <v>12011</v>
      </c>
      <c r="B3" s="3" t="s">
        <v>24</v>
      </c>
      <c r="C3" s="4" t="s">
        <v>25</v>
      </c>
      <c r="D3" s="5">
        <v>1860000</v>
      </c>
      <c r="E3" s="6">
        <f>D3*80%</f>
        <v>1488000</v>
      </c>
      <c r="F3" s="6">
        <f>D3+E3</f>
        <v>3348000</v>
      </c>
      <c r="G3" s="6">
        <f>F3*12%</f>
        <v>401760</v>
      </c>
      <c r="H3" s="6">
        <f>F3-G3</f>
        <v>2946240</v>
      </c>
    </row>
    <row r="4" spans="1:8" outlineLevel="3">
      <c r="A4" s="3">
        <v>12017</v>
      </c>
      <c r="B4" s="3" t="s">
        <v>28</v>
      </c>
      <c r="C4" s="4" t="s">
        <v>25</v>
      </c>
      <c r="D4" s="5">
        <v>1700000</v>
      </c>
      <c r="E4" s="6">
        <f>D4*80%</f>
        <v>1360000</v>
      </c>
      <c r="F4" s="6">
        <f>D4+E4</f>
        <v>3060000</v>
      </c>
      <c r="G4" s="6">
        <f>F4*12%</f>
        <v>367200</v>
      </c>
      <c r="H4" s="6">
        <f>F4-G4</f>
        <v>2692800</v>
      </c>
    </row>
    <row r="5" spans="1:8" outlineLevel="2">
      <c r="A5" s="3"/>
      <c r="B5" s="3"/>
      <c r="C5" s="10" t="s">
        <v>44</v>
      </c>
      <c r="D5" s="5"/>
      <c r="E5" s="6"/>
      <c r="F5" s="6">
        <f>SUBTOTAL(1,F3:F4)</f>
        <v>3204000</v>
      </c>
      <c r="G5" s="6">
        <f>SUBTOTAL(1,G3:G4)</f>
        <v>384480</v>
      </c>
      <c r="H5" s="6">
        <f>SUBTOTAL(1,H3:H4)</f>
        <v>2819520</v>
      </c>
    </row>
    <row r="6" spans="1:8" outlineLevel="1">
      <c r="A6" s="3"/>
      <c r="B6" s="3"/>
      <c r="C6" s="10" t="s">
        <v>39</v>
      </c>
      <c r="D6" s="5"/>
      <c r="E6" s="6"/>
      <c r="F6" s="6">
        <f>SUBTOTAL(9,F3:F4)</f>
        <v>6408000</v>
      </c>
      <c r="G6" s="6">
        <f>SUBTOTAL(9,G3:G4)</f>
        <v>768960</v>
      </c>
      <c r="H6" s="6">
        <f>SUBTOTAL(9,H3:H4)</f>
        <v>5639040</v>
      </c>
    </row>
    <row r="7" spans="1:8" outlineLevel="3">
      <c r="A7" s="3">
        <v>12024</v>
      </c>
      <c r="B7" s="3" t="s">
        <v>32</v>
      </c>
      <c r="C7" s="4" t="s">
        <v>33</v>
      </c>
      <c r="D7" s="5">
        <v>1350000</v>
      </c>
      <c r="E7" s="6">
        <f>D7*80%</f>
        <v>1080000</v>
      </c>
      <c r="F7" s="6">
        <f>D7+E7</f>
        <v>2430000</v>
      </c>
      <c r="G7" s="6">
        <f>F7*12%</f>
        <v>291600</v>
      </c>
      <c r="H7" s="6">
        <f>F7-G7</f>
        <v>2138400</v>
      </c>
    </row>
    <row r="8" spans="1:8" outlineLevel="3">
      <c r="A8" s="3">
        <v>12036</v>
      </c>
      <c r="B8" s="3" t="s">
        <v>36</v>
      </c>
      <c r="C8" s="4" t="s">
        <v>33</v>
      </c>
      <c r="D8" s="5">
        <v>1200000</v>
      </c>
      <c r="E8" s="6">
        <f>D8*80%</f>
        <v>960000</v>
      </c>
      <c r="F8" s="6">
        <f>D8+E8</f>
        <v>2160000</v>
      </c>
      <c r="G8" s="6">
        <f>F8*12%</f>
        <v>259200</v>
      </c>
      <c r="H8" s="6">
        <f>F8-G8</f>
        <v>1900800</v>
      </c>
    </row>
    <row r="9" spans="1:8" outlineLevel="3">
      <c r="A9" s="3">
        <v>12037</v>
      </c>
      <c r="B9" s="3" t="s">
        <v>37</v>
      </c>
      <c r="C9" s="4" t="s">
        <v>33</v>
      </c>
      <c r="D9" s="5">
        <v>1200000</v>
      </c>
      <c r="E9" s="6">
        <f>D9*80%</f>
        <v>960000</v>
      </c>
      <c r="F9" s="6">
        <f>D9+E9</f>
        <v>2160000</v>
      </c>
      <c r="G9" s="6">
        <f>F9*12%</f>
        <v>259200</v>
      </c>
      <c r="H9" s="6">
        <f>F9-G9</f>
        <v>1900800</v>
      </c>
    </row>
    <row r="10" spans="1:8" outlineLevel="2">
      <c r="A10" s="3"/>
      <c r="B10" s="3"/>
      <c r="C10" s="10" t="s">
        <v>45</v>
      </c>
      <c r="D10" s="5"/>
      <c r="E10" s="6"/>
      <c r="F10" s="6">
        <f>SUBTOTAL(1,F7:F9)</f>
        <v>2250000</v>
      </c>
      <c r="G10" s="6">
        <f>SUBTOTAL(1,G7:G9)</f>
        <v>270000</v>
      </c>
      <c r="H10" s="6">
        <f>SUBTOTAL(1,H7:H9)</f>
        <v>1980000</v>
      </c>
    </row>
    <row r="11" spans="1:8" outlineLevel="1">
      <c r="A11" s="3"/>
      <c r="B11" s="3"/>
      <c r="C11" s="10" t="s">
        <v>40</v>
      </c>
      <c r="D11" s="5"/>
      <c r="E11" s="6"/>
      <c r="F11" s="6">
        <f>SUBTOTAL(9,F7:F9)</f>
        <v>6750000</v>
      </c>
      <c r="G11" s="6">
        <f>SUBTOTAL(9,G7:G9)</f>
        <v>810000</v>
      </c>
      <c r="H11" s="6">
        <f>SUBTOTAL(9,H7:H9)</f>
        <v>5940000</v>
      </c>
    </row>
    <row r="12" spans="1:8" outlineLevel="3">
      <c r="A12" s="3">
        <v>12031</v>
      </c>
      <c r="B12" s="3" t="s">
        <v>35</v>
      </c>
      <c r="C12" s="4" t="s">
        <v>30</v>
      </c>
      <c r="D12" s="5">
        <v>2500000</v>
      </c>
      <c r="E12" s="6">
        <f>D12*80%</f>
        <v>2000000</v>
      </c>
      <c r="F12" s="6">
        <f>D12+E12</f>
        <v>4500000</v>
      </c>
      <c r="G12" s="6">
        <f>F12*12%</f>
        <v>540000</v>
      </c>
      <c r="H12" s="6">
        <f>F12-G12</f>
        <v>3960000</v>
      </c>
    </row>
    <row r="13" spans="1:8" outlineLevel="3">
      <c r="A13" s="3">
        <v>12022</v>
      </c>
      <c r="B13" s="3" t="s">
        <v>29</v>
      </c>
      <c r="C13" s="4" t="s">
        <v>30</v>
      </c>
      <c r="D13" s="5">
        <v>2350000</v>
      </c>
      <c r="E13" s="6">
        <f>D13*80%</f>
        <v>1880000</v>
      </c>
      <c r="F13" s="6">
        <f>D13+E13</f>
        <v>4230000</v>
      </c>
      <c r="G13" s="6">
        <f>F13*12%</f>
        <v>507600</v>
      </c>
      <c r="H13" s="6">
        <f>F13-G13</f>
        <v>3722400</v>
      </c>
    </row>
    <row r="14" spans="1:8" outlineLevel="2">
      <c r="A14" s="3"/>
      <c r="B14" s="3"/>
      <c r="C14" s="10" t="s">
        <v>46</v>
      </c>
      <c r="D14" s="5"/>
      <c r="E14" s="6"/>
      <c r="F14" s="6">
        <f>SUBTOTAL(1,F12:F13)</f>
        <v>4365000</v>
      </c>
      <c r="G14" s="6">
        <f>SUBTOTAL(1,G12:G13)</f>
        <v>523800</v>
      </c>
      <c r="H14" s="6">
        <f>SUBTOTAL(1,H12:H13)</f>
        <v>3841200</v>
      </c>
    </row>
    <row r="15" spans="1:8" outlineLevel="1">
      <c r="A15" s="3"/>
      <c r="B15" s="3"/>
      <c r="C15" s="10" t="s">
        <v>41</v>
      </c>
      <c r="D15" s="5"/>
      <c r="E15" s="6"/>
      <c r="F15" s="6">
        <f>SUBTOTAL(9,F12:F13)</f>
        <v>8730000</v>
      </c>
      <c r="G15" s="6">
        <f>SUBTOTAL(9,G12:G13)</f>
        <v>1047600</v>
      </c>
      <c r="H15" s="6">
        <f>SUBTOTAL(9,H12:H13)</f>
        <v>7682400</v>
      </c>
    </row>
    <row r="16" spans="1:8" outlineLevel="3">
      <c r="A16" s="3">
        <v>12027</v>
      </c>
      <c r="B16" s="3" t="s">
        <v>34</v>
      </c>
      <c r="C16" s="4" t="s">
        <v>27</v>
      </c>
      <c r="D16" s="5">
        <v>9500000</v>
      </c>
      <c r="E16" s="6">
        <f>D16*80%</f>
        <v>7600000</v>
      </c>
      <c r="F16" s="6">
        <f>D16+E16</f>
        <v>17100000</v>
      </c>
      <c r="G16" s="6">
        <f>F16*12%</f>
        <v>2052000</v>
      </c>
      <c r="H16" s="6">
        <f>F16-G16</f>
        <v>15048000</v>
      </c>
    </row>
    <row r="17" spans="1:8" outlineLevel="3">
      <c r="A17" s="3">
        <v>12038</v>
      </c>
      <c r="B17" s="3" t="s">
        <v>38</v>
      </c>
      <c r="C17" s="4" t="s">
        <v>27</v>
      </c>
      <c r="D17" s="5">
        <v>1000000</v>
      </c>
      <c r="E17" s="6">
        <f>D17*80%</f>
        <v>800000</v>
      </c>
      <c r="F17" s="6">
        <f>D17+E17</f>
        <v>1800000</v>
      </c>
      <c r="G17" s="6">
        <f>F17*12%</f>
        <v>216000</v>
      </c>
      <c r="H17" s="6">
        <f>F17-G17</f>
        <v>1584000</v>
      </c>
    </row>
    <row r="18" spans="1:8" outlineLevel="3">
      <c r="A18" s="3">
        <v>12023</v>
      </c>
      <c r="B18" s="3" t="s">
        <v>31</v>
      </c>
      <c r="C18" s="4" t="s">
        <v>27</v>
      </c>
      <c r="D18" s="5">
        <v>900000</v>
      </c>
      <c r="E18" s="6">
        <f>D18*80%</f>
        <v>720000</v>
      </c>
      <c r="F18" s="6">
        <f>D18+E18</f>
        <v>1620000</v>
      </c>
      <c r="G18" s="6">
        <f>F18*12%</f>
        <v>194400</v>
      </c>
      <c r="H18" s="6">
        <f>F18-G18</f>
        <v>1425600</v>
      </c>
    </row>
    <row r="19" spans="1:8" outlineLevel="3">
      <c r="A19" s="3">
        <v>12016</v>
      </c>
      <c r="B19" s="3" t="s">
        <v>26</v>
      </c>
      <c r="C19" s="4" t="s">
        <v>27</v>
      </c>
      <c r="D19" s="5">
        <v>850000</v>
      </c>
      <c r="E19" s="6">
        <f>D19*80%</f>
        <v>680000</v>
      </c>
      <c r="F19" s="6">
        <f>D19+E19</f>
        <v>1530000</v>
      </c>
      <c r="G19" s="6">
        <f>F19*12%</f>
        <v>183600</v>
      </c>
      <c r="H19" s="6">
        <f>F19-G19</f>
        <v>1346400</v>
      </c>
    </row>
    <row r="20" spans="1:8" outlineLevel="2">
      <c r="A20" s="11"/>
      <c r="B20" s="11"/>
      <c r="C20" s="14" t="s">
        <v>47</v>
      </c>
      <c r="D20" s="12"/>
      <c r="E20" s="13"/>
      <c r="F20" s="13">
        <f>SUBTOTAL(1,F16:F19)</f>
        <v>5512500</v>
      </c>
      <c r="G20" s="13">
        <f>SUBTOTAL(1,G16:G19)</f>
        <v>661500</v>
      </c>
      <c r="H20" s="13">
        <f>SUBTOTAL(1,H16:H19)</f>
        <v>4851000</v>
      </c>
    </row>
    <row r="21" spans="1:8" outlineLevel="1">
      <c r="A21" s="11"/>
      <c r="B21" s="11"/>
      <c r="C21" s="14" t="s">
        <v>42</v>
      </c>
      <c r="D21" s="12"/>
      <c r="E21" s="13"/>
      <c r="F21" s="13">
        <f>SUBTOTAL(9,F16:F19)</f>
        <v>22050000</v>
      </c>
      <c r="G21" s="13">
        <f>SUBTOTAL(9,G16:G19)</f>
        <v>2646000</v>
      </c>
      <c r="H21" s="13">
        <f>SUBTOTAL(9,H16:H19)</f>
        <v>19404000</v>
      </c>
    </row>
    <row r="22" spans="1:8">
      <c r="A22" s="11"/>
      <c r="B22" s="11"/>
      <c r="C22" s="14" t="s">
        <v>48</v>
      </c>
      <c r="D22" s="12"/>
      <c r="E22" s="13"/>
      <c r="F22" s="13">
        <f>SUBTOTAL(1,F3:F19)</f>
        <v>3994363.6363636362</v>
      </c>
      <c r="G22" s="13">
        <f>SUBTOTAL(1,G3:G19)</f>
        <v>479323.63636363635</v>
      </c>
      <c r="H22" s="13">
        <f>SUBTOTAL(1,H3:H19)</f>
        <v>3515040</v>
      </c>
    </row>
    <row r="23" spans="1:8">
      <c r="A23" s="11"/>
      <c r="B23" s="11"/>
      <c r="C23" s="14" t="s">
        <v>43</v>
      </c>
      <c r="D23" s="12"/>
      <c r="E23" s="13"/>
      <c r="F23" s="13">
        <f>SUBTOTAL(9,F3:F19)</f>
        <v>43938000</v>
      </c>
      <c r="G23" s="13">
        <f>SUBTOTAL(9,G3:G19)</f>
        <v>5272560</v>
      </c>
      <c r="H23" s="13">
        <f>SUBTOTAL(9,H3:H19)</f>
        <v>38665440</v>
      </c>
    </row>
  </sheetData>
  <sortState ref="A3:H13">
    <sortCondition ref="C3:C13"/>
    <sortCondition descending="1" ref="D3:D13"/>
  </sortState>
  <mergeCells count="1">
    <mergeCell ref="A1:H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tabSelected="1" workbookViewId="0">
      <selection activeCell="H19" sqref="H19"/>
    </sheetView>
  </sheetViews>
  <sheetFormatPr defaultRowHeight="16.5" outlineLevelRow="3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7.375" style="1" bestFit="1" customWidth="1"/>
    <col min="6" max="6" width="9.25" style="1" bestFit="1" customWidth="1"/>
    <col min="7" max="16384" width="9" style="1"/>
  </cols>
  <sheetData>
    <row r="1" spans="1:6">
      <c r="A1" s="1" t="s">
        <v>0</v>
      </c>
    </row>
    <row r="2" spans="1:6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outlineLevel="3">
      <c r="A3" s="7">
        <v>42381</v>
      </c>
      <c r="B3" s="1" t="s">
        <v>7</v>
      </c>
      <c r="C3" s="8" t="s">
        <v>8</v>
      </c>
      <c r="D3" s="8">
        <v>37</v>
      </c>
      <c r="E3" s="1">
        <v>331</v>
      </c>
    </row>
    <row r="4" spans="1:6" outlineLevel="3">
      <c r="A4" s="7">
        <v>42382</v>
      </c>
      <c r="B4" s="1" t="s">
        <v>7</v>
      </c>
      <c r="C4" s="8" t="s">
        <v>10</v>
      </c>
      <c r="D4" s="8">
        <v>28</v>
      </c>
      <c r="E4" s="1">
        <v>62</v>
      </c>
    </row>
    <row r="5" spans="1:6" outlineLevel="3">
      <c r="A5" s="7">
        <v>42383</v>
      </c>
      <c r="B5" s="1" t="s">
        <v>7</v>
      </c>
      <c r="C5" s="8" t="s">
        <v>10</v>
      </c>
      <c r="D5" s="8">
        <v>13</v>
      </c>
      <c r="E5" s="1">
        <v>914</v>
      </c>
    </row>
    <row r="6" spans="1:6" outlineLevel="3">
      <c r="A6" s="7">
        <v>42384</v>
      </c>
      <c r="B6" s="1" t="s">
        <v>7</v>
      </c>
      <c r="C6" s="8" t="s">
        <v>14</v>
      </c>
      <c r="D6" s="8">
        <v>16</v>
      </c>
      <c r="E6" s="1">
        <v>322</v>
      </c>
    </row>
    <row r="7" spans="1:6" outlineLevel="3">
      <c r="A7" s="7">
        <v>42385</v>
      </c>
      <c r="B7" s="1" t="s">
        <v>7</v>
      </c>
      <c r="C7" s="8" t="s">
        <v>10</v>
      </c>
      <c r="D7" s="8">
        <v>94</v>
      </c>
      <c r="E7" s="1">
        <v>177</v>
      </c>
    </row>
    <row r="8" spans="1:6" outlineLevel="2">
      <c r="A8" s="7"/>
      <c r="B8" s="15" t="s">
        <v>53</v>
      </c>
      <c r="C8" s="8"/>
      <c r="D8" s="8">
        <f>SUBTOTAL(5,D3:D7)</f>
        <v>13</v>
      </c>
      <c r="E8" s="1">
        <f>SUBTOTAL(5,E3:E7)</f>
        <v>62</v>
      </c>
    </row>
    <row r="9" spans="1:6" outlineLevel="1">
      <c r="A9" s="7"/>
      <c r="B9" s="15" t="s">
        <v>49</v>
      </c>
      <c r="C9" s="8"/>
      <c r="D9" s="8">
        <f>SUBTOTAL(4,D3:D7)</f>
        <v>94</v>
      </c>
      <c r="E9" s="1">
        <f>SUBTOTAL(4,E3:E7)</f>
        <v>914</v>
      </c>
    </row>
    <row r="10" spans="1:6" outlineLevel="3">
      <c r="A10" s="7">
        <v>42381</v>
      </c>
      <c r="B10" s="1" t="s">
        <v>9</v>
      </c>
      <c r="C10" s="8" t="s">
        <v>10</v>
      </c>
      <c r="D10" s="8">
        <v>70</v>
      </c>
      <c r="E10" s="1">
        <v>433</v>
      </c>
    </row>
    <row r="11" spans="1:6" outlineLevel="3">
      <c r="A11" s="7">
        <v>42382</v>
      </c>
      <c r="B11" s="1" t="s">
        <v>9</v>
      </c>
      <c r="C11" s="8" t="s">
        <v>12</v>
      </c>
      <c r="D11" s="8">
        <v>67</v>
      </c>
      <c r="E11" s="1">
        <v>76</v>
      </c>
    </row>
    <row r="12" spans="1:6" outlineLevel="3">
      <c r="A12" s="7">
        <v>42383</v>
      </c>
      <c r="B12" s="1" t="s">
        <v>9</v>
      </c>
      <c r="C12" s="8" t="s">
        <v>14</v>
      </c>
      <c r="D12" s="8">
        <v>97</v>
      </c>
      <c r="E12" s="1">
        <v>790</v>
      </c>
    </row>
    <row r="13" spans="1:6" outlineLevel="3">
      <c r="A13" s="7">
        <v>42383</v>
      </c>
      <c r="B13" s="1" t="s">
        <v>9</v>
      </c>
      <c r="C13" s="8" t="s">
        <v>8</v>
      </c>
      <c r="D13" s="8">
        <v>91</v>
      </c>
      <c r="E13" s="1">
        <v>356</v>
      </c>
    </row>
    <row r="14" spans="1:6" outlineLevel="3">
      <c r="A14" s="7">
        <v>42386</v>
      </c>
      <c r="B14" s="1" t="s">
        <v>9</v>
      </c>
      <c r="C14" s="8" t="s">
        <v>12</v>
      </c>
      <c r="D14" s="8">
        <v>38</v>
      </c>
      <c r="E14" s="1">
        <v>874</v>
      </c>
    </row>
    <row r="15" spans="1:6" outlineLevel="2">
      <c r="A15" s="7"/>
      <c r="B15" s="15" t="s">
        <v>54</v>
      </c>
      <c r="C15" s="8"/>
      <c r="D15" s="8">
        <f>SUBTOTAL(5,D10:D14)</f>
        <v>38</v>
      </c>
      <c r="E15" s="1">
        <f>SUBTOTAL(5,E10:E14)</f>
        <v>76</v>
      </c>
    </row>
    <row r="16" spans="1:6" outlineLevel="1">
      <c r="A16" s="7"/>
      <c r="B16" s="15" t="s">
        <v>50</v>
      </c>
      <c r="C16" s="8"/>
      <c r="D16" s="8">
        <f>SUBTOTAL(4,D10:D14)</f>
        <v>97</v>
      </c>
      <c r="E16" s="1">
        <f>SUBTOTAL(4,E10:E14)</f>
        <v>874</v>
      </c>
    </row>
    <row r="17" spans="1:6" outlineLevel="3">
      <c r="A17" s="7">
        <v>42381</v>
      </c>
      <c r="B17" s="1" t="s">
        <v>11</v>
      </c>
      <c r="C17" s="8" t="s">
        <v>12</v>
      </c>
      <c r="D17" s="8">
        <v>11</v>
      </c>
      <c r="E17" s="1">
        <v>362</v>
      </c>
    </row>
    <row r="18" spans="1:6" outlineLevel="3">
      <c r="A18" s="7">
        <v>42381</v>
      </c>
      <c r="B18" s="1" t="s">
        <v>11</v>
      </c>
      <c r="C18" s="8" t="s">
        <v>12</v>
      </c>
      <c r="D18" s="8">
        <v>28</v>
      </c>
      <c r="E18" s="1">
        <v>2</v>
      </c>
      <c r="F18" s="1" t="s">
        <v>13</v>
      </c>
    </row>
    <row r="19" spans="1:6" outlineLevel="3">
      <c r="A19" s="7">
        <v>42382</v>
      </c>
      <c r="B19" s="1" t="s">
        <v>11</v>
      </c>
      <c r="C19" s="8" t="s">
        <v>14</v>
      </c>
      <c r="D19" s="8">
        <v>83</v>
      </c>
      <c r="E19" s="1">
        <v>471</v>
      </c>
    </row>
    <row r="20" spans="1:6" outlineLevel="3">
      <c r="A20" s="7">
        <v>42382</v>
      </c>
      <c r="B20" s="1" t="s">
        <v>11</v>
      </c>
      <c r="C20" s="8" t="s">
        <v>8</v>
      </c>
      <c r="D20" s="8">
        <v>36</v>
      </c>
      <c r="E20" s="1">
        <v>750</v>
      </c>
    </row>
    <row r="21" spans="1:6" outlineLevel="3">
      <c r="A21" s="7">
        <v>42383</v>
      </c>
      <c r="B21" s="1" t="s">
        <v>11</v>
      </c>
      <c r="C21" s="8" t="s">
        <v>10</v>
      </c>
      <c r="D21" s="8">
        <v>5</v>
      </c>
      <c r="E21" s="1">
        <v>336</v>
      </c>
    </row>
    <row r="22" spans="1:6" outlineLevel="3">
      <c r="A22" s="7">
        <v>42385</v>
      </c>
      <c r="B22" s="1" t="s">
        <v>11</v>
      </c>
      <c r="C22" s="8" t="s">
        <v>14</v>
      </c>
      <c r="D22" s="8">
        <v>44</v>
      </c>
      <c r="E22" s="1">
        <v>65</v>
      </c>
    </row>
    <row r="23" spans="1:6" outlineLevel="3">
      <c r="A23" s="7">
        <v>42385</v>
      </c>
      <c r="B23" s="1" t="s">
        <v>11</v>
      </c>
      <c r="C23" s="8" t="s">
        <v>8</v>
      </c>
      <c r="D23" s="8">
        <v>51</v>
      </c>
      <c r="E23" s="1">
        <v>908</v>
      </c>
    </row>
    <row r="24" spans="1:6" outlineLevel="2">
      <c r="A24" s="7"/>
      <c r="B24" s="15" t="s">
        <v>55</v>
      </c>
      <c r="C24" s="8"/>
      <c r="D24" s="8">
        <f>SUBTOTAL(5,D17:D23)</f>
        <v>5</v>
      </c>
      <c r="E24" s="1">
        <f>SUBTOTAL(5,E17:E23)</f>
        <v>2</v>
      </c>
    </row>
    <row r="25" spans="1:6" outlineLevel="1">
      <c r="A25" s="7"/>
      <c r="B25" s="15" t="s">
        <v>51</v>
      </c>
      <c r="C25" s="8"/>
      <c r="D25" s="8">
        <f>SUBTOTAL(4,D17:D23)</f>
        <v>83</v>
      </c>
      <c r="E25" s="1">
        <f>SUBTOTAL(4,E17:E23)</f>
        <v>908</v>
      </c>
    </row>
    <row r="26" spans="1:6">
      <c r="A26" s="7"/>
      <c r="B26" s="15" t="s">
        <v>56</v>
      </c>
      <c r="C26" s="8"/>
      <c r="D26" s="8">
        <f>SUBTOTAL(5,D3:D23)</f>
        <v>5</v>
      </c>
      <c r="E26" s="1">
        <f>SUBTOTAL(5,E3:E23)</f>
        <v>2</v>
      </c>
    </row>
    <row r="27" spans="1:6">
      <c r="A27" s="7"/>
      <c r="B27" s="15" t="s">
        <v>52</v>
      </c>
      <c r="C27" s="8"/>
      <c r="D27" s="8">
        <f>SUBTOTAL(4,D3:D23)</f>
        <v>97</v>
      </c>
      <c r="E27" s="1">
        <f>SUBTOTAL(4,E3:E23)</f>
        <v>914</v>
      </c>
    </row>
  </sheetData>
  <sortState ref="A3:F19">
    <sortCondition ref="B3:B19"/>
  </sortState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2011-06-14T08:59:56Z</dcterms:created>
  <dcterms:modified xsi:type="dcterms:W3CDTF">2019-12-17T14:18:02Z</dcterms:modified>
</cp:coreProperties>
</file>