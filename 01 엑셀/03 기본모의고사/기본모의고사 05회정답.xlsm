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45" windowWidth="20475" windowHeight="12330" tabRatio="725"/>
  </bookViews>
  <sheets>
    <sheet name="기본작업-1" sheetId="1" r:id="rId1"/>
    <sheet name="기본작업-2" sheetId="2" r:id="rId2"/>
    <sheet name="기본작업-3" sheetId="12" r:id="rId3"/>
    <sheet name="계산작업" sheetId="3" r:id="rId4"/>
    <sheet name="분석작업-1" sheetId="4" r:id="rId5"/>
    <sheet name="시나리오 요약" sheetId="10" r:id="rId6"/>
    <sheet name="분석작업-2" sheetId="6" r:id="rId7"/>
    <sheet name="기타작업-1" sheetId="7" r:id="rId8"/>
    <sheet name="기타작업-2" sheetId="8" r:id="rId9"/>
  </sheets>
  <functionGroups builtInGroupCount="17"/>
  <definedNames>
    <definedName name="_xlnm._FilterDatabase" localSheetId="1" hidden="1">'기본작업-2'!$A$17:$J$27</definedName>
    <definedName name="_xlnm.Criteria" localSheetId="1">'기본작업-2'!$A$29:$C$31</definedName>
    <definedName name="_xlnm.Extract" localSheetId="1">'기본작업-2'!$A$34:$J$34</definedName>
    <definedName name="_xlnm.Print_Titles" localSheetId="2">'기본작업-3'!$1:$1</definedName>
  </definedNames>
  <calcPr calcId="145621"/>
  <pivotCaches>
    <pivotCache cacheId="15" r:id="rId10"/>
  </pivotCaches>
</workbook>
</file>

<file path=xl/calcChain.xml><?xml version="1.0" encoding="utf-8"?>
<calcChain xmlns="http://schemas.openxmlformats.org/spreadsheetml/2006/main">
  <c r="H11" i="7" l="1"/>
  <c r="H10" i="7"/>
  <c r="H9" i="7"/>
  <c r="H8" i="7"/>
  <c r="H7" i="7"/>
  <c r="H6" i="7"/>
  <c r="H5" i="7"/>
  <c r="H4" i="7"/>
  <c r="D12" i="6"/>
  <c r="C12" i="6"/>
  <c r="E11" i="6"/>
  <c r="E10" i="6"/>
  <c r="E9" i="6"/>
  <c r="E8" i="6"/>
  <c r="E7" i="6"/>
  <c r="E6" i="6"/>
  <c r="E5" i="6"/>
  <c r="E4" i="6"/>
  <c r="G40" i="3"/>
  <c r="F40" i="3"/>
  <c r="G39" i="3"/>
  <c r="F39" i="3"/>
  <c r="G38" i="3"/>
  <c r="F38" i="3"/>
  <c r="G37" i="3"/>
  <c r="F37" i="3"/>
  <c r="G36" i="3"/>
  <c r="F36" i="3"/>
  <c r="E32" i="3"/>
  <c r="E32" i="3" a="1"/>
  <c r="D32" i="3" a="1"/>
  <c r="D32" i="3" s="1"/>
  <c r="C32" i="3"/>
  <c r="C32" i="3" a="1"/>
  <c r="B32" i="3" a="1"/>
  <c r="B32" i="3" s="1"/>
  <c r="E31" i="3"/>
  <c r="E31" i="3" a="1"/>
  <c r="D31" i="3" a="1"/>
  <c r="D31" i="3" s="1"/>
  <c r="C31" i="3"/>
  <c r="C31" i="3" a="1"/>
  <c r="B31" i="3" a="1"/>
  <c r="B31" i="3" s="1"/>
  <c r="E30" i="3"/>
  <c r="E30" i="3" a="1"/>
  <c r="D30" i="3" a="1"/>
  <c r="D30" i="3" s="1"/>
  <c r="C30" i="3"/>
  <c r="C30" i="3" a="1"/>
  <c r="B30" i="3" a="1"/>
  <c r="B30" i="3" s="1"/>
  <c r="E25" i="3"/>
  <c r="G25" i="3" s="1"/>
  <c r="C25" i="3"/>
  <c r="E24" i="3"/>
  <c r="G24" i="3" s="1"/>
  <c r="C24" i="3"/>
  <c r="E23" i="3"/>
  <c r="G23" i="3" s="1"/>
  <c r="C23" i="3"/>
  <c r="E22" i="3"/>
  <c r="G22" i="3" s="1"/>
  <c r="C22" i="3"/>
  <c r="E21" i="3"/>
  <c r="G21" i="3" s="1"/>
  <c r="C21" i="3"/>
  <c r="E20" i="3"/>
  <c r="G20" i="3" s="1"/>
  <c r="C20" i="3"/>
  <c r="E19" i="3"/>
  <c r="G19" i="3" s="1"/>
  <c r="C19" i="3"/>
  <c r="E18" i="3"/>
  <c r="G18" i="3" s="1"/>
  <c r="C18" i="3"/>
  <c r="E17" i="3"/>
  <c r="G17" i="3" s="1"/>
  <c r="C17" i="3"/>
  <c r="E16" i="3"/>
  <c r="G16" i="3" s="1"/>
  <c r="C16" i="3"/>
  <c r="E15" i="3"/>
  <c r="G15" i="3" s="1"/>
  <c r="C15" i="3"/>
  <c r="E14" i="3"/>
  <c r="G14" i="3" s="1"/>
  <c r="C14" i="3"/>
  <c r="E13" i="3"/>
  <c r="G13" i="3" s="1"/>
  <c r="C13" i="3"/>
  <c r="E12" i="3"/>
  <c r="G12" i="3" s="1"/>
  <c r="C12" i="3"/>
  <c r="E11" i="3"/>
  <c r="G11" i="3" s="1"/>
  <c r="C11" i="3"/>
  <c r="E10" i="3"/>
  <c r="G10" i="3" s="1"/>
  <c r="C10" i="3"/>
  <c r="C5" i="3"/>
  <c r="B5" i="3" a="1"/>
  <c r="B5" i="3" s="1"/>
  <c r="C4" i="3"/>
  <c r="B4" i="3"/>
  <c r="B4" i="3" a="1"/>
  <c r="C3" i="3"/>
  <c r="B3" i="3" a="1"/>
  <c r="B3" i="3" s="1"/>
  <c r="H27" i="2"/>
  <c r="D27" i="2"/>
  <c r="E27" i="2" s="1"/>
  <c r="F27" i="2" s="1"/>
  <c r="H26" i="2"/>
  <c r="D26" i="2"/>
  <c r="H25" i="2"/>
  <c r="D25" i="2"/>
  <c r="E25" i="2" s="1"/>
  <c r="F25" i="2" s="1"/>
  <c r="H24" i="2"/>
  <c r="D24" i="2"/>
  <c r="H23" i="2"/>
  <c r="D23" i="2"/>
  <c r="E23" i="2" s="1"/>
  <c r="F23" i="2" s="1"/>
  <c r="H22" i="2"/>
  <c r="D22" i="2"/>
  <c r="H21" i="2"/>
  <c r="D21" i="2"/>
  <c r="E21" i="2" s="1"/>
  <c r="F21" i="2" s="1"/>
  <c r="H20" i="2"/>
  <c r="D20" i="2"/>
  <c r="H19" i="2"/>
  <c r="D19" i="2"/>
  <c r="E19" i="2" s="1"/>
  <c r="F19" i="2" s="1"/>
  <c r="H18" i="2"/>
  <c r="D18" i="2"/>
  <c r="H19" i="3"/>
  <c r="H11" i="3"/>
  <c r="H20" i="3"/>
  <c r="H12" i="3"/>
  <c r="H18" i="3"/>
  <c r="H23" i="3"/>
  <c r="H25" i="3"/>
  <c r="H21" i="3"/>
  <c r="H22" i="3"/>
  <c r="H24" i="3"/>
  <c r="H17" i="3"/>
  <c r="H10" i="3"/>
  <c r="H15" i="3"/>
  <c r="H16" i="3"/>
  <c r="H13" i="3"/>
  <c r="H14" i="3"/>
  <c r="E12" i="6" l="1"/>
  <c r="J19" i="2"/>
  <c r="J21" i="2"/>
  <c r="J23" i="2"/>
  <c r="J25" i="2"/>
  <c r="J27" i="2"/>
  <c r="J20" i="2"/>
  <c r="J22" i="2"/>
  <c r="I18" i="2"/>
  <c r="I20" i="2"/>
  <c r="I22" i="2"/>
  <c r="I24" i="2"/>
  <c r="I26" i="2"/>
  <c r="E18" i="2"/>
  <c r="F18" i="2" s="1"/>
  <c r="E20" i="2"/>
  <c r="F20" i="2" s="1"/>
  <c r="E22" i="2"/>
  <c r="F22" i="2" s="1"/>
  <c r="E24" i="2"/>
  <c r="F24" i="2" s="1"/>
  <c r="E26" i="2"/>
  <c r="F26" i="2" s="1"/>
  <c r="I19" i="2"/>
  <c r="I21" i="2"/>
  <c r="I23" i="2"/>
  <c r="I25" i="2"/>
  <c r="I27" i="2"/>
  <c r="J26" i="2" l="1"/>
  <c r="J18" i="2"/>
  <c r="J24" i="2"/>
</calcChain>
</file>

<file path=xl/connections.xml><?xml version="1.0" encoding="utf-8"?>
<connections xmlns="http://schemas.openxmlformats.org/spreadsheetml/2006/main">
  <connection id="1" name="MS Access Database_Query" type="1" refreshedVersion="4">
    <dbPr connection="DSN=MS Access Database;DBQ=C:\길벗컴활1급(2010)\01 엑셀\03 기본모의고사\사원관리.accdb;DefaultDir=C:\길벗컴활1급(2010)\01 엑셀\03 기본모의고사;DriverId=25;FIL=MS Access;MaxBufferSize=2048;PageTimeout=5;" command="SELECT 사원명부.이름, 사원명부.부서, 사원명부.직위, 사원명부.기본급, 사원명부.부양가족수_x000d__x000a_FROM `C:\길벗컴활1급(2010)\01 엑셀\03 기본모의고사\사원관리.accdb`.사원명부 사원명부"/>
  </connection>
</connections>
</file>

<file path=xl/sharedStrings.xml><?xml version="1.0" encoding="utf-8"?>
<sst xmlns="http://schemas.openxmlformats.org/spreadsheetml/2006/main" count="502" uniqueCount="263">
  <si>
    <t>가전제품 판매현황</t>
    <phoneticPr fontId="5" type="noConversion"/>
  </si>
  <si>
    <t>제품명</t>
  </si>
  <si>
    <t>분류코드</t>
  </si>
  <si>
    <t>단가</t>
  </si>
  <si>
    <t>주문날짜</t>
  </si>
  <si>
    <t>수량</t>
  </si>
  <si>
    <t>판매금액</t>
  </si>
  <si>
    <t>튀김기</t>
  </si>
  <si>
    <t>주방가전</t>
  </si>
  <si>
    <t>압력밥솥</t>
  </si>
  <si>
    <t>녹즙기</t>
  </si>
  <si>
    <t>[표1]</t>
    <phoneticPr fontId="5" type="noConversion"/>
  </si>
  <si>
    <t>수산물 경매가격표</t>
    <phoneticPr fontId="5" type="noConversion"/>
  </si>
  <si>
    <t>품목</t>
    <phoneticPr fontId="5" type="noConversion"/>
  </si>
  <si>
    <t>산지</t>
    <phoneticPr fontId="5" type="noConversion"/>
  </si>
  <si>
    <t>단위</t>
    <phoneticPr fontId="5" type="noConversion"/>
  </si>
  <si>
    <t>상품</t>
    <phoneticPr fontId="5" type="noConversion"/>
  </si>
  <si>
    <t>중품</t>
    <phoneticPr fontId="5" type="noConversion"/>
  </si>
  <si>
    <t>하품</t>
    <phoneticPr fontId="5" type="noConversion"/>
  </si>
  <si>
    <t>광어</t>
  </si>
  <si>
    <t>서해</t>
    <phoneticPr fontId="5" type="noConversion"/>
  </si>
  <si>
    <t>자연 1Kg</t>
  </si>
  <si>
    <t>농어</t>
  </si>
  <si>
    <t>남해</t>
  </si>
  <si>
    <t>대구</t>
  </si>
  <si>
    <t>동해</t>
  </si>
  <si>
    <t>도미</t>
  </si>
  <si>
    <t>남해</t>
    <phoneticPr fontId="5" type="noConversion"/>
  </si>
  <si>
    <t>양식 1Kg</t>
  </si>
  <si>
    <t>방어</t>
  </si>
  <si>
    <t>붕장어</t>
  </si>
  <si>
    <t>오징어</t>
  </si>
  <si>
    <t>자연 8Kg</t>
    <phoneticPr fontId="5" type="noConversion"/>
  </si>
  <si>
    <t>[표2]</t>
    <phoneticPr fontId="5" type="noConversion"/>
  </si>
  <si>
    <t>4분기 주식 거래현황</t>
    <phoneticPr fontId="5" type="noConversion"/>
  </si>
  <si>
    <t>종목명</t>
    <phoneticPr fontId="5" type="noConversion"/>
  </si>
  <si>
    <t>매수가격</t>
    <phoneticPr fontId="5" type="noConversion"/>
  </si>
  <si>
    <t>보유수량</t>
    <phoneticPr fontId="5" type="noConversion"/>
  </si>
  <si>
    <t>매수금액</t>
    <phoneticPr fontId="5" type="noConversion"/>
  </si>
  <si>
    <t>매수
수수료</t>
    <phoneticPr fontId="5" type="noConversion"/>
  </si>
  <si>
    <t>매수단가</t>
    <phoneticPr fontId="5" type="noConversion"/>
  </si>
  <si>
    <t>현재가</t>
    <phoneticPr fontId="5" type="noConversion"/>
  </si>
  <si>
    <t>현재금액</t>
    <phoneticPr fontId="5" type="noConversion"/>
  </si>
  <si>
    <t>평가손익</t>
    <phoneticPr fontId="5" type="noConversion"/>
  </si>
  <si>
    <t>수익률</t>
    <phoneticPr fontId="5" type="noConversion"/>
  </si>
  <si>
    <t>대한제약</t>
    <phoneticPr fontId="5" type="noConversion"/>
  </si>
  <si>
    <t>상공증권</t>
    <phoneticPr fontId="5" type="noConversion"/>
  </si>
  <si>
    <t>DK주조</t>
    <phoneticPr fontId="5" type="noConversion"/>
  </si>
  <si>
    <t>KR타이어</t>
    <phoneticPr fontId="5" type="noConversion"/>
  </si>
  <si>
    <t>전국전자</t>
    <phoneticPr fontId="5" type="noConversion"/>
  </si>
  <si>
    <t>상공텔레콤</t>
    <phoneticPr fontId="5" type="noConversion"/>
  </si>
  <si>
    <t>가남경제</t>
    <phoneticPr fontId="5" type="noConversion"/>
  </si>
  <si>
    <t>JG건설</t>
    <phoneticPr fontId="5" type="noConversion"/>
  </si>
  <si>
    <t>우주넷</t>
    <phoneticPr fontId="5" type="noConversion"/>
  </si>
  <si>
    <t>블랙쇼핑</t>
    <phoneticPr fontId="5" type="noConversion"/>
  </si>
  <si>
    <t>수익률</t>
    <phoneticPr fontId="4" type="noConversion"/>
  </si>
  <si>
    <t>보유수량</t>
    <phoneticPr fontId="4" type="noConversion"/>
  </si>
  <si>
    <t>매수금액</t>
    <phoneticPr fontId="4" type="noConversion"/>
  </si>
  <si>
    <t>&gt;=50%</t>
    <phoneticPr fontId="4" type="noConversion"/>
  </si>
  <si>
    <t>&gt;=100</t>
    <phoneticPr fontId="4" type="noConversion"/>
  </si>
  <si>
    <t>&lt;5000000</t>
    <phoneticPr fontId="4" type="noConversion"/>
  </si>
  <si>
    <t>&lt;=0%</t>
    <phoneticPr fontId="4" type="noConversion"/>
  </si>
  <si>
    <t>&gt;=3000000</t>
    <phoneticPr fontId="4" type="noConversion"/>
  </si>
  <si>
    <t>주식종목</t>
    <phoneticPr fontId="5" type="noConversion"/>
  </si>
  <si>
    <t>[표1]</t>
    <phoneticPr fontId="5" type="noConversion"/>
  </si>
  <si>
    <t>[표2] 코드표</t>
    <phoneticPr fontId="5" type="noConversion"/>
  </si>
  <si>
    <t>상품명</t>
    <phoneticPr fontId="5" type="noConversion"/>
  </si>
  <si>
    <t>두번째로 큰 판매수량</t>
    <phoneticPr fontId="5" type="noConversion"/>
  </si>
  <si>
    <t>판매수량 20 이상 개수</t>
    <phoneticPr fontId="5" type="noConversion"/>
  </si>
  <si>
    <t>코드</t>
    <phoneticPr fontId="4" type="noConversion"/>
  </si>
  <si>
    <t>녹음기</t>
    <phoneticPr fontId="5" type="noConversion"/>
  </si>
  <si>
    <t>다</t>
    <phoneticPr fontId="5" type="noConversion"/>
  </si>
  <si>
    <t>세탁기</t>
    <phoneticPr fontId="5" type="noConversion"/>
  </si>
  <si>
    <t>기타</t>
    <phoneticPr fontId="5" type="noConversion"/>
  </si>
  <si>
    <t>카세트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</si>
  <si>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5" type="noConversion"/>
  </si>
  <si>
    <t>가전제품 판매현황</t>
    <phoneticPr fontId="5" type="noConversion"/>
  </si>
  <si>
    <t>상품코드</t>
    <phoneticPr fontId="5" type="noConversion"/>
  </si>
  <si>
    <t>변경코드</t>
    <phoneticPr fontId="5" type="noConversion"/>
  </si>
  <si>
    <t>판매수량</t>
    <phoneticPr fontId="5" type="noConversion"/>
  </si>
  <si>
    <t>판매단가</t>
    <phoneticPr fontId="5" type="noConversion"/>
  </si>
  <si>
    <t>할인율</t>
    <phoneticPr fontId="5" type="noConversion"/>
  </si>
  <si>
    <t>할인금액</t>
    <phoneticPr fontId="5" type="noConversion"/>
  </si>
  <si>
    <t>생산단가</t>
    <phoneticPr fontId="5" type="noConversion"/>
  </si>
  <si>
    <t>가001</t>
    <phoneticPr fontId="5" type="noConversion"/>
  </si>
  <si>
    <t>녹음기</t>
  </si>
  <si>
    <t>나002</t>
    <phoneticPr fontId="5" type="noConversion"/>
  </si>
  <si>
    <t>카세트</t>
  </si>
  <si>
    <t>나002</t>
    <phoneticPr fontId="5" type="noConversion"/>
  </si>
  <si>
    <t>가011</t>
    <phoneticPr fontId="5" type="noConversion"/>
  </si>
  <si>
    <t>가021</t>
    <phoneticPr fontId="5" type="noConversion"/>
  </si>
  <si>
    <t>다003</t>
    <phoneticPr fontId="5" type="noConversion"/>
  </si>
  <si>
    <t>세탁기</t>
  </si>
  <si>
    <t>나004</t>
    <phoneticPr fontId="5" type="noConversion"/>
  </si>
  <si>
    <t>다002</t>
    <phoneticPr fontId="5" type="noConversion"/>
  </si>
  <si>
    <t>가005</t>
    <phoneticPr fontId="5" type="noConversion"/>
  </si>
  <si>
    <t>가052</t>
    <phoneticPr fontId="5" type="noConversion"/>
  </si>
  <si>
    <t>가351</t>
    <phoneticPr fontId="5" type="noConversion"/>
  </si>
  <si>
    <t>나154</t>
    <phoneticPr fontId="5" type="noConversion"/>
  </si>
  <si>
    <t>다502</t>
    <phoneticPr fontId="5" type="noConversion"/>
  </si>
  <si>
    <t>가125</t>
    <phoneticPr fontId="5" type="noConversion"/>
  </si>
  <si>
    <t>가253</t>
    <phoneticPr fontId="5" type="noConversion"/>
  </si>
  <si>
    <t>다244</t>
    <phoneticPr fontId="5" type="noConversion"/>
  </si>
  <si>
    <t>[표4]</t>
    <phoneticPr fontId="5" type="noConversion"/>
  </si>
  <si>
    <t>[표5]</t>
    <phoneticPr fontId="4" type="noConversion"/>
  </si>
  <si>
    <t>회사 비품 현황</t>
    <phoneticPr fontId="4" type="noConversion"/>
  </si>
  <si>
    <t xml:space="preserve">작성일 : </t>
    <phoneticPr fontId="4" type="noConversion"/>
  </si>
  <si>
    <t>품목</t>
    <phoneticPr fontId="4" type="noConversion"/>
  </si>
  <si>
    <t>구입날짜</t>
    <phoneticPr fontId="4" type="noConversion"/>
  </si>
  <si>
    <t>구입액</t>
    <phoneticPr fontId="4" type="noConversion"/>
  </si>
  <si>
    <t>잔존가치</t>
    <phoneticPr fontId="4" type="noConversion"/>
  </si>
  <si>
    <t>수명년수</t>
    <phoneticPr fontId="4" type="noConversion"/>
  </si>
  <si>
    <t>감가상각액1</t>
    <phoneticPr fontId="4" type="noConversion"/>
  </si>
  <si>
    <t>감가상각비2</t>
    <phoneticPr fontId="4" type="noConversion"/>
  </si>
  <si>
    <t>컴퓨터</t>
    <phoneticPr fontId="4" type="noConversion"/>
  </si>
  <si>
    <t>냉장고</t>
    <phoneticPr fontId="4" type="noConversion"/>
  </si>
  <si>
    <t>정수기</t>
    <phoneticPr fontId="4" type="noConversion"/>
  </si>
  <si>
    <t>프린터</t>
    <phoneticPr fontId="4" type="noConversion"/>
  </si>
  <si>
    <t>팩스</t>
    <phoneticPr fontId="4" type="noConversion"/>
  </si>
  <si>
    <t>이름</t>
  </si>
  <si>
    <t>(모두)</t>
  </si>
  <si>
    <t>직위</t>
  </si>
  <si>
    <t>값</t>
  </si>
  <si>
    <t>대리</t>
  </si>
  <si>
    <t>사원</t>
  </si>
  <si>
    <t>주임</t>
  </si>
  <si>
    <t>부서</t>
  </si>
  <si>
    <t>합계 : 기본급</t>
  </si>
  <si>
    <t>합계 : 상여금</t>
  </si>
  <si>
    <t>판촉부</t>
  </si>
  <si>
    <t>총무부</t>
  </si>
  <si>
    <t>인사부</t>
  </si>
  <si>
    <t>유통부</t>
  </si>
  <si>
    <t>영업부</t>
  </si>
  <si>
    <t>디자인</t>
  </si>
  <si>
    <t>기획부</t>
  </si>
  <si>
    <t>광고부</t>
  </si>
  <si>
    <t>경리부</t>
  </si>
  <si>
    <t>판매현황</t>
    <phoneticPr fontId="5" type="noConversion"/>
  </si>
  <si>
    <t>판매일</t>
    <phoneticPr fontId="5" type="noConversion"/>
  </si>
  <si>
    <t>판매형태</t>
    <phoneticPr fontId="5" type="noConversion"/>
  </si>
  <si>
    <t>납품수량</t>
    <phoneticPr fontId="5" type="noConversion"/>
  </si>
  <si>
    <t>반품수량</t>
    <phoneticPr fontId="5" type="noConversion"/>
  </si>
  <si>
    <t>매출액</t>
    <phoneticPr fontId="5" type="noConversion"/>
  </si>
  <si>
    <t>완제품</t>
    <phoneticPr fontId="5" type="noConversion"/>
  </si>
  <si>
    <t>부품</t>
    <phoneticPr fontId="5" type="noConversion"/>
  </si>
  <si>
    <t>합계</t>
    <phoneticPr fontId="5" type="noConversion"/>
  </si>
  <si>
    <t>단가표</t>
    <phoneticPr fontId="5" type="noConversion"/>
  </si>
  <si>
    <t>상반기 제품 생산 및 보유 현황</t>
    <phoneticPr fontId="5" type="noConversion"/>
  </si>
  <si>
    <t>2002년 6월 30일 현재</t>
    <phoneticPr fontId="5" type="noConversion"/>
  </si>
  <si>
    <t>단가단위 : 천원</t>
    <phoneticPr fontId="5" type="noConversion"/>
  </si>
  <si>
    <t>제품명</t>
    <phoneticPr fontId="5" type="noConversion"/>
  </si>
  <si>
    <t>부서</t>
    <phoneticPr fontId="5" type="noConversion"/>
  </si>
  <si>
    <t>생산단가</t>
    <phoneticPr fontId="5" type="noConversion"/>
  </si>
  <si>
    <t>최대 생산량</t>
    <phoneticPr fontId="5" type="noConversion"/>
  </si>
  <si>
    <t>생산량</t>
    <phoneticPr fontId="5" type="noConversion"/>
  </si>
  <si>
    <t>불량품수</t>
    <phoneticPr fontId="5" type="noConversion"/>
  </si>
  <si>
    <t>재고량</t>
    <phoneticPr fontId="5" type="noConversion"/>
  </si>
  <si>
    <t>총보유량</t>
    <phoneticPr fontId="5" type="noConversion"/>
  </si>
  <si>
    <t>CPU</t>
    <phoneticPr fontId="5" type="noConversion"/>
  </si>
  <si>
    <t>1팀</t>
    <phoneticPr fontId="5" type="noConversion"/>
  </si>
  <si>
    <t>HDD</t>
    <phoneticPr fontId="5" type="noConversion"/>
  </si>
  <si>
    <t>1팀</t>
    <phoneticPr fontId="5" type="noConversion"/>
  </si>
  <si>
    <t>FDD</t>
    <phoneticPr fontId="5" type="noConversion"/>
  </si>
  <si>
    <t>3팀</t>
    <phoneticPr fontId="5" type="noConversion"/>
  </si>
  <si>
    <t>모니터</t>
    <phoneticPr fontId="5" type="noConversion"/>
  </si>
  <si>
    <t>2팀</t>
    <phoneticPr fontId="5" type="noConversion"/>
  </si>
  <si>
    <t>프린터</t>
    <phoneticPr fontId="5" type="noConversion"/>
  </si>
  <si>
    <t>CD-ROM</t>
    <phoneticPr fontId="5" type="noConversion"/>
  </si>
  <si>
    <t>3팀</t>
    <phoneticPr fontId="5" type="noConversion"/>
  </si>
  <si>
    <t>키보드</t>
    <phoneticPr fontId="5" type="noConversion"/>
  </si>
  <si>
    <t>마우스</t>
    <phoneticPr fontId="5" type="noConversion"/>
  </si>
  <si>
    <t>스포츠센터 이용 요금</t>
    <phoneticPr fontId="5" type="noConversion"/>
  </si>
  <si>
    <t>고객번호</t>
    <phoneticPr fontId="5" type="noConversion"/>
  </si>
  <si>
    <t>성별</t>
    <phoneticPr fontId="5" type="noConversion"/>
  </si>
  <si>
    <t>종목</t>
    <phoneticPr fontId="5" type="noConversion"/>
  </si>
  <si>
    <t>사용시간</t>
    <phoneticPr fontId="5" type="noConversion"/>
  </si>
  <si>
    <t>금액</t>
    <phoneticPr fontId="5" type="noConversion"/>
  </si>
  <si>
    <t>단가</t>
    <phoneticPr fontId="5" type="noConversion"/>
  </si>
  <si>
    <t>남</t>
  </si>
  <si>
    <t>스쿼시</t>
  </si>
  <si>
    <t>스쿼시</t>
    <phoneticPr fontId="5" type="noConversion"/>
  </si>
  <si>
    <t>여</t>
  </si>
  <si>
    <t>골프</t>
  </si>
  <si>
    <t>골프</t>
    <phoneticPr fontId="5" type="noConversion"/>
  </si>
  <si>
    <t>에어로빅</t>
  </si>
  <si>
    <t>헬스</t>
    <phoneticPr fontId="5" type="noConversion"/>
  </si>
  <si>
    <t>에어로빅</t>
    <phoneticPr fontId="5" type="noConversion"/>
  </si>
  <si>
    <t>수영</t>
    <phoneticPr fontId="5" type="noConversion"/>
  </si>
  <si>
    <t>볼링</t>
    <phoneticPr fontId="5" type="noConversion"/>
  </si>
  <si>
    <t>부양가족수</t>
  </si>
  <si>
    <t>기본급</t>
  </si>
  <si>
    <t>수당</t>
  </si>
  <si>
    <t>김민재</t>
  </si>
  <si>
    <t>이은희</t>
  </si>
  <si>
    <t>신영희</t>
  </si>
  <si>
    <t>박영자</t>
  </si>
  <si>
    <t>이춘식</t>
  </si>
  <si>
    <t>김인수</t>
  </si>
  <si>
    <t>성석제</t>
  </si>
  <si>
    <t>이문열</t>
  </si>
  <si>
    <t>양재천</t>
  </si>
  <si>
    <t>박용현</t>
  </si>
  <si>
    <t>김평식</t>
  </si>
  <si>
    <t>이광석</t>
  </si>
  <si>
    <t>김민환</t>
  </si>
  <si>
    <t>이출하</t>
  </si>
  <si>
    <t>송명근</t>
  </si>
  <si>
    <t>송연정</t>
  </si>
  <si>
    <t>김성희</t>
  </si>
  <si>
    <t>고영욱</t>
  </si>
  <si>
    <t>박은실</t>
  </si>
  <si>
    <t>신성호</t>
  </si>
  <si>
    <t>설영범</t>
  </si>
  <si>
    <t>김영민</t>
  </si>
  <si>
    <t>문선희</t>
  </si>
  <si>
    <t>임종국</t>
  </si>
  <si>
    <t>이완호</t>
  </si>
  <si>
    <t>김익태</t>
  </si>
  <si>
    <t>문영래</t>
  </si>
  <si>
    <t>남기원</t>
  </si>
  <si>
    <t>황유진</t>
  </si>
  <si>
    <t>김동길</t>
  </si>
  <si>
    <t>$B$15</t>
  </si>
  <si>
    <t>$B$16</t>
  </si>
  <si>
    <t>$E$12</t>
  </si>
  <si>
    <t>단가 증가</t>
  </si>
  <si>
    <t>만든 사람 김우경 날짜 2017-08-29</t>
  </si>
  <si>
    <t>단가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</si>
  <si>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</si>
  <si>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</si>
  <si>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</si>
  <si>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</si>
  <si>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</si>
  <si>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</si>
  <si>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</si>
  <si>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매출번호</t>
  </si>
  <si>
    <t>순번</t>
  </si>
  <si>
    <t>거래처명</t>
  </si>
  <si>
    <t>공급가액</t>
  </si>
  <si>
    <t>세액</t>
  </si>
  <si>
    <t>합계</t>
  </si>
  <si>
    <t>겔럭시게이트</t>
  </si>
  <si>
    <t>모니터</t>
  </si>
  <si>
    <t>한솔CSN</t>
  </si>
  <si>
    <t>스피커</t>
  </si>
  <si>
    <t>키보드</t>
  </si>
  <si>
    <t>프린터</t>
  </si>
  <si>
    <t>통판뉴스</t>
  </si>
  <si>
    <t>한솔기획</t>
  </si>
  <si>
    <t>헤드셋</t>
  </si>
  <si>
    <t>RG홈쇼핑</t>
  </si>
  <si>
    <t>마우스</t>
  </si>
  <si>
    <t>스캐너</t>
  </si>
  <si>
    <t>가나통상</t>
  </si>
  <si>
    <t>즐겨찾기</t>
  </si>
  <si>
    <t>온누리홈쇼핑</t>
  </si>
  <si>
    <t>토너</t>
  </si>
  <si>
    <t>한국위성방송</t>
  </si>
  <si>
    <t>코오롱홈쇼핑</t>
  </si>
  <si>
    <t>여수홈쇼핑</t>
  </si>
  <si>
    <t>영상코퍼레이션</t>
  </si>
  <si>
    <t>전기밥솥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</si>
</sst>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mm&quot;월&quot;\ dd&quot;일&quot;"/>
    <numFmt numFmtId="180" formatCode="#,##0_);[Red]\(#,##0\)"/>
    <numFmt numFmtId="181" formatCode="#&quot;이&quot;&quot;상&quot;"/>
    <numFmt numFmtId="182" formatCode="0&quot;이&quot;&quot;상&quot;"/>
    <numFmt numFmtId="183" formatCode="#,##0&quot;원&quot;"/>
    <numFmt numFmtId="184" formatCode="\\#,##0;&quot;-\&quot;#,##0"/>
  </numFmts>
  <fonts count="2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indexed="63"/>
      <name val="맑은 고딕"/>
      <family val="3"/>
      <charset val="129"/>
      <scheme val="minor"/>
    </font>
    <font>
      <b/>
      <sz val="14"/>
      <color indexed="63"/>
      <name val="맑은 고딕"/>
      <family val="3"/>
      <charset val="129"/>
      <scheme val="minor"/>
    </font>
    <font>
      <b/>
      <sz val="11"/>
      <color indexed="52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7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0" fontId="2" fillId="0" borderId="0"/>
    <xf numFmtId="178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17" fillId="0" borderId="0"/>
  </cellStyleXfs>
  <cellXfs count="106">
    <xf numFmtId="0" fontId="0" fillId="0" borderId="0" xfId="0">
      <alignment vertical="center"/>
    </xf>
    <xf numFmtId="0" fontId="3" fillId="0" borderId="0" xfId="2" applyFont="1"/>
    <xf numFmtId="0" fontId="6" fillId="0" borderId="0" xfId="2" applyNumberFormat="1" applyFont="1" applyFill="1" applyBorder="1" applyAlignment="1"/>
    <xf numFmtId="0" fontId="8" fillId="0" borderId="0" xfId="2" applyFont="1" applyAlignment="1">
      <alignment horizontal="left"/>
    </xf>
    <xf numFmtId="0" fontId="9" fillId="0" borderId="0" xfId="2" applyFont="1" applyAlignment="1">
      <alignment horizontal="center"/>
    </xf>
    <xf numFmtId="179" fontId="3" fillId="0" borderId="0" xfId="2" applyNumberFormat="1" applyFont="1" applyAlignment="1">
      <alignment horizontal="right"/>
    </xf>
    <xf numFmtId="0" fontId="6" fillId="2" borderId="1" xfId="2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left" wrapText="1"/>
    </xf>
    <xf numFmtId="0" fontId="3" fillId="0" borderId="1" xfId="2" applyFont="1" applyFill="1" applyBorder="1" applyAlignment="1">
      <alignment horizontal="center" wrapText="1"/>
    </xf>
    <xf numFmtId="3" fontId="3" fillId="0" borderId="1" xfId="2" applyNumberFormat="1" applyFont="1" applyFill="1" applyBorder="1" applyAlignment="1">
      <alignment horizontal="right" wrapText="1"/>
    </xf>
    <xf numFmtId="0" fontId="3" fillId="0" borderId="1" xfId="2" applyFont="1" applyFill="1" applyBorder="1" applyAlignment="1">
      <alignment horizontal="right" wrapText="1"/>
    </xf>
    <xf numFmtId="0" fontId="10" fillId="0" borderId="2" xfId="2" applyFont="1" applyBorder="1" applyAlignment="1">
      <alignment horizontal="center"/>
    </xf>
    <xf numFmtId="0" fontId="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3" fontId="3" fillId="0" borderId="3" xfId="3" applyNumberFormat="1" applyFont="1" applyBorder="1"/>
    <xf numFmtId="9" fontId="3" fillId="0" borderId="3" xfId="4" applyFont="1" applyBorder="1"/>
    <xf numFmtId="0" fontId="3" fillId="0" borderId="0" xfId="2" applyFont="1" applyFill="1" applyBorder="1" applyAlignment="1">
      <alignment horizontal="center"/>
    </xf>
    <xf numFmtId="0" fontId="3" fillId="0" borderId="0" xfId="2" applyFont="1" applyFill="1"/>
    <xf numFmtId="0" fontId="3" fillId="0" borderId="0" xfId="2" applyFont="1" applyFill="1" applyBorder="1" applyAlignment="1"/>
    <xf numFmtId="0" fontId="3" fillId="0" borderId="3" xfId="2" applyFont="1" applyFill="1" applyBorder="1" applyAlignment="1">
      <alignment horizontal="center"/>
    </xf>
    <xf numFmtId="0" fontId="3" fillId="3" borderId="3" xfId="2" applyFont="1" applyFill="1" applyBorder="1" applyAlignment="1">
      <alignment horizontal="center"/>
    </xf>
    <xf numFmtId="0" fontId="3" fillId="0" borderId="3" xfId="2" applyFont="1" applyBorder="1"/>
    <xf numFmtId="0" fontId="3" fillId="0" borderId="3" xfId="2" applyFont="1" applyFill="1" applyBorder="1"/>
    <xf numFmtId="0" fontId="3" fillId="0" borderId="3" xfId="2" applyFont="1" applyFill="1" applyBorder="1" applyAlignment="1">
      <alignment horizontal="right"/>
    </xf>
    <xf numFmtId="3" fontId="3" fillId="0" borderId="3" xfId="2" applyNumberFormat="1" applyFont="1" applyFill="1" applyBorder="1"/>
    <xf numFmtId="0" fontId="3" fillId="0" borderId="0" xfId="2" applyFont="1" applyFill="1" applyBorder="1" applyAlignment="1">
      <alignment horizontal="left"/>
    </xf>
    <xf numFmtId="178" fontId="3" fillId="0" borderId="3" xfId="3" applyFont="1" applyBorder="1"/>
    <xf numFmtId="9" fontId="3" fillId="0" borderId="3" xfId="4" applyFont="1" applyFill="1" applyBorder="1"/>
    <xf numFmtId="180" fontId="3" fillId="0" borderId="3" xfId="5" applyNumberFormat="1" applyFont="1" applyBorder="1"/>
    <xf numFmtId="178" fontId="3" fillId="0" borderId="3" xfId="3" applyFont="1" applyFill="1" applyBorder="1" applyAlignment="1">
      <alignment horizontal="center"/>
    </xf>
    <xf numFmtId="0" fontId="3" fillId="0" borderId="0" xfId="2" applyFont="1" applyFill="1" applyBorder="1"/>
    <xf numFmtId="0" fontId="3" fillId="0" borderId="3" xfId="2" applyFont="1" applyFill="1" applyBorder="1" applyAlignment="1">
      <alignment horizontal="center" vertical="center"/>
    </xf>
    <xf numFmtId="0" fontId="3" fillId="0" borderId="4" xfId="2" applyFont="1" applyFill="1" applyBorder="1" applyAlignment="1">
      <alignment horizontal="center"/>
    </xf>
    <xf numFmtId="0" fontId="3" fillId="0" borderId="5" xfId="2" applyFont="1" applyFill="1" applyBorder="1" applyAlignment="1">
      <alignment horizontal="center"/>
    </xf>
    <xf numFmtId="0" fontId="3" fillId="0" borderId="6" xfId="2" applyFont="1" applyFill="1" applyBorder="1" applyAlignment="1">
      <alignment horizontal="center"/>
    </xf>
    <xf numFmtId="181" fontId="3" fillId="3" borderId="3" xfId="2" applyNumberFormat="1" applyFont="1" applyFill="1" applyBorder="1" applyAlignment="1">
      <alignment horizontal="center"/>
    </xf>
    <xf numFmtId="182" fontId="3" fillId="3" borderId="3" xfId="2" applyNumberFormat="1" applyFont="1" applyFill="1" applyBorder="1" applyAlignment="1">
      <alignment horizontal="center"/>
    </xf>
    <xf numFmtId="0" fontId="3" fillId="0" borderId="0" xfId="2" applyFont="1" applyFill="1" applyAlignment="1">
      <alignment horizontal="right"/>
    </xf>
    <xf numFmtId="14" fontId="3" fillId="0" borderId="0" xfId="2" applyNumberFormat="1" applyFont="1" applyFill="1"/>
    <xf numFmtId="0" fontId="3" fillId="4" borderId="3" xfId="2" applyFont="1" applyFill="1" applyBorder="1" applyAlignment="1">
      <alignment horizontal="center"/>
    </xf>
    <xf numFmtId="14" fontId="3" fillId="0" borderId="3" xfId="2" applyNumberFormat="1" applyFont="1" applyBorder="1"/>
    <xf numFmtId="178" fontId="3" fillId="0" borderId="3" xfId="1" applyFont="1" applyBorder="1" applyAlignment="1"/>
    <xf numFmtId="176" fontId="3" fillId="0" borderId="3" xfId="2" applyNumberFormat="1" applyFont="1" applyFill="1" applyBorder="1"/>
    <xf numFmtId="0" fontId="0" fillId="0" borderId="0" xfId="0" applyAlignment="1">
      <alignment horizontal="center" vertical="center"/>
    </xf>
    <xf numFmtId="183" fontId="0" fillId="0" borderId="0" xfId="0" applyNumberFormat="1">
      <alignment vertical="center"/>
    </xf>
    <xf numFmtId="0" fontId="3" fillId="0" borderId="0" xfId="2" applyFont="1" applyAlignment="1">
      <alignment vertical="center"/>
    </xf>
    <xf numFmtId="179" fontId="3" fillId="0" borderId="3" xfId="2" applyNumberFormat="1" applyFont="1" applyBorder="1" applyAlignment="1">
      <alignment horizontal="center"/>
    </xf>
    <xf numFmtId="178" fontId="11" fillId="0" borderId="3" xfId="3" applyFont="1" applyBorder="1"/>
    <xf numFmtId="0" fontId="10" fillId="0" borderId="0" xfId="2" applyFont="1" applyAlignment="1">
      <alignment horizontal="center"/>
    </xf>
    <xf numFmtId="0" fontId="3" fillId="0" borderId="0" xfId="2" applyFont="1" applyAlignment="1">
      <alignment horizontal="right"/>
    </xf>
    <xf numFmtId="0" fontId="3" fillId="0" borderId="0" xfId="2" applyFont="1" applyAlignment="1">
      <alignment horizontal="center"/>
    </xf>
    <xf numFmtId="0" fontId="14" fillId="0" borderId="0" xfId="2" applyFont="1" applyAlignment="1">
      <alignment horizontal="center"/>
    </xf>
    <xf numFmtId="3" fontId="3" fillId="0" borderId="0" xfId="2" applyNumberFormat="1" applyFont="1"/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22" fontId="0" fillId="0" borderId="8" xfId="0" applyNumberFormat="1" applyFont="1" applyBorder="1">
      <alignment vertical="center"/>
    </xf>
    <xf numFmtId="0" fontId="0" fillId="0" borderId="9" xfId="0" applyFont="1" applyBorder="1">
      <alignment vertical="center"/>
    </xf>
    <xf numFmtId="0" fontId="15" fillId="5" borderId="10" xfId="0" applyFont="1" applyFill="1" applyBorder="1">
      <alignment vertical="center"/>
    </xf>
    <xf numFmtId="0" fontId="15" fillId="5" borderId="11" xfId="0" applyFont="1" applyFill="1" applyBorder="1">
      <alignment vertical="center"/>
    </xf>
    <xf numFmtId="0" fontId="15" fillId="5" borderId="12" xfId="0" applyFont="1" applyFill="1" applyBorder="1">
      <alignment vertical="center"/>
    </xf>
    <xf numFmtId="0" fontId="0" fillId="6" borderId="10" xfId="0" applyFont="1" applyFill="1" applyBorder="1">
      <alignment vertical="center"/>
    </xf>
    <xf numFmtId="0" fontId="0" fillId="6" borderId="11" xfId="0" applyFont="1" applyFill="1" applyBorder="1">
      <alignment vertical="center"/>
    </xf>
    <xf numFmtId="22" fontId="0" fillId="6" borderId="11" xfId="0" applyNumberFormat="1" applyFont="1" applyFill="1" applyBorder="1">
      <alignment vertical="center"/>
    </xf>
    <xf numFmtId="0" fontId="0" fillId="6" borderId="12" xfId="0" applyFont="1" applyFill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22" fontId="0" fillId="0" borderId="11" xfId="0" applyNumberFormat="1" applyFont="1" applyBorder="1">
      <alignment vertical="center"/>
    </xf>
    <xf numFmtId="0" fontId="0" fillId="0" borderId="12" xfId="0" applyFont="1" applyBorder="1">
      <alignment vertical="center"/>
    </xf>
    <xf numFmtId="0" fontId="16" fillId="0" borderId="13" xfId="6" applyNumberFormat="1" applyFont="1" applyBorder="1" applyAlignment="1">
      <alignment wrapText="1"/>
    </xf>
    <xf numFmtId="0" fontId="16" fillId="0" borderId="13" xfId="6" applyNumberFormat="1" applyFont="1" applyBorder="1" applyAlignment="1">
      <alignment horizontal="right" wrapText="1"/>
    </xf>
    <xf numFmtId="0" fontId="16" fillId="0" borderId="14" xfId="6" applyNumberFormat="1" applyFont="1" applyBorder="1" applyAlignment="1">
      <alignment horizontal="right" wrapText="1"/>
    </xf>
    <xf numFmtId="0" fontId="16" fillId="0" borderId="15" xfId="6" applyNumberFormat="1" applyFont="1" applyBorder="1" applyAlignment="1">
      <alignment wrapText="1"/>
    </xf>
    <xf numFmtId="0" fontId="16" fillId="0" borderId="15" xfId="6" applyNumberFormat="1" applyFont="1" applyBorder="1" applyAlignment="1">
      <alignment horizontal="right" wrapText="1"/>
    </xf>
    <xf numFmtId="0" fontId="16" fillId="0" borderId="16" xfId="6" applyNumberFormat="1" applyFont="1" applyBorder="1" applyAlignment="1">
      <alignment horizontal="right" wrapText="1"/>
    </xf>
    <xf numFmtId="0" fontId="18" fillId="5" borderId="13" xfId="6" applyNumberFormat="1" applyFont="1" applyFill="1" applyBorder="1" applyAlignment="1">
      <alignment horizontal="center"/>
    </xf>
    <xf numFmtId="0" fontId="18" fillId="5" borderId="14" xfId="6" applyNumberFormat="1" applyFont="1" applyFill="1" applyBorder="1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Fill="1" applyBorder="1" applyAlignment="1">
      <alignment vertical="center"/>
    </xf>
    <xf numFmtId="178" fontId="0" fillId="0" borderId="18" xfId="0" applyNumberFormat="1" applyFill="1" applyBorder="1" applyAlignment="1">
      <alignment vertical="center"/>
    </xf>
    <xf numFmtId="0" fontId="20" fillId="7" borderId="2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left" vertical="center"/>
    </xf>
    <xf numFmtId="0" fontId="20" fillId="7" borderId="17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21" fillId="8" borderId="0" xfId="0" applyFont="1" applyFill="1" applyBorder="1" applyAlignment="1">
      <alignment horizontal="left" vertical="center"/>
    </xf>
    <xf numFmtId="0" fontId="22" fillId="8" borderId="5" xfId="0" applyFont="1" applyFill="1" applyBorder="1" applyAlignment="1">
      <alignment horizontal="left" vertical="center"/>
    </xf>
    <xf numFmtId="0" fontId="23" fillId="8" borderId="5" xfId="0" applyFont="1" applyFill="1" applyBorder="1" applyAlignment="1">
      <alignment horizontal="left" vertical="center"/>
    </xf>
    <xf numFmtId="0" fontId="21" fillId="8" borderId="18" xfId="0" applyFont="1" applyFill="1" applyBorder="1" applyAlignment="1">
      <alignment horizontal="left" vertical="center"/>
    </xf>
    <xf numFmtId="0" fontId="19" fillId="7" borderId="17" xfId="0" applyFont="1" applyFill="1" applyBorder="1" applyAlignment="1">
      <alignment horizontal="right" vertical="center"/>
    </xf>
    <xf numFmtId="0" fontId="19" fillId="7" borderId="2" xfId="0" applyFont="1" applyFill="1" applyBorder="1" applyAlignment="1">
      <alignment horizontal="right" vertical="center"/>
    </xf>
    <xf numFmtId="0" fontId="0" fillId="9" borderId="0" xfId="0" applyFill="1" applyBorder="1" applyAlignment="1">
      <alignment vertical="center"/>
    </xf>
    <xf numFmtId="0" fontId="24" fillId="0" borderId="0" xfId="0" applyFont="1" applyFill="1" applyBorder="1" applyAlignment="1">
      <alignment vertical="top" wrapText="1"/>
    </xf>
    <xf numFmtId="0" fontId="18" fillId="5" borderId="19" xfId="6" applyNumberFormat="1" applyFont="1" applyFill="1" applyBorder="1" applyAlignment="1">
      <alignment horizontal="center"/>
    </xf>
    <xf numFmtId="0" fontId="16" fillId="0" borderId="19" xfId="6" applyNumberFormat="1" applyFont="1" applyBorder="1" applyAlignment="1">
      <alignment horizontal="right" wrapText="1"/>
    </xf>
    <xf numFmtId="184" fontId="16" fillId="0" borderId="13" xfId="6" applyNumberFormat="1" applyFont="1" applyBorder="1" applyAlignment="1">
      <alignment horizontal="right" wrapText="1"/>
    </xf>
    <xf numFmtId="184" fontId="16" fillId="0" borderId="14" xfId="6" applyNumberFormat="1" applyFont="1" applyBorder="1" applyAlignment="1">
      <alignment horizontal="right" wrapText="1"/>
    </xf>
    <xf numFmtId="0" fontId="16" fillId="0" borderId="20" xfId="6" applyNumberFormat="1" applyFont="1" applyBorder="1" applyAlignment="1">
      <alignment horizontal="right" wrapText="1"/>
    </xf>
    <xf numFmtId="184" fontId="16" fillId="0" borderId="15" xfId="6" applyNumberFormat="1" applyFont="1" applyBorder="1" applyAlignment="1">
      <alignment horizontal="right" wrapText="1"/>
    </xf>
    <xf numFmtId="184" fontId="16" fillId="0" borderId="16" xfId="6" applyNumberFormat="1" applyFont="1" applyBorder="1" applyAlignment="1">
      <alignment horizontal="right" wrapText="1"/>
    </xf>
    <xf numFmtId="0" fontId="7" fillId="0" borderId="0" xfId="2" applyFont="1" applyAlignment="1">
      <alignment horizontal="center"/>
    </xf>
    <xf numFmtId="0" fontId="10" fillId="0" borderId="0" xfId="2" applyFont="1" applyAlignment="1">
      <alignment horizontal="center"/>
    </xf>
    <xf numFmtId="0" fontId="3" fillId="0" borderId="0" xfId="2" applyFont="1" applyAlignment="1">
      <alignment horizontal="center"/>
    </xf>
    <xf numFmtId="0" fontId="13" fillId="0" borderId="0" xfId="2" applyFont="1" applyAlignment="1">
      <alignment horizontal="center" vertical="center"/>
    </xf>
    <xf numFmtId="0" fontId="3" fillId="0" borderId="4" xfId="2" applyFont="1" applyBorder="1" applyAlignment="1">
      <alignment horizontal="center"/>
    </xf>
    <xf numFmtId="0" fontId="3" fillId="0" borderId="6" xfId="2" applyFont="1" applyBorder="1" applyAlignment="1">
      <alignment horizontal="center"/>
    </xf>
    <xf numFmtId="0" fontId="3" fillId="0" borderId="3" xfId="2" applyFont="1" applyBorder="1" applyAlignment="1">
      <alignment horizontal="center"/>
    </xf>
  </cellXfs>
  <cellStyles count="7">
    <cellStyle name="백분율 2" xfId="4"/>
    <cellStyle name="쉼표 [0]" xfId="1" builtinId="6"/>
    <cellStyle name="쉼표 [0] 2" xfId="3"/>
    <cellStyle name="통화 [0] 2" xfId="5"/>
    <cellStyle name="표준" xfId="0" builtinId="0"/>
    <cellStyle name="표준 2" xfId="2"/>
    <cellStyle name="표준_분석작업-1" xfId="6"/>
  </cellStyles>
  <dxfs count="12">
    <dxf>
      <font>
        <b/>
        <i val="0"/>
        <u val="doubl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en-US" altLang="ko-KR" sz="1400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rPr>
              <a:t>1</a:t>
            </a:r>
            <a:r>
              <a:rPr lang="ko-KR" altLang="en-US" sz="1400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rPr>
              <a:t>팀 제품 생산 및 보유 현황</a:t>
            </a:r>
            <a:endParaRPr lang="ko-KR" altLang="en-US" sz="1400">
              <a:latin typeface="굴림체" panose="020B0609000101010101" pitchFamily="49" charset="-127"/>
              <a:ea typeface="굴림체" panose="020B0609000101010101" pitchFamily="49" charset="-127"/>
            </a:endParaRPr>
          </a:p>
        </c:rich>
      </c:tx>
      <c:overlay val="0"/>
      <c:spPr>
        <a:gradFill rotWithShape="1">
          <a:gsLst>
            <a:gs pos="0">
              <a:schemeClr val="accent4">
                <a:tint val="50000"/>
                <a:satMod val="300000"/>
              </a:schemeClr>
            </a:gs>
            <a:gs pos="35000">
              <a:schemeClr val="accent4">
                <a:tint val="37000"/>
                <a:satMod val="300000"/>
              </a:schemeClr>
            </a:gs>
            <a:gs pos="100000">
              <a:schemeClr val="accent4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4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생산량</c:v>
                </c:pt>
              </c:strCache>
            </c:strRef>
          </c:tx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('기타작업-1'!$A$4:$A$5,'기타작업-1'!$A$8)</c:f>
              <c:strCache>
                <c:ptCount val="3"/>
                <c:pt idx="0">
                  <c:v>CPU</c:v>
                </c:pt>
                <c:pt idx="1">
                  <c:v>HDD</c:v>
                </c:pt>
                <c:pt idx="2">
                  <c:v>프린터</c:v>
                </c:pt>
              </c:strCache>
            </c:strRef>
          </c:cat>
          <c:val>
            <c:numRef>
              <c:f>('기타작업-1'!$E$4:$E$5,'기타작업-1'!$E$8)</c:f>
              <c:numCache>
                <c:formatCode>_(* #,##0_);_(* \(#,##0\);_(* "-"_);_(@_)</c:formatCode>
                <c:ptCount val="3"/>
                <c:pt idx="0">
                  <c:v>1500</c:v>
                </c:pt>
                <c:pt idx="1">
                  <c:v>3500</c:v>
                </c:pt>
                <c:pt idx="2">
                  <c:v>4500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'기타작업-1'!$H$3</c:f>
              <c:strCache>
                <c:ptCount val="1"/>
                <c:pt idx="0">
                  <c:v>총보유량</c:v>
                </c:pt>
              </c:strCache>
            </c:strRef>
          </c:tx>
          <c:cat>
            <c:strRef>
              <c:f>('기타작업-1'!$A$4:$A$5,'기타작업-1'!$A$8)</c:f>
              <c:strCache>
                <c:ptCount val="3"/>
                <c:pt idx="0">
                  <c:v>CPU</c:v>
                </c:pt>
                <c:pt idx="1">
                  <c:v>HDD</c:v>
                </c:pt>
                <c:pt idx="2">
                  <c:v>프린터</c:v>
                </c:pt>
              </c:strCache>
            </c:strRef>
          </c:cat>
          <c:val>
            <c:numRef>
              <c:f>('기타작업-1'!$H$4:$H$5,'기타작업-1'!$H$8)</c:f>
              <c:numCache>
                <c:formatCode>_(* #,##0_);_(* \(#,##0\);_(* "-"_);_(@_)</c:formatCode>
                <c:ptCount val="3"/>
                <c:pt idx="0">
                  <c:v>1600</c:v>
                </c:pt>
                <c:pt idx="1">
                  <c:v>3650</c:v>
                </c:pt>
                <c:pt idx="2">
                  <c:v>4580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97056"/>
        <c:axId val="146058624"/>
      </c:lineChart>
      <c:catAx>
        <c:axId val="13559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058624"/>
        <c:crosses val="autoZero"/>
        <c:auto val="1"/>
        <c:lblAlgn val="ctr"/>
        <c:lblOffset val="100"/>
        <c:noMultiLvlLbl val="0"/>
      </c:catAx>
      <c:valAx>
        <c:axId val="146058624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개</a:t>
                </a:r>
              </a:p>
            </c:rich>
          </c:tx>
          <c:overlay val="0"/>
        </c:title>
        <c:numFmt formatCode="_(* #,##0_);_(* \(#,##0\);_(* &quot;-&quot;_);_(@_)" sourceLinked="1"/>
        <c:majorTickMark val="out"/>
        <c:minorTickMark val="none"/>
        <c:tickLblPos val="nextTo"/>
        <c:crossAx val="135597056"/>
        <c:crosses val="autoZero"/>
        <c:crossBetween val="between"/>
        <c:majorUnit val="1000"/>
      </c:valAx>
      <c:dTable>
        <c:showHorzBorder val="1"/>
        <c:showVertBorder val="1"/>
        <c:showOutline val="1"/>
        <c:showKeys val="1"/>
      </c:dTable>
      <c:spPr>
        <a:solidFill>
          <a:schemeClr val="bg1">
            <a:lumMod val="85000"/>
          </a:schemeClr>
        </a:solidFill>
      </c:spPr>
    </c:plotArea>
    <c:legend>
      <c:legendPos val="r"/>
      <c:overlay val="0"/>
      <c:txPr>
        <a:bodyPr/>
        <a:lstStyle/>
        <a:p>
          <a:pPr>
            <a:defRPr>
              <a:latin typeface="굴림체" panose="020B0609000101010101" pitchFamily="49" charset="-127"/>
              <a:ea typeface="굴림체" panose="020B0609000101010101" pitchFamily="49" charset="-127"/>
            </a:defRPr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시나리오 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5</xdr:col>
      <xdr:colOff>723900</xdr:colOff>
      <xdr:row>0</xdr:row>
      <xdr:rowOff>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3676650" y="0"/>
          <a:ext cx="647700" cy="0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752475</xdr:colOff>
      <xdr:row>0</xdr:row>
      <xdr:rowOff>0</xdr:rowOff>
    </xdr:from>
    <xdr:to>
      <xdr:col>7</xdr:col>
      <xdr:colOff>0</xdr:colOff>
      <xdr:row>0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4324350" y="0"/>
          <a:ext cx="685800" cy="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돋움"/>
              <a:ea typeface="돋움"/>
            </a:rPr>
            <a:t>서식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76200</xdr:rowOff>
        </xdr:from>
        <xdr:to>
          <xdr:col>6</xdr:col>
          <xdr:colOff>438150</xdr:colOff>
          <xdr:row>2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6.769736226852" createdVersion="4" refreshedVersion="4" minRefreshableVersion="3" recordCount="30">
  <cacheSource type="worksheet">
    <worksheetSource ref="A1:F31" sheet="분석작업-1"/>
  </cacheSource>
  <cacheFields count="7">
    <cacheField name="이름" numFmtId="0">
      <sharedItems count="30">
        <s v="김민재"/>
        <s v="이은희"/>
        <s v="신영희"/>
        <s v="박영자"/>
        <s v="이춘식"/>
        <s v="김인수"/>
        <s v="성석제"/>
        <s v="이문열"/>
        <s v="양재천"/>
        <s v="박용현"/>
        <s v="김평식"/>
        <s v="이광석"/>
        <s v="김민환"/>
        <s v="이출하"/>
        <s v="송명근"/>
        <s v="송연정"/>
        <s v="김성희"/>
        <s v="고영욱"/>
        <s v="박은실"/>
        <s v="신성호"/>
        <s v="설영범"/>
        <s v="김영민"/>
        <s v="문선희"/>
        <s v="임종국"/>
        <s v="이완호"/>
        <s v="김익태"/>
        <s v="문영래"/>
        <s v="남기원"/>
        <s v="황유진"/>
        <s v="김동길"/>
      </sharedItems>
    </cacheField>
    <cacheField name="부서" numFmtId="0">
      <sharedItems count="9">
        <s v="판촉부"/>
        <s v="총무부"/>
        <s v="기획부"/>
        <s v="인사부"/>
        <s v="유통부"/>
        <s v="광고부"/>
        <s v="영업부"/>
        <s v="디자인"/>
        <s v="경리부"/>
      </sharedItems>
    </cacheField>
    <cacheField name="직위" numFmtId="0">
      <sharedItems count="3">
        <s v="대리"/>
        <s v="주임"/>
        <s v="사원"/>
      </sharedItems>
    </cacheField>
    <cacheField name="부양가족수" numFmtId="0">
      <sharedItems containsSemiMixedTypes="0" containsString="0" containsNumber="1" containsInteger="1" minValue="1" maxValue="5"/>
    </cacheField>
    <cacheField name="기본급" numFmtId="0">
      <sharedItems containsSemiMixedTypes="0" containsString="0" containsNumber="1" containsInteger="1" minValue="900000" maxValue="1000000"/>
    </cacheField>
    <cacheField name="수당" numFmtId="0">
      <sharedItems containsSemiMixedTypes="0" containsString="0" containsNumber="1" containsInteger="1" minValue="0" maxValue="50000"/>
    </cacheField>
    <cacheField name="상여금" numFmtId="0" formula=" ROUND(기본급*15%,-4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n v="3"/>
    <n v="1000000"/>
    <n v="30000"/>
  </r>
  <r>
    <x v="1"/>
    <x v="1"/>
    <x v="1"/>
    <n v="2"/>
    <n v="950000"/>
    <n v="0"/>
  </r>
  <r>
    <x v="2"/>
    <x v="2"/>
    <x v="1"/>
    <n v="3"/>
    <n v="950000"/>
    <n v="0"/>
  </r>
  <r>
    <x v="3"/>
    <x v="3"/>
    <x v="0"/>
    <n v="5"/>
    <n v="1000000"/>
    <n v="0"/>
  </r>
  <r>
    <x v="4"/>
    <x v="4"/>
    <x v="0"/>
    <n v="4"/>
    <n v="1000000"/>
    <n v="0"/>
  </r>
  <r>
    <x v="5"/>
    <x v="1"/>
    <x v="0"/>
    <n v="3"/>
    <n v="1000000"/>
    <n v="0"/>
  </r>
  <r>
    <x v="6"/>
    <x v="1"/>
    <x v="2"/>
    <n v="1"/>
    <n v="900000"/>
    <n v="0"/>
  </r>
  <r>
    <x v="7"/>
    <x v="5"/>
    <x v="1"/>
    <n v="1"/>
    <n v="950000"/>
    <n v="20140"/>
  </r>
  <r>
    <x v="8"/>
    <x v="1"/>
    <x v="0"/>
    <n v="3"/>
    <n v="1000000"/>
    <n v="0"/>
  </r>
  <r>
    <x v="9"/>
    <x v="0"/>
    <x v="2"/>
    <n v="2"/>
    <n v="900000"/>
    <n v="30000"/>
  </r>
  <r>
    <x v="10"/>
    <x v="6"/>
    <x v="2"/>
    <n v="2"/>
    <n v="900000"/>
    <n v="50000"/>
  </r>
  <r>
    <x v="11"/>
    <x v="7"/>
    <x v="2"/>
    <n v="3"/>
    <n v="900000"/>
    <n v="0"/>
  </r>
  <r>
    <x v="12"/>
    <x v="0"/>
    <x v="2"/>
    <n v="5"/>
    <n v="900000"/>
    <n v="30000"/>
  </r>
  <r>
    <x v="13"/>
    <x v="3"/>
    <x v="1"/>
    <n v="2"/>
    <n v="950000"/>
    <n v="0"/>
  </r>
  <r>
    <x v="14"/>
    <x v="4"/>
    <x v="1"/>
    <n v="1"/>
    <n v="950000"/>
    <n v="0"/>
  </r>
  <r>
    <x v="15"/>
    <x v="0"/>
    <x v="1"/>
    <n v="4"/>
    <n v="950000"/>
    <n v="30000"/>
  </r>
  <r>
    <x v="16"/>
    <x v="3"/>
    <x v="2"/>
    <n v="2"/>
    <n v="900000"/>
    <n v="0"/>
  </r>
  <r>
    <x v="17"/>
    <x v="0"/>
    <x v="0"/>
    <n v="1"/>
    <n v="1000000"/>
    <n v="30000"/>
  </r>
  <r>
    <x v="18"/>
    <x v="8"/>
    <x v="0"/>
    <n v="3"/>
    <n v="1000000"/>
    <n v="0"/>
  </r>
  <r>
    <x v="19"/>
    <x v="7"/>
    <x v="2"/>
    <n v="2"/>
    <n v="900000"/>
    <n v="0"/>
  </r>
  <r>
    <x v="20"/>
    <x v="0"/>
    <x v="2"/>
    <n v="4"/>
    <n v="900000"/>
    <n v="30000"/>
  </r>
  <r>
    <x v="21"/>
    <x v="1"/>
    <x v="2"/>
    <n v="2"/>
    <n v="900000"/>
    <n v="0"/>
  </r>
  <r>
    <x v="22"/>
    <x v="7"/>
    <x v="0"/>
    <n v="1"/>
    <n v="1000000"/>
    <n v="0"/>
  </r>
  <r>
    <x v="23"/>
    <x v="4"/>
    <x v="0"/>
    <n v="2"/>
    <n v="1000000"/>
    <n v="0"/>
  </r>
  <r>
    <x v="24"/>
    <x v="2"/>
    <x v="2"/>
    <n v="1"/>
    <n v="900000"/>
    <n v="0"/>
  </r>
  <r>
    <x v="25"/>
    <x v="5"/>
    <x v="1"/>
    <n v="2"/>
    <n v="950000"/>
    <n v="20140"/>
  </r>
  <r>
    <x v="26"/>
    <x v="3"/>
    <x v="1"/>
    <n v="2"/>
    <n v="950000"/>
    <n v="0"/>
  </r>
  <r>
    <x v="27"/>
    <x v="2"/>
    <x v="2"/>
    <n v="3"/>
    <n v="900000"/>
    <n v="0"/>
  </r>
  <r>
    <x v="28"/>
    <x v="2"/>
    <x v="2"/>
    <n v="3"/>
    <n v="900000"/>
    <n v="0"/>
  </r>
  <r>
    <x v="29"/>
    <x v="4"/>
    <x v="1"/>
    <n v="2"/>
    <n v="95000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5" applyNumberFormats="0" applyBorderFormats="0" applyFontFormats="0" applyPatternFormats="0" applyAlignmentFormats="0" applyWidthHeightFormats="1" dataCaption="값" updatedVersion="4" minRefreshableVersion="3" useAutoFormatting="1" rowGrandTotals="0" colGrandTotals="0" itemPrintTitles="1" createdVersion="4" indent="0" compact="0" compactData="0" multipleFieldFilters="0">
  <location ref="H4:N15" firstHeaderRow="1" firstDataRow="3" firstDataCol="1" rowPageCount="1" colPageCount="1"/>
  <pivotFields count="7">
    <pivotField axis="axisPage" compact="0" outline="0" showAll="0">
      <items count="31">
        <item x="17"/>
        <item x="29"/>
        <item x="0"/>
        <item x="12"/>
        <item x="16"/>
        <item x="21"/>
        <item x="25"/>
        <item x="5"/>
        <item x="10"/>
        <item x="27"/>
        <item x="22"/>
        <item x="26"/>
        <item x="3"/>
        <item x="9"/>
        <item x="18"/>
        <item x="20"/>
        <item x="6"/>
        <item x="14"/>
        <item x="15"/>
        <item x="19"/>
        <item x="2"/>
        <item x="8"/>
        <item x="11"/>
        <item x="7"/>
        <item x="24"/>
        <item x="1"/>
        <item x="4"/>
        <item x="13"/>
        <item x="23"/>
        <item x="28"/>
        <item t="default"/>
      </items>
    </pivotField>
    <pivotField axis="axisRow" compact="0" outline="0" showAll="0" sortType="descending">
      <items count="10">
        <item x="0"/>
        <item x="1"/>
        <item x="3"/>
        <item x="4"/>
        <item x="6"/>
        <item x="7"/>
        <item x="2"/>
        <item x="5"/>
        <item x="8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  <pivotField compact="0" outline="0" showAll="0"/>
    <pivotField dataField="1" compact="0" outline="0" showAll="0"/>
    <pivotField compact="0" outline="0" showAll="0"/>
    <pivotField dataField="1" compact="0" outline="0" dragToRow="0" dragToCol="0" dragToPage="0" showAll="0" defaultSubtota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기본급" fld="4" baseField="1" baseItem="0" numFmtId="183"/>
    <dataField name="합계 : 상여금" fld="6" baseField="1" baseItem="0" numFmtId="183"/>
  </dataFields>
  <formats count="11">
    <format dxfId="11">
      <pivotArea field="0" type="button" dataOnly="0" labelOnly="1" outline="0" axis="axisPage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9">
      <pivotArea field="2" type="button" dataOnly="0" labelOnly="1" outline="0" axis="axisCol" fieldPosition="0"/>
    </format>
    <format dxfId="8">
      <pivotArea field="-2" type="button" dataOnly="0" labelOnly="1" outline="0" axis="axisCol" fieldPosition="1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2" count="0"/>
        </references>
      </pivotArea>
    </format>
    <format dxfId="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0"/>
          </reference>
        </references>
      </pivotArea>
    </format>
    <format dxfId="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"/>
          </reference>
        </references>
      </pivotArea>
    </format>
    <format dxfId="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2"/>
          </reference>
        </references>
      </pivotArea>
    </format>
    <format dxfId="2">
      <pivotArea field="1" type="button" dataOnly="0" labelOnly="1" outline="0" axis="axisRow" fieldPosition="0"/>
    </format>
    <format dxfId="1">
      <pivotArea dataOnly="0" labelOnly="1" outline="0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workbookViewId="0">
      <selection activeCell="C29" sqref="C29"/>
    </sheetView>
  </sheetViews>
  <sheetFormatPr defaultRowHeight="16.5"/>
  <cols>
    <col min="1" max="1" width="9.375" customWidth="1"/>
    <col min="2" max="2" width="11.25" customWidth="1"/>
    <col min="3" max="3" width="7.5" customWidth="1"/>
    <col min="4" max="4" width="15.5" bestFit="1" customWidth="1"/>
    <col min="5" max="5" width="7.5" customWidth="1"/>
    <col min="6" max="6" width="11.25" customWidth="1"/>
    <col min="7" max="7" width="8" bestFit="1" customWidth="1"/>
    <col min="8" max="8" width="11.25" customWidth="1"/>
    <col min="9" max="9" width="11.875" bestFit="1" customWidth="1"/>
  </cols>
  <sheetData>
    <row r="1" spans="1:6">
      <c r="A1" s="1" t="s">
        <v>0</v>
      </c>
    </row>
    <row r="3" spans="1:6">
      <c r="A3" s="58" t="s">
        <v>1</v>
      </c>
      <c r="B3" s="59" t="s">
        <v>2</v>
      </c>
      <c r="C3" s="59" t="s">
        <v>3</v>
      </c>
      <c r="D3" s="59" t="s">
        <v>4</v>
      </c>
      <c r="E3" s="59" t="s">
        <v>5</v>
      </c>
      <c r="F3" s="60" t="s">
        <v>6</v>
      </c>
    </row>
    <row r="4" spans="1:6">
      <c r="A4" s="61" t="s">
        <v>7</v>
      </c>
      <c r="B4" s="62" t="s">
        <v>8</v>
      </c>
      <c r="C4" s="62">
        <v>128000</v>
      </c>
      <c r="D4" s="63">
        <v>41478</v>
      </c>
      <c r="E4" s="62">
        <v>20</v>
      </c>
      <c r="F4" s="64">
        <v>180000</v>
      </c>
    </row>
    <row r="5" spans="1:6">
      <c r="A5" s="65" t="s">
        <v>7</v>
      </c>
      <c r="B5" s="66" t="s">
        <v>8</v>
      </c>
      <c r="C5" s="66">
        <v>128000</v>
      </c>
      <c r="D5" s="67">
        <v>41395</v>
      </c>
      <c r="E5" s="66">
        <v>9</v>
      </c>
      <c r="F5" s="68">
        <v>672000</v>
      </c>
    </row>
    <row r="6" spans="1:6">
      <c r="A6" s="61" t="s">
        <v>7</v>
      </c>
      <c r="B6" s="62" t="s">
        <v>8</v>
      </c>
      <c r="C6" s="62">
        <v>128000</v>
      </c>
      <c r="D6" s="63">
        <v>41481</v>
      </c>
      <c r="E6" s="62">
        <v>7</v>
      </c>
      <c r="F6" s="64">
        <v>720000</v>
      </c>
    </row>
    <row r="7" spans="1:6">
      <c r="A7" s="65" t="s">
        <v>7</v>
      </c>
      <c r="B7" s="66" t="s">
        <v>8</v>
      </c>
      <c r="C7" s="66">
        <v>128000</v>
      </c>
      <c r="D7" s="67">
        <v>41435</v>
      </c>
      <c r="E7" s="66">
        <v>6</v>
      </c>
      <c r="F7" s="68">
        <v>280000</v>
      </c>
    </row>
    <row r="8" spans="1:6">
      <c r="A8" s="61" t="s">
        <v>7</v>
      </c>
      <c r="B8" s="62" t="s">
        <v>8</v>
      </c>
      <c r="C8" s="62">
        <v>128000</v>
      </c>
      <c r="D8" s="63">
        <v>41411</v>
      </c>
      <c r="E8" s="62">
        <v>5</v>
      </c>
      <c r="F8" s="64">
        <v>5600000</v>
      </c>
    </row>
    <row r="9" spans="1:6">
      <c r="A9" s="65" t="s">
        <v>262</v>
      </c>
      <c r="B9" s="66" t="s">
        <v>8</v>
      </c>
      <c r="C9" s="66">
        <v>92000</v>
      </c>
      <c r="D9" s="67">
        <v>41443</v>
      </c>
      <c r="E9" s="66">
        <v>5</v>
      </c>
      <c r="F9" s="68">
        <v>336000</v>
      </c>
    </row>
    <row r="10" spans="1:6">
      <c r="A10" s="61" t="s">
        <v>262</v>
      </c>
      <c r="B10" s="62" t="s">
        <v>8</v>
      </c>
      <c r="C10" s="62">
        <v>92000</v>
      </c>
      <c r="D10" s="63">
        <v>41392</v>
      </c>
      <c r="E10" s="62">
        <v>2</v>
      </c>
      <c r="F10" s="64">
        <v>7800000</v>
      </c>
    </row>
    <row r="11" spans="1:6">
      <c r="A11" s="65" t="s">
        <v>9</v>
      </c>
      <c r="B11" s="66" t="s">
        <v>8</v>
      </c>
      <c r="C11" s="66">
        <v>30000</v>
      </c>
      <c r="D11" s="67">
        <v>41479</v>
      </c>
      <c r="E11" s="66">
        <v>8</v>
      </c>
      <c r="F11" s="68">
        <v>270000</v>
      </c>
    </row>
    <row r="12" spans="1:6">
      <c r="A12" s="61" t="s">
        <v>10</v>
      </c>
      <c r="B12" s="62" t="s">
        <v>8</v>
      </c>
      <c r="C12" s="62">
        <v>119000</v>
      </c>
      <c r="D12" s="63">
        <v>41409</v>
      </c>
      <c r="E12" s="62">
        <v>8</v>
      </c>
      <c r="F12" s="64">
        <v>300000</v>
      </c>
    </row>
    <row r="13" spans="1:6">
      <c r="A13" s="65" t="s">
        <v>10</v>
      </c>
      <c r="B13" s="66" t="s">
        <v>8</v>
      </c>
      <c r="C13" s="66">
        <v>119000</v>
      </c>
      <c r="D13" s="67">
        <v>41410</v>
      </c>
      <c r="E13" s="66">
        <v>7</v>
      </c>
      <c r="F13" s="68">
        <v>4000000</v>
      </c>
    </row>
    <row r="14" spans="1:6">
      <c r="A14" s="61" t="s">
        <v>10</v>
      </c>
      <c r="B14" s="62" t="s">
        <v>8</v>
      </c>
      <c r="C14" s="62">
        <v>119000</v>
      </c>
      <c r="D14" s="63">
        <v>41438</v>
      </c>
      <c r="E14" s="62">
        <v>3</v>
      </c>
      <c r="F14" s="64">
        <v>768000</v>
      </c>
    </row>
    <row r="15" spans="1:6">
      <c r="A15" s="54" t="s">
        <v>10</v>
      </c>
      <c r="B15" s="55" t="s">
        <v>8</v>
      </c>
      <c r="C15" s="55">
        <v>119000</v>
      </c>
      <c r="D15" s="56">
        <v>41488</v>
      </c>
      <c r="E15" s="55">
        <v>2</v>
      </c>
      <c r="F15" s="57">
        <v>300000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workbookViewId="0"/>
  </sheetViews>
  <sheetFormatPr defaultRowHeight="16.5"/>
  <cols>
    <col min="1" max="1" width="11" customWidth="1"/>
    <col min="2" max="5" width="10.5" customWidth="1"/>
    <col min="6" max="10" width="10.375" customWidth="1"/>
  </cols>
  <sheetData>
    <row r="1" spans="1:10">
      <c r="A1" s="2" t="s">
        <v>11</v>
      </c>
      <c r="B1" s="1"/>
      <c r="C1" s="1"/>
      <c r="D1" s="1"/>
      <c r="E1" s="1"/>
      <c r="F1" s="1"/>
      <c r="G1" s="1"/>
      <c r="H1" s="1"/>
      <c r="I1" s="1"/>
      <c r="J1" s="1"/>
    </row>
    <row r="2" spans="1:10" ht="20.25">
      <c r="A2" s="99" t="s">
        <v>12</v>
      </c>
      <c r="B2" s="99"/>
      <c r="C2" s="99"/>
      <c r="D2" s="99"/>
      <c r="E2" s="99"/>
      <c r="F2" s="99"/>
      <c r="G2" s="1"/>
      <c r="H2" s="1"/>
      <c r="I2" s="1"/>
      <c r="J2" s="1"/>
    </row>
    <row r="3" spans="1:10">
      <c r="A3" s="3"/>
      <c r="B3" s="4"/>
      <c r="C3" s="4"/>
      <c r="D3" s="1"/>
      <c r="E3" s="1"/>
      <c r="F3" s="5">
        <v>37244</v>
      </c>
      <c r="G3" s="1"/>
      <c r="H3" s="1"/>
      <c r="I3" s="1"/>
      <c r="J3" s="1"/>
    </row>
    <row r="4" spans="1:10">
      <c r="A4" s="6" t="s">
        <v>13</v>
      </c>
      <c r="B4" s="6" t="s">
        <v>14</v>
      </c>
      <c r="C4" s="6" t="s">
        <v>15</v>
      </c>
      <c r="D4" s="6" t="s">
        <v>16</v>
      </c>
      <c r="E4" s="6" t="s">
        <v>17</v>
      </c>
      <c r="F4" s="6" t="s">
        <v>18</v>
      </c>
      <c r="G4" s="1"/>
      <c r="H4" s="1"/>
      <c r="I4" s="1"/>
      <c r="J4" s="1"/>
    </row>
    <row r="5" spans="1:10">
      <c r="A5" s="7" t="s">
        <v>19</v>
      </c>
      <c r="B5" s="8" t="s">
        <v>20</v>
      </c>
      <c r="C5" s="8" t="s">
        <v>21</v>
      </c>
      <c r="D5" s="9">
        <v>41000</v>
      </c>
      <c r="E5" s="9">
        <v>24000</v>
      </c>
      <c r="F5" s="9">
        <v>6000</v>
      </c>
      <c r="G5" s="1"/>
      <c r="H5" s="1"/>
      <c r="I5" s="1"/>
      <c r="J5" s="1"/>
    </row>
    <row r="6" spans="1:10">
      <c r="A6" s="7" t="s">
        <v>22</v>
      </c>
      <c r="B6" s="8" t="s">
        <v>23</v>
      </c>
      <c r="C6" s="8" t="s">
        <v>21</v>
      </c>
      <c r="D6" s="9">
        <v>10000</v>
      </c>
      <c r="E6" s="9">
        <v>7000</v>
      </c>
      <c r="F6" s="9">
        <v>5000</v>
      </c>
      <c r="G6" s="1"/>
      <c r="H6" s="1"/>
      <c r="I6" s="1"/>
      <c r="J6" s="1"/>
    </row>
    <row r="7" spans="1:10">
      <c r="A7" s="7" t="s">
        <v>24</v>
      </c>
      <c r="B7" s="8" t="s">
        <v>25</v>
      </c>
      <c r="C7" s="8" t="s">
        <v>21</v>
      </c>
      <c r="D7" s="9">
        <v>17000</v>
      </c>
      <c r="E7" s="9">
        <v>11000</v>
      </c>
      <c r="F7" s="9">
        <v>6000</v>
      </c>
      <c r="G7" s="1"/>
      <c r="H7" s="1"/>
      <c r="I7" s="1"/>
      <c r="J7" s="1"/>
    </row>
    <row r="8" spans="1:10">
      <c r="A8" s="7" t="s">
        <v>26</v>
      </c>
      <c r="B8" s="8" t="s">
        <v>27</v>
      </c>
      <c r="C8" s="8" t="s">
        <v>28</v>
      </c>
      <c r="D8" s="9">
        <v>8000</v>
      </c>
      <c r="E8" s="10"/>
      <c r="F8" s="9">
        <v>5000</v>
      </c>
      <c r="G8" s="1"/>
      <c r="H8" s="1"/>
      <c r="I8" s="1"/>
      <c r="J8" s="1"/>
    </row>
    <row r="9" spans="1:10">
      <c r="A9" s="7" t="s">
        <v>29</v>
      </c>
      <c r="B9" s="8" t="s">
        <v>25</v>
      </c>
      <c r="C9" s="8" t="s">
        <v>21</v>
      </c>
      <c r="D9" s="9">
        <v>25000</v>
      </c>
      <c r="E9" s="9">
        <v>15000</v>
      </c>
      <c r="F9" s="9">
        <v>5000</v>
      </c>
      <c r="G9" s="1"/>
      <c r="H9" s="1"/>
      <c r="I9" s="1"/>
      <c r="J9" s="1"/>
    </row>
    <row r="10" spans="1:10">
      <c r="A10" s="7" t="s">
        <v>30</v>
      </c>
      <c r="B10" s="8" t="s">
        <v>23</v>
      </c>
      <c r="C10" s="8" t="s">
        <v>21</v>
      </c>
      <c r="D10" s="9">
        <v>16000</v>
      </c>
      <c r="E10" s="10"/>
      <c r="F10" s="9">
        <v>14000</v>
      </c>
      <c r="G10" s="1"/>
      <c r="H10" s="1"/>
      <c r="I10" s="1"/>
      <c r="J10" s="1"/>
    </row>
    <row r="11" spans="1:10">
      <c r="A11" s="7" t="s">
        <v>31</v>
      </c>
      <c r="B11" s="8" t="s">
        <v>25</v>
      </c>
      <c r="C11" s="8" t="s">
        <v>32</v>
      </c>
      <c r="D11" s="9">
        <v>19000</v>
      </c>
      <c r="E11" s="9">
        <v>15000</v>
      </c>
      <c r="F11" s="9">
        <v>8000</v>
      </c>
      <c r="G11" s="1"/>
      <c r="H11" s="1"/>
      <c r="I11" s="1"/>
      <c r="J11" s="1"/>
    </row>
    <row r="12" spans="1:10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>
      <c r="A14" s="2" t="s">
        <v>33</v>
      </c>
      <c r="B14" s="1"/>
      <c r="C14" s="1"/>
      <c r="D14" s="1"/>
      <c r="E14" s="1"/>
      <c r="F14" s="1"/>
      <c r="G14" s="1"/>
      <c r="H14" s="1"/>
      <c r="I14" s="1"/>
      <c r="J14" s="1"/>
    </row>
    <row r="15" spans="1:10" ht="20.25">
      <c r="A15" s="100" t="s">
        <v>34</v>
      </c>
      <c r="B15" s="100"/>
      <c r="C15" s="100"/>
      <c r="D15" s="100"/>
      <c r="E15" s="100"/>
      <c r="F15" s="100"/>
      <c r="G15" s="100"/>
      <c r="H15" s="100"/>
      <c r="I15" s="100"/>
      <c r="J15" s="100"/>
    </row>
    <row r="16" spans="1:10" ht="20.25">
      <c r="A16" s="11"/>
      <c r="B16" s="11"/>
      <c r="C16" s="11"/>
      <c r="D16" s="11"/>
      <c r="E16" s="11"/>
      <c r="F16" s="11"/>
      <c r="G16" s="11"/>
      <c r="H16" s="11"/>
      <c r="I16" s="11"/>
      <c r="J16" s="11"/>
    </row>
    <row r="17" spans="1:10" ht="33">
      <c r="A17" s="12" t="s">
        <v>35</v>
      </c>
      <c r="B17" s="12" t="s">
        <v>36</v>
      </c>
      <c r="C17" s="13" t="s">
        <v>37</v>
      </c>
      <c r="D17" s="12" t="s">
        <v>38</v>
      </c>
      <c r="E17" s="13" t="s">
        <v>39</v>
      </c>
      <c r="F17" s="12" t="s">
        <v>40</v>
      </c>
      <c r="G17" s="12" t="s">
        <v>41</v>
      </c>
      <c r="H17" s="12" t="s">
        <v>42</v>
      </c>
      <c r="I17" s="12" t="s">
        <v>43</v>
      </c>
      <c r="J17" s="12" t="s">
        <v>44</v>
      </c>
    </row>
    <row r="18" spans="1:10">
      <c r="A18" s="14" t="s">
        <v>45</v>
      </c>
      <c r="B18" s="15">
        <v>18500</v>
      </c>
      <c r="C18" s="15">
        <v>30</v>
      </c>
      <c r="D18" s="15">
        <f t="shared" ref="D18:D27" si="0">B18*C18</f>
        <v>555000</v>
      </c>
      <c r="E18" s="15">
        <f t="shared" ref="E18:E27" si="1">D18*0.25%</f>
        <v>1387.5</v>
      </c>
      <c r="F18" s="15">
        <f t="shared" ref="F18:F27" si="2">B18+E18</f>
        <v>19887.5</v>
      </c>
      <c r="G18" s="15">
        <v>25000</v>
      </c>
      <c r="H18" s="15">
        <f t="shared" ref="H18:H27" si="3">C18*G18</f>
        <v>750000</v>
      </c>
      <c r="I18" s="15">
        <f t="shared" ref="I18:I27" si="4">H18-D18</f>
        <v>195000</v>
      </c>
      <c r="J18" s="16">
        <f t="shared" ref="J18:J27" si="5">H18/(D18+E18)-1</f>
        <v>0.34798139785670967</v>
      </c>
    </row>
    <row r="19" spans="1:10">
      <c r="A19" s="14" t="s">
        <v>46</v>
      </c>
      <c r="B19" s="15">
        <v>8700</v>
      </c>
      <c r="C19" s="15">
        <v>295</v>
      </c>
      <c r="D19" s="15">
        <f t="shared" si="0"/>
        <v>2566500</v>
      </c>
      <c r="E19" s="15">
        <f t="shared" si="1"/>
        <v>6416.25</v>
      </c>
      <c r="F19" s="15">
        <f t="shared" si="2"/>
        <v>15116.25</v>
      </c>
      <c r="G19" s="15">
        <v>7650</v>
      </c>
      <c r="H19" s="15">
        <f t="shared" si="3"/>
        <v>2256750</v>
      </c>
      <c r="I19" s="15">
        <f t="shared" si="4"/>
        <v>-309750</v>
      </c>
      <c r="J19" s="16">
        <f t="shared" si="5"/>
        <v>-0.12288244904978929</v>
      </c>
    </row>
    <row r="20" spans="1:10">
      <c r="A20" s="14" t="s">
        <v>47</v>
      </c>
      <c r="B20" s="15">
        <v>9900</v>
      </c>
      <c r="C20" s="15">
        <v>10</v>
      </c>
      <c r="D20" s="15">
        <f t="shared" si="0"/>
        <v>99000</v>
      </c>
      <c r="E20" s="15">
        <f t="shared" si="1"/>
        <v>247.5</v>
      </c>
      <c r="F20" s="15">
        <f t="shared" si="2"/>
        <v>10147.5</v>
      </c>
      <c r="G20" s="15">
        <v>7700</v>
      </c>
      <c r="H20" s="15">
        <f t="shared" si="3"/>
        <v>77000</v>
      </c>
      <c r="I20" s="15">
        <f t="shared" si="4"/>
        <v>-22000</v>
      </c>
      <c r="J20" s="16">
        <f t="shared" si="5"/>
        <v>-0.22416181767802712</v>
      </c>
    </row>
    <row r="21" spans="1:10">
      <c r="A21" s="14" t="s">
        <v>48</v>
      </c>
      <c r="B21" s="15">
        <v>23000</v>
      </c>
      <c r="C21" s="15">
        <v>500</v>
      </c>
      <c r="D21" s="15">
        <f t="shared" si="0"/>
        <v>11500000</v>
      </c>
      <c r="E21" s="15">
        <f t="shared" si="1"/>
        <v>28750</v>
      </c>
      <c r="F21" s="15">
        <f t="shared" si="2"/>
        <v>51750</v>
      </c>
      <c r="G21" s="15">
        <v>25000</v>
      </c>
      <c r="H21" s="15">
        <f t="shared" si="3"/>
        <v>12500000</v>
      </c>
      <c r="I21" s="15">
        <f t="shared" si="4"/>
        <v>1000000</v>
      </c>
      <c r="J21" s="16">
        <f t="shared" si="5"/>
        <v>8.4245906971701201E-2</v>
      </c>
    </row>
    <row r="22" spans="1:10">
      <c r="A22" s="14" t="s">
        <v>49</v>
      </c>
      <c r="B22" s="15">
        <v>125000</v>
      </c>
      <c r="C22" s="15">
        <v>30</v>
      </c>
      <c r="D22" s="15">
        <f t="shared" si="0"/>
        <v>3750000</v>
      </c>
      <c r="E22" s="15">
        <f t="shared" si="1"/>
        <v>9375</v>
      </c>
      <c r="F22" s="15">
        <f t="shared" si="2"/>
        <v>134375</v>
      </c>
      <c r="G22" s="15">
        <v>89000</v>
      </c>
      <c r="H22" s="15">
        <f t="shared" si="3"/>
        <v>2670000</v>
      </c>
      <c r="I22" s="15">
        <f t="shared" si="4"/>
        <v>-1080000</v>
      </c>
      <c r="J22" s="16">
        <f t="shared" si="5"/>
        <v>-0.28977556109725688</v>
      </c>
    </row>
    <row r="23" spans="1:10">
      <c r="A23" s="14" t="s">
        <v>50</v>
      </c>
      <c r="B23" s="15">
        <v>6600</v>
      </c>
      <c r="C23" s="15">
        <v>120</v>
      </c>
      <c r="D23" s="15">
        <f t="shared" si="0"/>
        <v>792000</v>
      </c>
      <c r="E23" s="15">
        <f t="shared" si="1"/>
        <v>1980</v>
      </c>
      <c r="F23" s="15">
        <f t="shared" si="2"/>
        <v>8580</v>
      </c>
      <c r="G23" s="15">
        <v>12000</v>
      </c>
      <c r="H23" s="15">
        <f t="shared" si="3"/>
        <v>1440000</v>
      </c>
      <c r="I23" s="15">
        <f t="shared" si="4"/>
        <v>648000</v>
      </c>
      <c r="J23" s="16">
        <f t="shared" si="5"/>
        <v>0.81364769893448208</v>
      </c>
    </row>
    <row r="24" spans="1:10">
      <c r="A24" s="14" t="s">
        <v>51</v>
      </c>
      <c r="B24" s="15">
        <v>11000</v>
      </c>
      <c r="C24" s="15">
        <v>50</v>
      </c>
      <c r="D24" s="15">
        <f t="shared" si="0"/>
        <v>550000</v>
      </c>
      <c r="E24" s="15">
        <f t="shared" si="1"/>
        <v>1375</v>
      </c>
      <c r="F24" s="15">
        <f t="shared" si="2"/>
        <v>12375</v>
      </c>
      <c r="G24" s="15">
        <v>13500</v>
      </c>
      <c r="H24" s="15">
        <f t="shared" si="3"/>
        <v>675000</v>
      </c>
      <c r="I24" s="15">
        <f t="shared" si="4"/>
        <v>125000</v>
      </c>
      <c r="J24" s="16">
        <f t="shared" si="5"/>
        <v>0.22421219678077531</v>
      </c>
    </row>
    <row r="25" spans="1:10">
      <c r="A25" s="14" t="s">
        <v>52</v>
      </c>
      <c r="B25" s="15">
        <v>20000</v>
      </c>
      <c r="C25" s="15">
        <v>200</v>
      </c>
      <c r="D25" s="15">
        <f t="shared" si="0"/>
        <v>4000000</v>
      </c>
      <c r="E25" s="15">
        <f t="shared" si="1"/>
        <v>10000</v>
      </c>
      <c r="F25" s="15">
        <f t="shared" si="2"/>
        <v>30000</v>
      </c>
      <c r="G25" s="15">
        <v>23500</v>
      </c>
      <c r="H25" s="15">
        <f t="shared" si="3"/>
        <v>4700000</v>
      </c>
      <c r="I25" s="15">
        <f t="shared" si="4"/>
        <v>700000</v>
      </c>
      <c r="J25" s="16">
        <f t="shared" si="5"/>
        <v>0.17206982543640903</v>
      </c>
    </row>
    <row r="26" spans="1:10">
      <c r="A26" s="14" t="s">
        <v>53</v>
      </c>
      <c r="B26" s="15">
        <v>25500</v>
      </c>
      <c r="C26" s="15">
        <v>50</v>
      </c>
      <c r="D26" s="15">
        <f t="shared" si="0"/>
        <v>1275000</v>
      </c>
      <c r="E26" s="15">
        <f t="shared" si="1"/>
        <v>3187.5</v>
      </c>
      <c r="F26" s="15">
        <f t="shared" si="2"/>
        <v>28687.5</v>
      </c>
      <c r="G26" s="15">
        <v>27000</v>
      </c>
      <c r="H26" s="15">
        <f t="shared" si="3"/>
        <v>1350000</v>
      </c>
      <c r="I26" s="15">
        <f t="shared" si="4"/>
        <v>75000</v>
      </c>
      <c r="J26" s="16">
        <f t="shared" si="5"/>
        <v>5.6183071732433643E-2</v>
      </c>
    </row>
    <row r="27" spans="1:10">
      <c r="A27" s="14" t="s">
        <v>54</v>
      </c>
      <c r="B27" s="15">
        <v>7200</v>
      </c>
      <c r="C27" s="15">
        <v>20</v>
      </c>
      <c r="D27" s="15">
        <f t="shared" si="0"/>
        <v>144000</v>
      </c>
      <c r="E27" s="15">
        <f t="shared" si="1"/>
        <v>360</v>
      </c>
      <c r="F27" s="15">
        <f t="shared" si="2"/>
        <v>7560</v>
      </c>
      <c r="G27" s="15">
        <v>6300</v>
      </c>
      <c r="H27" s="15">
        <f t="shared" si="3"/>
        <v>126000</v>
      </c>
      <c r="I27" s="15">
        <f t="shared" si="4"/>
        <v>-18000</v>
      </c>
      <c r="J27" s="16">
        <f t="shared" si="5"/>
        <v>-0.12718204488778051</v>
      </c>
    </row>
    <row r="29" spans="1:10">
      <c r="A29" s="17" t="s">
        <v>55</v>
      </c>
      <c r="B29" t="s">
        <v>56</v>
      </c>
      <c r="C29" t="s">
        <v>57</v>
      </c>
    </row>
    <row r="30" spans="1:10">
      <c r="A30" s="17" t="s">
        <v>58</v>
      </c>
      <c r="B30" t="s">
        <v>59</v>
      </c>
      <c r="C30" t="s">
        <v>60</v>
      </c>
    </row>
    <row r="31" spans="1:10">
      <c r="A31" s="17" t="s">
        <v>61</v>
      </c>
      <c r="C31" t="s">
        <v>62</v>
      </c>
    </row>
    <row r="33" spans="1:10">
      <c r="A33" s="101" t="s">
        <v>63</v>
      </c>
      <c r="B33" s="101"/>
      <c r="C33" s="101"/>
      <c r="D33" s="101"/>
      <c r="E33" s="101"/>
      <c r="F33" s="101"/>
      <c r="G33" s="101"/>
      <c r="H33" s="101"/>
      <c r="I33" s="101"/>
      <c r="J33" s="101"/>
    </row>
    <row r="34" spans="1:10" ht="33">
      <c r="A34" s="12" t="s">
        <v>35</v>
      </c>
      <c r="B34" s="12" t="s">
        <v>36</v>
      </c>
      <c r="C34" s="13" t="s">
        <v>37</v>
      </c>
      <c r="D34" s="12" t="s">
        <v>38</v>
      </c>
      <c r="E34" s="13" t="s">
        <v>39</v>
      </c>
      <c r="F34" s="12" t="s">
        <v>40</v>
      </c>
      <c r="G34" s="12" t="s">
        <v>41</v>
      </c>
      <c r="H34" s="12" t="s">
        <v>42</v>
      </c>
      <c r="I34" s="12" t="s">
        <v>43</v>
      </c>
      <c r="J34" s="12" t="s">
        <v>44</v>
      </c>
    </row>
    <row r="35" spans="1:10">
      <c r="A35" s="14" t="s">
        <v>49</v>
      </c>
      <c r="B35" s="15">
        <v>125000</v>
      </c>
      <c r="C35" s="15">
        <v>30</v>
      </c>
      <c r="D35" s="15">
        <v>3750000</v>
      </c>
      <c r="E35" s="15">
        <v>9375</v>
      </c>
      <c r="F35" s="15">
        <v>134375</v>
      </c>
      <c r="G35" s="15">
        <v>89000</v>
      </c>
      <c r="H35" s="15">
        <v>2670000</v>
      </c>
      <c r="I35" s="15">
        <v>-1080000</v>
      </c>
      <c r="J35" s="16">
        <v>-0.28977556109725688</v>
      </c>
    </row>
    <row r="36" spans="1:10">
      <c r="A36" s="14" t="s">
        <v>50</v>
      </c>
      <c r="B36" s="15">
        <v>6600</v>
      </c>
      <c r="C36" s="15">
        <v>120</v>
      </c>
      <c r="D36" s="15">
        <v>792000</v>
      </c>
      <c r="E36" s="15">
        <v>1980</v>
      </c>
      <c r="F36" s="15">
        <v>8580</v>
      </c>
      <c r="G36" s="15">
        <v>12000</v>
      </c>
      <c r="H36" s="15">
        <v>1440000</v>
      </c>
      <c r="I36" s="15">
        <v>648000</v>
      </c>
      <c r="J36" s="16">
        <v>0.81364769893448208</v>
      </c>
    </row>
  </sheetData>
  <mergeCells count="3">
    <mergeCell ref="A2:F2"/>
    <mergeCell ref="A15:J15"/>
    <mergeCell ref="A33:J33"/>
  </mergeCells>
  <phoneticPr fontId="4" type="noConversion"/>
  <conditionalFormatting sqref="A5:F11">
    <cfRule type="expression" dxfId="0" priority="1">
      <formula>MOD(ROW(),2)=0</formula>
    </cfRule>
  </conditionalFormatting>
  <printOptions heading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workbookViewId="0">
      <selection activeCell="J16" sqref="J16"/>
    </sheetView>
  </sheetViews>
  <sheetFormatPr defaultRowHeight="16.5"/>
  <cols>
    <col min="1" max="1" width="9.25" bestFit="1" customWidth="1"/>
    <col min="2" max="2" width="5.5" bestFit="1" customWidth="1"/>
    <col min="3" max="3" width="15.125" bestFit="1" customWidth="1"/>
    <col min="4" max="4" width="7.375" bestFit="1" customWidth="1"/>
    <col min="5" max="5" width="5.5" bestFit="1" customWidth="1"/>
    <col min="6" max="6" width="8.25" bestFit="1" customWidth="1"/>
    <col min="7" max="7" width="10.625" bestFit="1" customWidth="1"/>
    <col min="8" max="8" width="9.25" bestFit="1" customWidth="1"/>
    <col min="9" max="9" width="10.625" bestFit="1" customWidth="1"/>
  </cols>
  <sheetData>
    <row r="1" spans="1:9">
      <c r="A1" s="92" t="s">
        <v>236</v>
      </c>
      <c r="B1" s="75" t="s">
        <v>237</v>
      </c>
      <c r="C1" s="75" t="s">
        <v>238</v>
      </c>
      <c r="D1" s="75" t="s">
        <v>1</v>
      </c>
      <c r="E1" s="75" t="s">
        <v>5</v>
      </c>
      <c r="F1" s="75" t="s">
        <v>3</v>
      </c>
      <c r="G1" s="75" t="s">
        <v>239</v>
      </c>
      <c r="H1" s="75" t="s">
        <v>240</v>
      </c>
      <c r="I1" s="76" t="s">
        <v>241</v>
      </c>
    </row>
    <row r="2" spans="1:9">
      <c r="A2" s="93">
        <v>1</v>
      </c>
      <c r="B2" s="70">
        <v>1</v>
      </c>
      <c r="C2" s="69" t="s">
        <v>242</v>
      </c>
      <c r="D2" s="69" t="s">
        <v>243</v>
      </c>
      <c r="E2" s="70">
        <v>500</v>
      </c>
      <c r="F2" s="94">
        <v>17600</v>
      </c>
      <c r="G2" s="94">
        <v>8000000</v>
      </c>
      <c r="H2" s="94">
        <v>800000</v>
      </c>
      <c r="I2" s="95">
        <v>8800000</v>
      </c>
    </row>
    <row r="3" spans="1:9">
      <c r="A3" s="93">
        <v>1</v>
      </c>
      <c r="B3" s="70">
        <v>2</v>
      </c>
      <c r="C3" s="69" t="s">
        <v>244</v>
      </c>
      <c r="D3" s="69" t="s">
        <v>245</v>
      </c>
      <c r="E3" s="70">
        <v>500</v>
      </c>
      <c r="F3" s="94">
        <v>8800</v>
      </c>
      <c r="G3" s="94">
        <v>4000000</v>
      </c>
      <c r="H3" s="94">
        <v>400000</v>
      </c>
      <c r="I3" s="95">
        <v>4400000</v>
      </c>
    </row>
    <row r="4" spans="1:9">
      <c r="A4" s="93">
        <v>2</v>
      </c>
      <c r="B4" s="70">
        <v>1</v>
      </c>
      <c r="C4" s="69" t="s">
        <v>244</v>
      </c>
      <c r="D4" s="69" t="s">
        <v>246</v>
      </c>
      <c r="E4" s="70">
        <v>500</v>
      </c>
      <c r="F4" s="94">
        <v>12500</v>
      </c>
      <c r="G4" s="94">
        <v>5681818</v>
      </c>
      <c r="H4" s="94">
        <v>568182</v>
      </c>
      <c r="I4" s="95">
        <v>6250000</v>
      </c>
    </row>
    <row r="5" spans="1:9">
      <c r="A5" s="93">
        <v>2</v>
      </c>
      <c r="B5" s="70">
        <v>2</v>
      </c>
      <c r="C5" s="69" t="s">
        <v>244</v>
      </c>
      <c r="D5" s="69" t="s">
        <v>247</v>
      </c>
      <c r="E5" s="70">
        <v>100</v>
      </c>
      <c r="F5" s="94">
        <v>17600</v>
      </c>
      <c r="G5" s="94">
        <v>1600000</v>
      </c>
      <c r="H5" s="94">
        <v>160000</v>
      </c>
      <c r="I5" s="95">
        <v>1760000</v>
      </c>
    </row>
    <row r="6" spans="1:9">
      <c r="A6" s="93">
        <v>2</v>
      </c>
      <c r="B6" s="70">
        <v>3</v>
      </c>
      <c r="C6" s="69" t="s">
        <v>244</v>
      </c>
      <c r="D6" s="69" t="s">
        <v>245</v>
      </c>
      <c r="E6" s="70">
        <v>290</v>
      </c>
      <c r="F6" s="94">
        <v>8800</v>
      </c>
      <c r="G6" s="94">
        <v>2320000</v>
      </c>
      <c r="H6" s="94">
        <v>232000</v>
      </c>
      <c r="I6" s="95">
        <v>2552000</v>
      </c>
    </row>
    <row r="7" spans="1:9">
      <c r="A7" s="93">
        <v>4</v>
      </c>
      <c r="B7" s="70">
        <v>1</v>
      </c>
      <c r="C7" s="69" t="s">
        <v>248</v>
      </c>
      <c r="D7" s="69" t="s">
        <v>243</v>
      </c>
      <c r="E7" s="70">
        <v>10</v>
      </c>
      <c r="F7" s="94">
        <v>16000</v>
      </c>
      <c r="G7" s="94">
        <v>145455</v>
      </c>
      <c r="H7" s="94">
        <v>14545</v>
      </c>
      <c r="I7" s="95">
        <v>160000</v>
      </c>
    </row>
    <row r="8" spans="1:9">
      <c r="A8" s="93">
        <v>5</v>
      </c>
      <c r="B8" s="70">
        <v>1</v>
      </c>
      <c r="C8" s="69" t="s">
        <v>249</v>
      </c>
      <c r="D8" s="69" t="s">
        <v>250</v>
      </c>
      <c r="E8" s="70">
        <v>100</v>
      </c>
      <c r="F8" s="94">
        <v>12500</v>
      </c>
      <c r="G8" s="94">
        <v>1136364</v>
      </c>
      <c r="H8" s="94">
        <v>113636</v>
      </c>
      <c r="I8" s="95">
        <v>1250000</v>
      </c>
    </row>
    <row r="9" spans="1:9">
      <c r="A9" s="93">
        <v>5</v>
      </c>
      <c r="B9" s="70">
        <v>2</v>
      </c>
      <c r="C9" s="69" t="s">
        <v>251</v>
      </c>
      <c r="D9" s="69" t="s">
        <v>252</v>
      </c>
      <c r="E9" s="70">
        <v>648</v>
      </c>
      <c r="F9" s="94">
        <v>8800</v>
      </c>
      <c r="G9" s="94">
        <v>5184000</v>
      </c>
      <c r="H9" s="94">
        <v>518400</v>
      </c>
      <c r="I9" s="95">
        <v>5702400</v>
      </c>
    </row>
    <row r="10" spans="1:9">
      <c r="A10" s="93">
        <v>6</v>
      </c>
      <c r="B10" s="70">
        <v>1</v>
      </c>
      <c r="C10" s="69" t="s">
        <v>244</v>
      </c>
      <c r="D10" s="69" t="s">
        <v>253</v>
      </c>
      <c r="E10" s="70">
        <v>50</v>
      </c>
      <c r="F10" s="94">
        <v>12500</v>
      </c>
      <c r="G10" s="94">
        <v>568182</v>
      </c>
      <c r="H10" s="94">
        <v>56818</v>
      </c>
      <c r="I10" s="95">
        <v>625000</v>
      </c>
    </row>
    <row r="11" spans="1:9">
      <c r="A11" s="93">
        <v>6</v>
      </c>
      <c r="B11" s="70">
        <v>2</v>
      </c>
      <c r="C11" s="69" t="s">
        <v>251</v>
      </c>
      <c r="D11" s="69" t="s">
        <v>247</v>
      </c>
      <c r="E11" s="70">
        <v>50</v>
      </c>
      <c r="F11" s="94">
        <v>14000</v>
      </c>
      <c r="G11" s="94">
        <v>636364</v>
      </c>
      <c r="H11" s="94">
        <v>63636</v>
      </c>
      <c r="I11" s="95">
        <v>700000</v>
      </c>
    </row>
    <row r="12" spans="1:9">
      <c r="A12" s="93">
        <v>6</v>
      </c>
      <c r="B12" s="70">
        <v>3</v>
      </c>
      <c r="C12" s="69" t="s">
        <v>254</v>
      </c>
      <c r="D12" s="69" t="s">
        <v>253</v>
      </c>
      <c r="E12" s="70">
        <v>300</v>
      </c>
      <c r="F12" s="94">
        <v>12500</v>
      </c>
      <c r="G12" s="94">
        <v>3409091</v>
      </c>
      <c r="H12" s="94">
        <v>340909</v>
      </c>
      <c r="I12" s="95">
        <v>3750000</v>
      </c>
    </row>
    <row r="13" spans="1:9">
      <c r="A13" s="93">
        <v>7</v>
      </c>
      <c r="B13" s="70">
        <v>1</v>
      </c>
      <c r="C13" s="69" t="s">
        <v>255</v>
      </c>
      <c r="D13" s="69" t="s">
        <v>246</v>
      </c>
      <c r="E13" s="70">
        <v>50</v>
      </c>
      <c r="F13" s="94">
        <v>12500</v>
      </c>
      <c r="G13" s="94">
        <v>568182</v>
      </c>
      <c r="H13" s="94">
        <v>56818</v>
      </c>
      <c r="I13" s="95">
        <v>625000</v>
      </c>
    </row>
    <row r="14" spans="1:9">
      <c r="A14" s="93">
        <v>8</v>
      </c>
      <c r="B14" s="70">
        <v>1</v>
      </c>
      <c r="C14" s="69" t="s">
        <v>256</v>
      </c>
      <c r="D14" s="69" t="s">
        <v>257</v>
      </c>
      <c r="E14" s="70">
        <v>50</v>
      </c>
      <c r="F14" s="94">
        <v>88000</v>
      </c>
      <c r="G14" s="94">
        <v>559091</v>
      </c>
      <c r="H14" s="94">
        <v>55909</v>
      </c>
      <c r="I14" s="95">
        <v>4400000</v>
      </c>
    </row>
    <row r="15" spans="1:9">
      <c r="A15" s="93">
        <v>8</v>
      </c>
      <c r="B15" s="70">
        <v>2</v>
      </c>
      <c r="C15" s="69" t="s">
        <v>258</v>
      </c>
      <c r="D15" s="69" t="s">
        <v>253</v>
      </c>
      <c r="E15" s="70">
        <v>0</v>
      </c>
      <c r="F15" s="94">
        <v>24000</v>
      </c>
      <c r="G15" s="94">
        <v>327273</v>
      </c>
      <c r="H15" s="94">
        <v>-87273</v>
      </c>
      <c r="I15" s="95">
        <v>0</v>
      </c>
    </row>
    <row r="16" spans="1:9">
      <c r="A16" s="93">
        <v>9</v>
      </c>
      <c r="B16" s="70">
        <v>1</v>
      </c>
      <c r="C16" s="69" t="s">
        <v>254</v>
      </c>
      <c r="D16" s="69" t="s">
        <v>243</v>
      </c>
      <c r="E16" s="70">
        <v>100</v>
      </c>
      <c r="F16" s="94">
        <v>12500</v>
      </c>
      <c r="G16" s="94">
        <v>1136364</v>
      </c>
      <c r="H16" s="94">
        <v>113636</v>
      </c>
      <c r="I16" s="95">
        <v>1250000</v>
      </c>
    </row>
    <row r="17" spans="1:9">
      <c r="A17" s="93">
        <v>9</v>
      </c>
      <c r="B17" s="70">
        <v>2</v>
      </c>
      <c r="C17" s="69" t="s">
        <v>251</v>
      </c>
      <c r="D17" s="69" t="s">
        <v>246</v>
      </c>
      <c r="E17" s="70">
        <v>200</v>
      </c>
      <c r="F17" s="94">
        <v>12500</v>
      </c>
      <c r="G17" s="94">
        <v>2272727</v>
      </c>
      <c r="H17" s="94">
        <v>227273</v>
      </c>
      <c r="I17" s="95">
        <v>2500000</v>
      </c>
    </row>
    <row r="18" spans="1:9">
      <c r="A18" s="93">
        <v>9</v>
      </c>
      <c r="B18" s="70">
        <v>3</v>
      </c>
      <c r="C18" s="69" t="s">
        <v>244</v>
      </c>
      <c r="D18" s="69" t="s">
        <v>253</v>
      </c>
      <c r="E18" s="70">
        <v>300</v>
      </c>
      <c r="F18" s="94">
        <v>8800</v>
      </c>
      <c r="G18" s="94">
        <v>2400000</v>
      </c>
      <c r="H18" s="94">
        <v>240000</v>
      </c>
      <c r="I18" s="95">
        <v>2640000</v>
      </c>
    </row>
    <row r="19" spans="1:9">
      <c r="A19" s="93">
        <v>9</v>
      </c>
      <c r="B19" s="70">
        <v>4</v>
      </c>
      <c r="C19" s="69" t="s">
        <v>244</v>
      </c>
      <c r="D19" s="69" t="s">
        <v>252</v>
      </c>
      <c r="E19" s="70">
        <v>200</v>
      </c>
      <c r="F19" s="94">
        <v>17600</v>
      </c>
      <c r="G19" s="94">
        <v>3200000</v>
      </c>
      <c r="H19" s="94">
        <v>320000</v>
      </c>
      <c r="I19" s="95">
        <v>3520000</v>
      </c>
    </row>
    <row r="20" spans="1:9">
      <c r="A20" s="93">
        <v>10</v>
      </c>
      <c r="B20" s="70">
        <v>1</v>
      </c>
      <c r="C20" s="69" t="s">
        <v>255</v>
      </c>
      <c r="D20" s="69" t="s">
        <v>243</v>
      </c>
      <c r="E20" s="70">
        <v>200</v>
      </c>
      <c r="F20" s="94">
        <v>12500</v>
      </c>
      <c r="G20" s="94">
        <v>2272727</v>
      </c>
      <c r="H20" s="94">
        <v>227273</v>
      </c>
      <c r="I20" s="95">
        <v>2500000</v>
      </c>
    </row>
    <row r="21" spans="1:9">
      <c r="A21" s="93">
        <v>10</v>
      </c>
      <c r="B21" s="70">
        <v>2</v>
      </c>
      <c r="C21" s="69" t="s">
        <v>251</v>
      </c>
      <c r="D21" s="69" t="s">
        <v>250</v>
      </c>
      <c r="E21" s="70">
        <v>50</v>
      </c>
      <c r="F21" s="94">
        <v>12500</v>
      </c>
      <c r="G21" s="94">
        <v>568182</v>
      </c>
      <c r="H21" s="94">
        <v>56818</v>
      </c>
      <c r="I21" s="95">
        <v>625000</v>
      </c>
    </row>
    <row r="22" spans="1:9">
      <c r="A22" s="93">
        <v>10</v>
      </c>
      <c r="B22" s="70">
        <v>3</v>
      </c>
      <c r="C22" s="69" t="s">
        <v>255</v>
      </c>
      <c r="D22" s="69" t="s">
        <v>253</v>
      </c>
      <c r="E22" s="70">
        <v>-3</v>
      </c>
      <c r="F22" s="94">
        <v>12500</v>
      </c>
      <c r="G22" s="94">
        <v>-34091</v>
      </c>
      <c r="H22" s="94">
        <v>-3409</v>
      </c>
      <c r="I22" s="95">
        <v>-37500</v>
      </c>
    </row>
    <row r="23" spans="1:9">
      <c r="A23" s="93">
        <v>11</v>
      </c>
      <c r="B23" s="70">
        <v>1</v>
      </c>
      <c r="C23" s="69" t="s">
        <v>256</v>
      </c>
      <c r="D23" s="69" t="s">
        <v>243</v>
      </c>
      <c r="E23" s="70">
        <v>135</v>
      </c>
      <c r="F23" s="94">
        <v>12500</v>
      </c>
      <c r="G23" s="94">
        <v>1534091</v>
      </c>
      <c r="H23" s="94">
        <v>153409</v>
      </c>
      <c r="I23" s="95">
        <v>1687500</v>
      </c>
    </row>
    <row r="24" spans="1:9">
      <c r="A24" s="93">
        <v>11</v>
      </c>
      <c r="B24" s="70">
        <v>2</v>
      </c>
      <c r="C24" s="69" t="s">
        <v>251</v>
      </c>
      <c r="D24" s="69" t="s">
        <v>247</v>
      </c>
      <c r="E24" s="70">
        <v>50</v>
      </c>
      <c r="F24" s="94">
        <v>14000</v>
      </c>
      <c r="G24" s="94">
        <v>636364</v>
      </c>
      <c r="H24" s="94">
        <v>63636</v>
      </c>
      <c r="I24" s="95">
        <v>700000</v>
      </c>
    </row>
    <row r="25" spans="1:9">
      <c r="A25" s="93">
        <v>11</v>
      </c>
      <c r="B25" s="70">
        <v>3</v>
      </c>
      <c r="C25" s="69" t="s">
        <v>258</v>
      </c>
      <c r="D25" s="69" t="s">
        <v>246</v>
      </c>
      <c r="E25" s="70">
        <v>200</v>
      </c>
      <c r="F25" s="94">
        <v>12300</v>
      </c>
      <c r="G25" s="94">
        <v>2236364</v>
      </c>
      <c r="H25" s="94">
        <v>223636</v>
      </c>
      <c r="I25" s="95">
        <v>2460000</v>
      </c>
    </row>
    <row r="26" spans="1:9">
      <c r="A26" s="93">
        <v>11</v>
      </c>
      <c r="B26" s="70">
        <v>4</v>
      </c>
      <c r="C26" s="69" t="s">
        <v>251</v>
      </c>
      <c r="D26" s="69" t="s">
        <v>253</v>
      </c>
      <c r="E26" s="70">
        <v>20</v>
      </c>
      <c r="F26" s="94">
        <v>16000</v>
      </c>
      <c r="G26" s="94">
        <v>290909</v>
      </c>
      <c r="H26" s="94">
        <v>29091</v>
      </c>
      <c r="I26" s="95">
        <v>320000</v>
      </c>
    </row>
    <row r="27" spans="1:9">
      <c r="A27" s="93">
        <v>12</v>
      </c>
      <c r="B27" s="70">
        <v>1</v>
      </c>
      <c r="C27" s="69" t="s">
        <v>254</v>
      </c>
      <c r="D27" s="69" t="s">
        <v>245</v>
      </c>
      <c r="E27" s="70">
        <v>250</v>
      </c>
      <c r="F27" s="94">
        <v>12500</v>
      </c>
      <c r="G27" s="94">
        <v>2840909</v>
      </c>
      <c r="H27" s="94">
        <v>284091</v>
      </c>
      <c r="I27" s="95">
        <v>3125000</v>
      </c>
    </row>
    <row r="28" spans="1:9">
      <c r="A28" s="93">
        <v>12</v>
      </c>
      <c r="B28" s="70">
        <v>2</v>
      </c>
      <c r="C28" s="69" t="s">
        <v>251</v>
      </c>
      <c r="D28" s="69" t="s">
        <v>243</v>
      </c>
      <c r="E28" s="70">
        <v>50</v>
      </c>
      <c r="F28" s="94">
        <v>12500</v>
      </c>
      <c r="G28" s="94">
        <v>568182</v>
      </c>
      <c r="H28" s="94">
        <v>56818</v>
      </c>
      <c r="I28" s="95">
        <v>625000</v>
      </c>
    </row>
    <row r="29" spans="1:9">
      <c r="A29" s="93">
        <v>12</v>
      </c>
      <c r="B29" s="70">
        <v>3</v>
      </c>
      <c r="C29" s="69" t="s">
        <v>254</v>
      </c>
      <c r="D29" s="69" t="s">
        <v>257</v>
      </c>
      <c r="E29" s="70">
        <v>-1</v>
      </c>
      <c r="F29" s="94">
        <v>12500</v>
      </c>
      <c r="G29" s="94">
        <v>-11364</v>
      </c>
      <c r="H29" s="94">
        <v>-1136</v>
      </c>
      <c r="I29" s="95">
        <v>-12500</v>
      </c>
    </row>
    <row r="30" spans="1:9">
      <c r="A30" s="93">
        <v>13</v>
      </c>
      <c r="B30" s="70">
        <v>1</v>
      </c>
      <c r="C30" s="69" t="s">
        <v>255</v>
      </c>
      <c r="D30" s="69" t="s">
        <v>250</v>
      </c>
      <c r="E30" s="70">
        <v>100</v>
      </c>
      <c r="F30" s="94">
        <v>12500</v>
      </c>
      <c r="G30" s="94">
        <v>1136364</v>
      </c>
      <c r="H30" s="94">
        <v>113636</v>
      </c>
      <c r="I30" s="95">
        <v>1250000</v>
      </c>
    </row>
    <row r="31" spans="1:9">
      <c r="A31" s="93">
        <v>14</v>
      </c>
      <c r="B31" s="70">
        <v>2</v>
      </c>
      <c r="C31" s="69" t="s">
        <v>251</v>
      </c>
      <c r="D31" s="69" t="s">
        <v>247</v>
      </c>
      <c r="E31" s="70">
        <v>50</v>
      </c>
      <c r="F31" s="94">
        <v>12500</v>
      </c>
      <c r="G31" s="94">
        <v>568182</v>
      </c>
      <c r="H31" s="94">
        <v>56818</v>
      </c>
      <c r="I31" s="95">
        <v>625000</v>
      </c>
    </row>
    <row r="32" spans="1:9">
      <c r="A32" s="93">
        <v>15</v>
      </c>
      <c r="B32" s="70">
        <v>1</v>
      </c>
      <c r="C32" s="69" t="s">
        <v>255</v>
      </c>
      <c r="D32" s="69" t="s">
        <v>257</v>
      </c>
      <c r="E32" s="70">
        <v>7</v>
      </c>
      <c r="F32" s="94">
        <v>12000</v>
      </c>
      <c r="G32" s="94">
        <v>76364</v>
      </c>
      <c r="H32" s="94">
        <v>7636</v>
      </c>
      <c r="I32" s="95">
        <v>84000</v>
      </c>
    </row>
    <row r="33" spans="1:9">
      <c r="A33" s="93">
        <v>15</v>
      </c>
      <c r="B33" s="70">
        <v>2</v>
      </c>
      <c r="C33" s="69" t="s">
        <v>255</v>
      </c>
      <c r="D33" s="69" t="s">
        <v>253</v>
      </c>
      <c r="E33" s="70">
        <v>1</v>
      </c>
      <c r="F33" s="94">
        <v>24000</v>
      </c>
      <c r="G33" s="94">
        <v>21818</v>
      </c>
      <c r="H33" s="94">
        <v>2182</v>
      </c>
      <c r="I33" s="95">
        <v>24000</v>
      </c>
    </row>
    <row r="34" spans="1:9">
      <c r="A34" s="93">
        <v>16</v>
      </c>
      <c r="B34" s="70">
        <v>1</v>
      </c>
      <c r="C34" s="69" t="s">
        <v>255</v>
      </c>
      <c r="D34" s="69" t="s">
        <v>250</v>
      </c>
      <c r="E34" s="70">
        <v>335</v>
      </c>
      <c r="F34" s="94">
        <v>12500</v>
      </c>
      <c r="G34" s="94">
        <v>3806818</v>
      </c>
      <c r="H34" s="94">
        <v>380682</v>
      </c>
      <c r="I34" s="95">
        <v>4187500</v>
      </c>
    </row>
    <row r="35" spans="1:9">
      <c r="A35" s="93">
        <v>16</v>
      </c>
      <c r="B35" s="70">
        <v>2</v>
      </c>
      <c r="C35" s="69" t="s">
        <v>258</v>
      </c>
      <c r="D35" s="69" t="s">
        <v>243</v>
      </c>
      <c r="E35" s="70">
        <v>237</v>
      </c>
      <c r="F35" s="94">
        <v>15800</v>
      </c>
      <c r="G35" s="94">
        <v>3404182</v>
      </c>
      <c r="H35" s="94">
        <v>340418</v>
      </c>
      <c r="I35" s="95">
        <v>3744600</v>
      </c>
    </row>
    <row r="36" spans="1:9">
      <c r="A36" s="93">
        <v>17</v>
      </c>
      <c r="B36" s="70">
        <v>1</v>
      </c>
      <c r="C36" s="69" t="s">
        <v>256</v>
      </c>
      <c r="D36" s="69" t="s">
        <v>253</v>
      </c>
      <c r="E36" s="70">
        <v>200</v>
      </c>
      <c r="F36" s="94">
        <v>12500</v>
      </c>
      <c r="G36" s="94">
        <v>2272727</v>
      </c>
      <c r="H36" s="94">
        <v>227273</v>
      </c>
      <c r="I36" s="95">
        <v>2500000</v>
      </c>
    </row>
    <row r="37" spans="1:9">
      <c r="A37" s="93">
        <v>17</v>
      </c>
      <c r="B37" s="70">
        <v>2</v>
      </c>
      <c r="C37" s="69" t="s">
        <v>251</v>
      </c>
      <c r="D37" s="69" t="s">
        <v>250</v>
      </c>
      <c r="E37" s="70">
        <v>-3</v>
      </c>
      <c r="F37" s="94">
        <v>12500</v>
      </c>
      <c r="G37" s="94">
        <v>-34091</v>
      </c>
      <c r="H37" s="94">
        <v>-3409</v>
      </c>
      <c r="I37" s="95">
        <v>-37500</v>
      </c>
    </row>
    <row r="38" spans="1:9">
      <c r="A38" s="93">
        <v>17</v>
      </c>
      <c r="B38" s="70">
        <v>3</v>
      </c>
      <c r="C38" s="69" t="s">
        <v>256</v>
      </c>
      <c r="D38" s="69" t="s">
        <v>247</v>
      </c>
      <c r="E38" s="70">
        <v>-1</v>
      </c>
      <c r="F38" s="94">
        <v>16000</v>
      </c>
      <c r="G38" s="94">
        <v>-14545</v>
      </c>
      <c r="H38" s="94">
        <v>-1455</v>
      </c>
      <c r="I38" s="95">
        <v>-16000</v>
      </c>
    </row>
    <row r="39" spans="1:9">
      <c r="A39" s="93">
        <v>18</v>
      </c>
      <c r="B39" s="70">
        <v>1</v>
      </c>
      <c r="C39" s="69" t="s">
        <v>254</v>
      </c>
      <c r="D39" s="69" t="s">
        <v>257</v>
      </c>
      <c r="E39" s="70">
        <v>200</v>
      </c>
      <c r="F39" s="94">
        <v>12500</v>
      </c>
      <c r="G39" s="94">
        <v>2272727</v>
      </c>
      <c r="H39" s="94">
        <v>227273</v>
      </c>
      <c r="I39" s="95">
        <v>2500000</v>
      </c>
    </row>
    <row r="40" spans="1:9">
      <c r="A40" s="93">
        <v>18</v>
      </c>
      <c r="B40" s="70">
        <v>2</v>
      </c>
      <c r="C40" s="69" t="s">
        <v>248</v>
      </c>
      <c r="D40" s="69" t="s">
        <v>252</v>
      </c>
      <c r="E40" s="70">
        <v>5</v>
      </c>
      <c r="F40" s="94">
        <v>16500</v>
      </c>
      <c r="G40" s="94">
        <v>75000</v>
      </c>
      <c r="H40" s="94">
        <v>7500</v>
      </c>
      <c r="I40" s="95">
        <v>82500</v>
      </c>
    </row>
    <row r="41" spans="1:9">
      <c r="A41" s="93">
        <v>19</v>
      </c>
      <c r="B41" s="70">
        <v>1</v>
      </c>
      <c r="C41" s="69" t="s">
        <v>255</v>
      </c>
      <c r="D41" s="69" t="s">
        <v>245</v>
      </c>
      <c r="E41" s="70">
        <v>-6</v>
      </c>
      <c r="F41" s="94">
        <v>12500</v>
      </c>
      <c r="G41" s="94">
        <v>-68182</v>
      </c>
      <c r="H41" s="94">
        <v>-6818</v>
      </c>
      <c r="I41" s="95">
        <v>-75000</v>
      </c>
    </row>
    <row r="42" spans="1:9">
      <c r="A42" s="93">
        <v>19</v>
      </c>
      <c r="B42" s="70">
        <v>2</v>
      </c>
      <c r="C42" s="69" t="s">
        <v>259</v>
      </c>
      <c r="D42" s="69" t="s">
        <v>247</v>
      </c>
      <c r="E42" s="70">
        <v>6</v>
      </c>
      <c r="F42" s="94">
        <v>16000</v>
      </c>
      <c r="G42" s="94">
        <v>87273</v>
      </c>
      <c r="H42" s="94">
        <v>8727</v>
      </c>
      <c r="I42" s="95">
        <v>96000</v>
      </c>
    </row>
    <row r="43" spans="1:9">
      <c r="A43" s="93">
        <v>20</v>
      </c>
      <c r="B43" s="70">
        <v>1</v>
      </c>
      <c r="C43" s="69" t="s">
        <v>256</v>
      </c>
      <c r="D43" s="69" t="s">
        <v>257</v>
      </c>
      <c r="E43" s="70">
        <v>-2</v>
      </c>
      <c r="F43" s="94">
        <v>12500</v>
      </c>
      <c r="G43" s="94">
        <v>-22727</v>
      </c>
      <c r="H43" s="94">
        <v>-2273</v>
      </c>
      <c r="I43" s="95">
        <v>-25000</v>
      </c>
    </row>
    <row r="44" spans="1:9">
      <c r="A44" s="93">
        <v>21</v>
      </c>
      <c r="B44" s="70">
        <v>1</v>
      </c>
      <c r="C44" s="69" t="s">
        <v>254</v>
      </c>
      <c r="D44" s="69" t="s">
        <v>246</v>
      </c>
      <c r="E44" s="70">
        <v>150</v>
      </c>
      <c r="F44" s="94">
        <v>12500</v>
      </c>
      <c r="G44" s="94">
        <v>1704545</v>
      </c>
      <c r="H44" s="94">
        <v>170455</v>
      </c>
      <c r="I44" s="95">
        <v>1875000</v>
      </c>
    </row>
    <row r="45" spans="1:9">
      <c r="A45" s="93">
        <v>21</v>
      </c>
      <c r="B45" s="70">
        <v>2</v>
      </c>
      <c r="C45" s="69" t="s">
        <v>258</v>
      </c>
      <c r="D45" s="69" t="s">
        <v>243</v>
      </c>
      <c r="E45" s="70">
        <v>200</v>
      </c>
      <c r="F45" s="94">
        <v>12300</v>
      </c>
      <c r="G45" s="94">
        <v>2236364</v>
      </c>
      <c r="H45" s="94">
        <v>223636</v>
      </c>
      <c r="I45" s="95">
        <v>2460000</v>
      </c>
    </row>
    <row r="46" spans="1:9">
      <c r="A46" s="93">
        <v>21</v>
      </c>
      <c r="B46" s="70">
        <v>3</v>
      </c>
      <c r="C46" s="69" t="s">
        <v>249</v>
      </c>
      <c r="D46" s="69" t="s">
        <v>252</v>
      </c>
      <c r="E46" s="70">
        <v>12</v>
      </c>
      <c r="F46" s="94">
        <v>16000</v>
      </c>
      <c r="G46" s="94">
        <v>174545</v>
      </c>
      <c r="H46" s="94">
        <v>17455</v>
      </c>
      <c r="I46" s="95">
        <v>192000</v>
      </c>
    </row>
    <row r="47" spans="1:9">
      <c r="A47" s="93">
        <v>22</v>
      </c>
      <c r="B47" s="70">
        <v>1</v>
      </c>
      <c r="C47" s="69" t="s">
        <v>248</v>
      </c>
      <c r="D47" s="69" t="s">
        <v>252</v>
      </c>
      <c r="E47" s="70">
        <v>5</v>
      </c>
      <c r="F47" s="94">
        <v>16500</v>
      </c>
      <c r="G47" s="94">
        <v>75000</v>
      </c>
      <c r="H47" s="94">
        <v>7500</v>
      </c>
      <c r="I47" s="95">
        <v>82500</v>
      </c>
    </row>
    <row r="48" spans="1:9">
      <c r="A48" s="93">
        <v>23</v>
      </c>
      <c r="B48" s="70">
        <v>1</v>
      </c>
      <c r="C48" s="69" t="s">
        <v>260</v>
      </c>
      <c r="D48" s="69" t="s">
        <v>243</v>
      </c>
      <c r="E48" s="70">
        <v>30</v>
      </c>
      <c r="F48" s="94">
        <v>16000</v>
      </c>
      <c r="G48" s="94">
        <v>436364</v>
      </c>
      <c r="H48" s="94">
        <v>43636</v>
      </c>
      <c r="I48" s="95">
        <v>480000</v>
      </c>
    </row>
    <row r="49" spans="1:9">
      <c r="A49" s="93">
        <v>23</v>
      </c>
      <c r="B49" s="70">
        <v>2</v>
      </c>
      <c r="C49" s="69" t="s">
        <v>256</v>
      </c>
      <c r="D49" s="69" t="s">
        <v>245</v>
      </c>
      <c r="E49" s="70">
        <v>6</v>
      </c>
      <c r="F49" s="94">
        <v>16000</v>
      </c>
      <c r="G49" s="94">
        <v>87273</v>
      </c>
      <c r="H49" s="94">
        <v>8727</v>
      </c>
      <c r="I49" s="95">
        <v>96000</v>
      </c>
    </row>
    <row r="50" spans="1:9">
      <c r="A50" s="93">
        <v>24</v>
      </c>
      <c r="B50" s="70">
        <v>1</v>
      </c>
      <c r="C50" s="69" t="s">
        <v>254</v>
      </c>
      <c r="D50" s="69" t="s">
        <v>250</v>
      </c>
      <c r="E50" s="70">
        <v>200</v>
      </c>
      <c r="F50" s="94">
        <v>12500</v>
      </c>
      <c r="G50" s="94">
        <v>2272727</v>
      </c>
      <c r="H50" s="94">
        <v>227273</v>
      </c>
      <c r="I50" s="95">
        <v>2500000</v>
      </c>
    </row>
    <row r="51" spans="1:9">
      <c r="A51" s="93">
        <v>25</v>
      </c>
      <c r="B51" s="70">
        <v>1</v>
      </c>
      <c r="C51" s="69" t="s">
        <v>258</v>
      </c>
      <c r="D51" s="69" t="s">
        <v>257</v>
      </c>
      <c r="E51" s="70">
        <v>300</v>
      </c>
      <c r="F51" s="94">
        <v>12300</v>
      </c>
      <c r="G51" s="94">
        <v>3354545</v>
      </c>
      <c r="H51" s="94">
        <v>335455</v>
      </c>
      <c r="I51" s="95">
        <v>3690000</v>
      </c>
    </row>
    <row r="52" spans="1:9">
      <c r="A52" s="93">
        <v>26</v>
      </c>
      <c r="B52" s="70">
        <v>1</v>
      </c>
      <c r="C52" s="69" t="s">
        <v>261</v>
      </c>
      <c r="D52" s="69" t="s">
        <v>253</v>
      </c>
      <c r="E52" s="70">
        <v>200</v>
      </c>
      <c r="F52" s="94">
        <v>8000</v>
      </c>
      <c r="G52" s="94">
        <v>1454545</v>
      </c>
      <c r="H52" s="94">
        <v>145455</v>
      </c>
      <c r="I52" s="95">
        <v>1600000</v>
      </c>
    </row>
    <row r="53" spans="1:9">
      <c r="A53" s="93">
        <v>26</v>
      </c>
      <c r="B53" s="70">
        <v>2</v>
      </c>
      <c r="C53" s="69" t="s">
        <v>259</v>
      </c>
      <c r="D53" s="69" t="s">
        <v>252</v>
      </c>
      <c r="E53" s="70">
        <v>6</v>
      </c>
      <c r="F53" s="94">
        <v>16000</v>
      </c>
      <c r="G53" s="94">
        <v>87273</v>
      </c>
      <c r="H53" s="94">
        <v>8727</v>
      </c>
      <c r="I53" s="95">
        <v>96000</v>
      </c>
    </row>
    <row r="54" spans="1:9">
      <c r="A54" s="93">
        <v>27</v>
      </c>
      <c r="B54" s="70">
        <v>1</v>
      </c>
      <c r="C54" s="69" t="s">
        <v>254</v>
      </c>
      <c r="D54" s="69" t="s">
        <v>250</v>
      </c>
      <c r="E54" s="70">
        <v>200</v>
      </c>
      <c r="F54" s="94">
        <v>12500</v>
      </c>
      <c r="G54" s="94">
        <v>2272727</v>
      </c>
      <c r="H54" s="94">
        <v>227273</v>
      </c>
      <c r="I54" s="95">
        <v>2500000</v>
      </c>
    </row>
    <row r="55" spans="1:9">
      <c r="A55" s="93">
        <v>28</v>
      </c>
      <c r="B55" s="70">
        <v>1</v>
      </c>
      <c r="C55" s="69" t="s">
        <v>255</v>
      </c>
      <c r="D55" s="69" t="s">
        <v>245</v>
      </c>
      <c r="E55" s="70">
        <v>100</v>
      </c>
      <c r="F55" s="94">
        <v>12500</v>
      </c>
      <c r="G55" s="94">
        <v>1136364</v>
      </c>
      <c r="H55" s="94">
        <v>113636</v>
      </c>
      <c r="I55" s="95">
        <v>1250000</v>
      </c>
    </row>
    <row r="56" spans="1:9">
      <c r="A56" s="93">
        <v>28</v>
      </c>
      <c r="B56" s="70">
        <v>2</v>
      </c>
      <c r="C56" s="69" t="s">
        <v>251</v>
      </c>
      <c r="D56" s="69" t="s">
        <v>246</v>
      </c>
      <c r="E56" s="70">
        <v>200</v>
      </c>
      <c r="F56" s="94">
        <v>12500</v>
      </c>
      <c r="G56" s="94">
        <v>2272727</v>
      </c>
      <c r="H56" s="94">
        <v>227273</v>
      </c>
      <c r="I56" s="95">
        <v>2500000</v>
      </c>
    </row>
    <row r="57" spans="1:9">
      <c r="A57" s="93">
        <v>28</v>
      </c>
      <c r="B57" s="70">
        <v>3</v>
      </c>
      <c r="C57" s="69" t="s">
        <v>255</v>
      </c>
      <c r="D57" s="69" t="s">
        <v>257</v>
      </c>
      <c r="E57" s="70">
        <v>100</v>
      </c>
      <c r="F57" s="94">
        <v>12500</v>
      </c>
      <c r="G57" s="94">
        <v>1136364</v>
      </c>
      <c r="H57" s="94">
        <v>113636</v>
      </c>
      <c r="I57" s="95">
        <v>1250000</v>
      </c>
    </row>
    <row r="58" spans="1:9">
      <c r="A58" s="93">
        <v>29</v>
      </c>
      <c r="B58" s="70">
        <v>1</v>
      </c>
      <c r="C58" s="69" t="s">
        <v>256</v>
      </c>
      <c r="D58" s="69" t="s">
        <v>243</v>
      </c>
      <c r="E58" s="70">
        <v>200</v>
      </c>
      <c r="F58" s="94">
        <v>12500</v>
      </c>
      <c r="G58" s="94">
        <v>2272727</v>
      </c>
      <c r="H58" s="94">
        <v>227273</v>
      </c>
      <c r="I58" s="95">
        <v>2500000</v>
      </c>
    </row>
    <row r="59" spans="1:9">
      <c r="A59" s="93">
        <v>30</v>
      </c>
      <c r="B59" s="70">
        <v>1</v>
      </c>
      <c r="C59" s="69" t="s">
        <v>261</v>
      </c>
      <c r="D59" s="69" t="s">
        <v>246</v>
      </c>
      <c r="E59" s="70">
        <v>200</v>
      </c>
      <c r="F59" s="94">
        <v>8000</v>
      </c>
      <c r="G59" s="94">
        <v>1454545</v>
      </c>
      <c r="H59" s="94">
        <v>145455</v>
      </c>
      <c r="I59" s="95">
        <v>1600000</v>
      </c>
    </row>
    <row r="60" spans="1:9">
      <c r="A60" s="96">
        <v>30</v>
      </c>
      <c r="B60" s="73">
        <v>2</v>
      </c>
      <c r="C60" s="72" t="s">
        <v>251</v>
      </c>
      <c r="D60" s="72" t="s">
        <v>257</v>
      </c>
      <c r="E60" s="73">
        <v>20</v>
      </c>
      <c r="F60" s="97">
        <v>16000</v>
      </c>
      <c r="G60" s="97">
        <v>290909</v>
      </c>
      <c r="H60" s="97">
        <v>29091</v>
      </c>
      <c r="I60" s="98">
        <v>320000</v>
      </c>
    </row>
  </sheetData>
  <phoneticPr fontId="4" type="noConversion"/>
  <printOptions horizontalCentered="1"/>
  <pageMargins left="0.39370078740157483" right="0.39370078740157483" top="1.5748031496062993" bottom="0.74803149606299213" header="0.39370078740157483" footer="0.39370078740157483"/>
  <pageSetup paperSize="9" orientation="portrait" verticalDpi="0" r:id="rId1"/>
  <headerFooter>
    <oddHeader>&amp;R&amp;G</oddHeader>
  </headerFooter>
  <rowBreaks count="1" manualBreakCount="1">
    <brk id="30" max="16383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76"/>
  <sheetViews>
    <sheetView topLeftCell="A13" workbookViewId="0">
      <selection activeCell="F36" sqref="F36"/>
    </sheetView>
  </sheetViews>
  <sheetFormatPr defaultRowHeight="16.5"/>
  <cols>
    <col min="1" max="1" width="9" style="18"/>
    <col min="2" max="2" width="20.625" style="18" bestFit="1" customWidth="1"/>
    <col min="3" max="3" width="21.5" style="18" bestFit="1" customWidth="1"/>
    <col min="4" max="4" width="9.375" style="18" customWidth="1"/>
    <col min="5" max="5" width="9" style="18"/>
    <col min="6" max="6" width="17.625" style="18" customWidth="1"/>
    <col min="7" max="7" width="15" style="18" customWidth="1"/>
    <col min="8" max="8" width="11.125" style="18" bestFit="1" customWidth="1"/>
    <col min="9" max="9" width="8.5" style="1" customWidth="1"/>
    <col min="10" max="16384" width="9" style="18"/>
  </cols>
  <sheetData>
    <row r="1" spans="1:14">
      <c r="A1" s="18" t="s">
        <v>64</v>
      </c>
      <c r="E1" s="19" t="s">
        <v>65</v>
      </c>
      <c r="G1" s="1"/>
      <c r="H1" s="1"/>
      <c r="J1" s="1"/>
    </row>
    <row r="2" spans="1:14">
      <c r="A2" s="20" t="s">
        <v>66</v>
      </c>
      <c r="B2" s="21" t="s">
        <v>67</v>
      </c>
      <c r="C2" s="21" t="s">
        <v>68</v>
      </c>
      <c r="E2" s="20" t="s">
        <v>69</v>
      </c>
      <c r="F2" s="22">
        <v>0</v>
      </c>
      <c r="G2" s="22">
        <v>10</v>
      </c>
      <c r="H2" s="22">
        <v>20</v>
      </c>
      <c r="I2" s="23">
        <v>30</v>
      </c>
    </row>
    <row r="3" spans="1:14">
      <c r="A3" s="20" t="s">
        <v>70</v>
      </c>
      <c r="B3" s="20">
        <f t="array" ref="B3">LARGE(IF(($B$10:$B$25=A3)*( (RIGHT($A$10:$A$25,1)="1")+(RIGHT($A$10:$A$25,1)="2") ),$D$10:$D$25),2)</f>
        <v>15</v>
      </c>
      <c r="C3" s="20">
        <f>COUNTIFS($B$10:$B$25,A3,$D$10:$D$25,"&gt;=20")</f>
        <v>4</v>
      </c>
      <c r="E3" s="20" t="s">
        <v>71</v>
      </c>
      <c r="F3" s="22">
        <v>3750</v>
      </c>
      <c r="G3" s="24">
        <v>3500</v>
      </c>
      <c r="H3" s="25">
        <v>3350</v>
      </c>
      <c r="I3" s="22">
        <v>3100</v>
      </c>
    </row>
    <row r="4" spans="1:14">
      <c r="A4" s="20" t="s">
        <v>72</v>
      </c>
      <c r="B4" s="20">
        <f t="array" ref="B4">LARGE(IF(($B$10:$B$25=A4)*( (RIGHT($A$10:$A$25,1)="1")+(RIGHT($A$10:$A$25,1)="2") ),$D$10:$D$25),2)</f>
        <v>18</v>
      </c>
      <c r="C4" s="20">
        <f t="shared" ref="C4:C5" si="0">COUNTIFS($B$10:$B$25,A4,$D$10:$D$25,"&gt;=20")</f>
        <v>1</v>
      </c>
      <c r="E4" s="20" t="s">
        <v>73</v>
      </c>
      <c r="F4" s="22">
        <v>1700</v>
      </c>
      <c r="G4" s="24">
        <v>1500</v>
      </c>
      <c r="H4" s="25">
        <v>1400</v>
      </c>
      <c r="I4" s="22">
        <v>1300</v>
      </c>
    </row>
    <row r="5" spans="1:14">
      <c r="A5" s="20" t="s">
        <v>74</v>
      </c>
      <c r="B5" s="20">
        <f t="array" ref="B5">LARGE(IF(($B$10:$B$25=A5)*( (RIGHT($A$10:$A$25,1)="1")+(RIGHT($A$10:$A$25,1)="2") ),$D$10:$D$25),2)</f>
        <v>20</v>
      </c>
      <c r="C5" s="20">
        <f t="shared" si="0"/>
        <v>3</v>
      </c>
      <c r="I5" s="18"/>
    </row>
    <row r="6" spans="1:14">
      <c r="I6" s="18"/>
    </row>
    <row r="7" spans="1:14">
      <c r="G7" s="1"/>
      <c r="H7" s="1"/>
    </row>
    <row r="8" spans="1:14">
      <c r="A8" s="26" t="s">
        <v>75</v>
      </c>
      <c r="B8" s="1" t="s">
        <v>76</v>
      </c>
      <c r="C8" s="1"/>
      <c r="D8" s="1"/>
      <c r="E8" s="1"/>
      <c r="F8" s="1"/>
      <c r="G8" s="1"/>
      <c r="H8" s="1"/>
      <c r="J8" s="1"/>
      <c r="K8" s="1"/>
      <c r="L8" s="1"/>
      <c r="M8" s="1"/>
      <c r="N8" s="1"/>
    </row>
    <row r="9" spans="1:14">
      <c r="A9" s="14" t="s">
        <v>77</v>
      </c>
      <c r="B9" s="20" t="s">
        <v>66</v>
      </c>
      <c r="C9" s="21" t="s">
        <v>78</v>
      </c>
      <c r="D9" s="14" t="s">
        <v>79</v>
      </c>
      <c r="E9" s="21" t="s">
        <v>80</v>
      </c>
      <c r="F9" s="20" t="s">
        <v>81</v>
      </c>
      <c r="G9" s="21" t="s">
        <v>82</v>
      </c>
      <c r="H9" s="21" t="s">
        <v>83</v>
      </c>
      <c r="J9" s="17"/>
      <c r="K9" s="17"/>
      <c r="L9" s="1"/>
      <c r="M9" s="1"/>
      <c r="N9" s="1"/>
    </row>
    <row r="10" spans="1:14">
      <c r="A10" s="14" t="s">
        <v>84</v>
      </c>
      <c r="B10" s="14" t="s">
        <v>85</v>
      </c>
      <c r="C10" s="14" t="str">
        <f>SUBSTITUTE(A10,LEFT(A10,1),LEFT(B10,1))</f>
        <v>녹001</v>
      </c>
      <c r="D10" s="22">
        <v>38</v>
      </c>
      <c r="E10" s="27">
        <f>HLOOKUP(  D10,$F$2:$I$4,MATCH(LEFT(A10,1),{"다","나"},-1)+1  )</f>
        <v>1300</v>
      </c>
      <c r="F10" s="28">
        <v>0.1</v>
      </c>
      <c r="G10" s="29">
        <f>PRODUCT(D10:F10)</f>
        <v>4940</v>
      </c>
      <c r="H10" s="30">
        <f>fn생산단가(A10,E10)</f>
        <v>390</v>
      </c>
      <c r="J10" s="31"/>
      <c r="K10" s="31"/>
      <c r="L10" s="1"/>
      <c r="M10" s="1"/>
      <c r="N10" s="1"/>
    </row>
    <row r="11" spans="1:14">
      <c r="A11" s="14" t="s">
        <v>86</v>
      </c>
      <c r="B11" s="14" t="s">
        <v>87</v>
      </c>
      <c r="C11" s="14" t="str">
        <f t="shared" ref="C11:C25" si="1">SUBSTITUTE(A11,LEFT(A11,1),LEFT(B11,1))</f>
        <v>카002</v>
      </c>
      <c r="D11" s="22">
        <v>26</v>
      </c>
      <c r="E11" s="27">
        <f>HLOOKUP(  D11,$F$2:$I$4,MATCH(LEFT(A11,1),{"다","나"},-1)+1  )</f>
        <v>1400</v>
      </c>
      <c r="F11" s="28">
        <v>0.08</v>
      </c>
      <c r="G11" s="29">
        <f t="shared" ref="G11:G25" si="2">PRODUCT(D11:F11)</f>
        <v>2912</v>
      </c>
      <c r="H11" s="30">
        <f t="shared" ref="H11:H25" si="3">fn생산단가(A11,E11)</f>
        <v>280</v>
      </c>
      <c r="J11" s="31"/>
      <c r="K11" s="31"/>
      <c r="L11" s="1"/>
      <c r="M11" s="1"/>
      <c r="N11" s="1"/>
    </row>
    <row r="12" spans="1:14">
      <c r="A12" s="14" t="s">
        <v>88</v>
      </c>
      <c r="B12" s="14" t="s">
        <v>87</v>
      </c>
      <c r="C12" s="14" t="str">
        <f t="shared" si="1"/>
        <v>카002</v>
      </c>
      <c r="D12" s="22">
        <v>20</v>
      </c>
      <c r="E12" s="27">
        <f>HLOOKUP(  D12,$F$2:$I$4,MATCH(LEFT(A12,1),{"다","나"},-1)+1  )</f>
        <v>1400</v>
      </c>
      <c r="F12" s="28">
        <v>0.08</v>
      </c>
      <c r="G12" s="29">
        <f t="shared" si="2"/>
        <v>2240</v>
      </c>
      <c r="H12" s="30">
        <f t="shared" si="3"/>
        <v>280</v>
      </c>
      <c r="J12" s="31"/>
      <c r="K12" s="31"/>
    </row>
    <row r="13" spans="1:14">
      <c r="A13" s="14" t="s">
        <v>89</v>
      </c>
      <c r="B13" s="14" t="s">
        <v>85</v>
      </c>
      <c r="C13" s="14" t="str">
        <f t="shared" si="1"/>
        <v>녹011</v>
      </c>
      <c r="D13" s="22">
        <v>5</v>
      </c>
      <c r="E13" s="27">
        <f>HLOOKUP(  D13,$F$2:$I$4,MATCH(LEFT(A13,1),{"다","나"},-1)+1  )</f>
        <v>1700</v>
      </c>
      <c r="F13" s="28">
        <v>0.03</v>
      </c>
      <c r="G13" s="29">
        <f t="shared" si="2"/>
        <v>255</v>
      </c>
      <c r="H13" s="30">
        <f t="shared" si="3"/>
        <v>510</v>
      </c>
      <c r="J13" s="31"/>
      <c r="K13" s="31"/>
    </row>
    <row r="14" spans="1:14">
      <c r="A14" s="14" t="s">
        <v>90</v>
      </c>
      <c r="B14" s="14" t="s">
        <v>85</v>
      </c>
      <c r="C14" s="14" t="str">
        <f t="shared" si="1"/>
        <v>녹021</v>
      </c>
      <c r="D14" s="22">
        <v>5</v>
      </c>
      <c r="E14" s="27">
        <f>HLOOKUP(  D14,$F$2:$I$4,MATCH(LEFT(A14,1),{"다","나"},-1)+1  )</f>
        <v>1700</v>
      </c>
      <c r="F14" s="28">
        <v>0.03</v>
      </c>
      <c r="G14" s="29">
        <f t="shared" si="2"/>
        <v>255</v>
      </c>
      <c r="H14" s="30">
        <f t="shared" si="3"/>
        <v>510</v>
      </c>
      <c r="J14" s="31"/>
      <c r="K14" s="31"/>
    </row>
    <row r="15" spans="1:14">
      <c r="A15" s="14" t="s">
        <v>91</v>
      </c>
      <c r="B15" s="14" t="s">
        <v>92</v>
      </c>
      <c r="C15" s="14" t="str">
        <f t="shared" si="1"/>
        <v>세003</v>
      </c>
      <c r="D15" s="22">
        <v>12</v>
      </c>
      <c r="E15" s="27">
        <f>HLOOKUP(  D15,$F$2:$I$4,MATCH(LEFT(A15,1),{"다","나"},-1)+1  )</f>
        <v>3500</v>
      </c>
      <c r="F15" s="28">
        <v>0.05</v>
      </c>
      <c r="G15" s="29">
        <f t="shared" si="2"/>
        <v>2100</v>
      </c>
      <c r="H15" s="30">
        <f t="shared" si="3"/>
        <v>700</v>
      </c>
    </row>
    <row r="16" spans="1:14">
      <c r="A16" s="14" t="s">
        <v>93</v>
      </c>
      <c r="B16" s="14" t="s">
        <v>87</v>
      </c>
      <c r="C16" s="14" t="str">
        <f t="shared" si="1"/>
        <v>카004</v>
      </c>
      <c r="D16" s="22">
        <v>12</v>
      </c>
      <c r="E16" s="27">
        <f>HLOOKUP(  D16,$F$2:$I$4,MATCH(LEFT(A16,1),{"다","나"},-1)+1  )</f>
        <v>1500</v>
      </c>
      <c r="F16" s="28">
        <v>0.05</v>
      </c>
      <c r="G16" s="29">
        <f t="shared" si="2"/>
        <v>900</v>
      </c>
      <c r="H16" s="30">
        <f t="shared" si="3"/>
        <v>300</v>
      </c>
    </row>
    <row r="17" spans="1:14">
      <c r="A17" s="14" t="s">
        <v>94</v>
      </c>
      <c r="B17" s="14" t="s">
        <v>92</v>
      </c>
      <c r="C17" s="14" t="str">
        <f t="shared" si="1"/>
        <v>세002</v>
      </c>
      <c r="D17" s="22">
        <v>23</v>
      </c>
      <c r="E17" s="27">
        <f>HLOOKUP(  D17,$F$2:$I$4,MATCH(LEFT(A17,1),{"다","나"},-1)+1  )</f>
        <v>3350</v>
      </c>
      <c r="F17" s="28">
        <v>0.08</v>
      </c>
      <c r="G17" s="29">
        <f t="shared" si="2"/>
        <v>6164</v>
      </c>
      <c r="H17" s="30">
        <f t="shared" si="3"/>
        <v>670</v>
      </c>
    </row>
    <row r="18" spans="1:14">
      <c r="A18" s="14" t="s">
        <v>95</v>
      </c>
      <c r="B18" s="14" t="s">
        <v>85</v>
      </c>
      <c r="C18" s="14" t="str">
        <f t="shared" si="1"/>
        <v>녹005</v>
      </c>
      <c r="D18" s="22">
        <v>38</v>
      </c>
      <c r="E18" s="27">
        <f>HLOOKUP(  D18,$F$2:$I$4,MATCH(LEFT(A18,1),{"다","나"},-1)+1  )</f>
        <v>1300</v>
      </c>
      <c r="F18" s="28">
        <v>0.1</v>
      </c>
      <c r="G18" s="29">
        <f t="shared" si="2"/>
        <v>4940</v>
      </c>
      <c r="H18" s="30">
        <f t="shared" si="3"/>
        <v>260</v>
      </c>
      <c r="J18" s="1"/>
      <c r="L18" s="1"/>
      <c r="M18" s="1"/>
      <c r="N18" s="1"/>
    </row>
    <row r="19" spans="1:14">
      <c r="A19" s="14" t="s">
        <v>96</v>
      </c>
      <c r="B19" s="14" t="s">
        <v>85</v>
      </c>
      <c r="C19" s="14" t="str">
        <f t="shared" si="1"/>
        <v>녹052</v>
      </c>
      <c r="D19" s="22">
        <v>15</v>
      </c>
      <c r="E19" s="27">
        <f>HLOOKUP(  D19,$F$2:$I$4,MATCH(LEFT(A19,1),{"다","나"},-1)+1  )</f>
        <v>1500</v>
      </c>
      <c r="F19" s="28">
        <v>0.05</v>
      </c>
      <c r="G19" s="29">
        <f t="shared" si="2"/>
        <v>1125</v>
      </c>
      <c r="H19" s="30">
        <f t="shared" si="3"/>
        <v>450</v>
      </c>
    </row>
    <row r="20" spans="1:14">
      <c r="A20" s="14" t="s">
        <v>97</v>
      </c>
      <c r="B20" s="14" t="s">
        <v>85</v>
      </c>
      <c r="C20" s="14" t="str">
        <f t="shared" si="1"/>
        <v>녹351</v>
      </c>
      <c r="D20" s="22">
        <v>8</v>
      </c>
      <c r="E20" s="27">
        <f>HLOOKUP(  D20,$F$2:$I$4,MATCH(LEFT(A20,1),{"다","나"},-1)+1  )</f>
        <v>1700</v>
      </c>
      <c r="F20" s="28">
        <v>0.03</v>
      </c>
      <c r="G20" s="29">
        <f t="shared" si="2"/>
        <v>408</v>
      </c>
      <c r="H20" s="30">
        <f t="shared" si="3"/>
        <v>510</v>
      </c>
    </row>
    <row r="21" spans="1:14">
      <c r="A21" s="14" t="s">
        <v>98</v>
      </c>
      <c r="B21" s="14" t="s">
        <v>87</v>
      </c>
      <c r="C21" s="14" t="str">
        <f t="shared" si="1"/>
        <v>카154</v>
      </c>
      <c r="D21" s="22">
        <v>35</v>
      </c>
      <c r="E21" s="27">
        <f>HLOOKUP(  D21,$F$2:$I$4,MATCH(LEFT(A21,1),{"다","나"},-1)+1  )</f>
        <v>1300</v>
      </c>
      <c r="F21" s="28">
        <v>0.1</v>
      </c>
      <c r="G21" s="29">
        <f t="shared" si="2"/>
        <v>4550</v>
      </c>
      <c r="H21" s="30">
        <f t="shared" si="3"/>
        <v>260</v>
      </c>
    </row>
    <row r="22" spans="1:14">
      <c r="A22" s="14" t="s">
        <v>99</v>
      </c>
      <c r="B22" s="14" t="s">
        <v>92</v>
      </c>
      <c r="C22" s="14" t="str">
        <f t="shared" si="1"/>
        <v>세502</v>
      </c>
      <c r="D22" s="22">
        <v>18</v>
      </c>
      <c r="E22" s="27">
        <f>HLOOKUP(  D22,$F$2:$I$4,MATCH(LEFT(A22,1),{"다","나"},-1)+1  )</f>
        <v>3500</v>
      </c>
      <c r="F22" s="28">
        <v>0.05</v>
      </c>
      <c r="G22" s="29">
        <f t="shared" si="2"/>
        <v>3150</v>
      </c>
      <c r="H22" s="30">
        <f t="shared" si="3"/>
        <v>700</v>
      </c>
    </row>
    <row r="23" spans="1:14">
      <c r="A23" s="14" t="s">
        <v>100</v>
      </c>
      <c r="B23" s="14" t="s">
        <v>70</v>
      </c>
      <c r="C23" s="14" t="str">
        <f t="shared" si="1"/>
        <v>녹125</v>
      </c>
      <c r="D23" s="22">
        <v>23</v>
      </c>
      <c r="E23" s="27">
        <f>HLOOKUP(  D23,$F$2:$I$4,MATCH(LEFT(A23,1),{"다","나"},-1)+1  )</f>
        <v>1400</v>
      </c>
      <c r="F23" s="28">
        <v>0.08</v>
      </c>
      <c r="G23" s="29">
        <f t="shared" si="2"/>
        <v>2576</v>
      </c>
      <c r="H23" s="30">
        <f t="shared" si="3"/>
        <v>280</v>
      </c>
    </row>
    <row r="24" spans="1:14">
      <c r="A24" s="14" t="s">
        <v>101</v>
      </c>
      <c r="B24" s="14" t="s">
        <v>85</v>
      </c>
      <c r="C24" s="14" t="str">
        <f t="shared" si="1"/>
        <v>녹253</v>
      </c>
      <c r="D24" s="22">
        <v>35</v>
      </c>
      <c r="E24" s="27">
        <f>HLOOKUP(  D24,$F$2:$I$4,MATCH(LEFT(A24,1),{"다","나"},-1)+1  )</f>
        <v>1300</v>
      </c>
      <c r="F24" s="28">
        <v>0.1</v>
      </c>
      <c r="G24" s="29">
        <f t="shared" si="2"/>
        <v>4550</v>
      </c>
      <c r="H24" s="30">
        <f t="shared" si="3"/>
        <v>260</v>
      </c>
    </row>
    <row r="25" spans="1:14">
      <c r="A25" s="14" t="s">
        <v>102</v>
      </c>
      <c r="B25" s="14" t="s">
        <v>92</v>
      </c>
      <c r="C25" s="14" t="str">
        <f t="shared" si="1"/>
        <v>세244</v>
      </c>
      <c r="D25" s="22">
        <v>10</v>
      </c>
      <c r="E25" s="27">
        <f>HLOOKUP(  D25,$F$2:$I$4,MATCH(LEFT(A25,1),{"다","나"},-1)+1  )</f>
        <v>3500</v>
      </c>
      <c r="F25" s="28">
        <v>0.05</v>
      </c>
      <c r="G25" s="29">
        <f t="shared" si="2"/>
        <v>1750</v>
      </c>
      <c r="H25" s="30">
        <f t="shared" si="3"/>
        <v>700</v>
      </c>
    </row>
    <row r="26" spans="1:14">
      <c r="G26" s="1"/>
      <c r="I26" s="18"/>
    </row>
    <row r="27" spans="1:14">
      <c r="A27" s="19" t="s">
        <v>103</v>
      </c>
    </row>
    <row r="28" spans="1:14">
      <c r="A28" s="32" t="s">
        <v>16</v>
      </c>
      <c r="B28" s="33" t="s">
        <v>79</v>
      </c>
      <c r="C28" s="34"/>
      <c r="D28" s="34"/>
      <c r="E28" s="35"/>
    </row>
    <row r="29" spans="1:14">
      <c r="A29" s="32"/>
      <c r="B29" s="36">
        <v>30</v>
      </c>
      <c r="C29" s="36">
        <v>20</v>
      </c>
      <c r="D29" s="36">
        <v>10</v>
      </c>
      <c r="E29" s="37">
        <v>0</v>
      </c>
    </row>
    <row r="30" spans="1:14">
      <c r="A30" s="23" t="s">
        <v>70</v>
      </c>
      <c r="B30" s="23">
        <f t="array" ref="B30">SUM(($B$10:$B$25=$A30)*($D$10:$D$25&gt;=B$29))</f>
        <v>3</v>
      </c>
      <c r="C30" s="23">
        <f t="array" ref="C30">SUM(($B$10:$B$25=$A30)*($D$10:$D$25&gt;=C$29))</f>
        <v>4</v>
      </c>
      <c r="D30" s="23">
        <f t="array" ref="D30">SUM(($B$10:$B$25=$A30)*($D$10:$D$25&gt;=D$29))</f>
        <v>5</v>
      </c>
      <c r="E30" s="23">
        <f t="array" ref="E30">SUM(($B$10:$B$25=$A30)*($D$10:$D$25&gt;=E$29))</f>
        <v>8</v>
      </c>
    </row>
    <row r="31" spans="1:14">
      <c r="A31" s="23" t="s">
        <v>72</v>
      </c>
      <c r="B31" s="23">
        <f t="array" ref="B31">SUM(($B$10:$B$25=$A31)*($D$10:$D$25&gt;=B$29))</f>
        <v>0</v>
      </c>
      <c r="C31" s="23">
        <f t="array" ref="C31">SUM(($B$10:$B$25=$A31)*($D$10:$D$25&gt;=C$29))</f>
        <v>1</v>
      </c>
      <c r="D31" s="23">
        <f t="array" ref="D31">SUM(($B$10:$B$25=$A31)*($D$10:$D$25&gt;=D$29))</f>
        <v>4</v>
      </c>
      <c r="E31" s="23">
        <f t="array" ref="E31">SUM(($B$10:$B$25=$A31)*($D$10:$D$25&gt;=E$29))</f>
        <v>4</v>
      </c>
    </row>
    <row r="32" spans="1:14">
      <c r="A32" s="23" t="s">
        <v>74</v>
      </c>
      <c r="B32" s="23">
        <f t="array" ref="B32">SUM(($B$10:$B$25=$A32)*($D$10:$D$25&gt;=B$29))</f>
        <v>1</v>
      </c>
      <c r="C32" s="23">
        <f t="array" ref="C32">SUM(($B$10:$B$25=$A32)*($D$10:$D$25&gt;=C$29))</f>
        <v>3</v>
      </c>
      <c r="D32" s="23">
        <f t="array" ref="D32">SUM(($B$10:$B$25=$A32)*($D$10:$D$25&gt;=D$29))</f>
        <v>4</v>
      </c>
      <c r="E32" s="23">
        <f t="array" ref="E32">SUM(($B$10:$B$25=$A32)*($D$10:$D$25&gt;=E$29))</f>
        <v>4</v>
      </c>
      <c r="I32" s="18"/>
    </row>
    <row r="33" spans="1:9">
      <c r="I33" s="18"/>
    </row>
    <row r="34" spans="1:9">
      <c r="A34" s="1" t="s">
        <v>104</v>
      </c>
      <c r="B34" s="1" t="s">
        <v>105</v>
      </c>
      <c r="C34" s="1"/>
      <c r="D34" s="1"/>
      <c r="E34" s="1"/>
      <c r="F34" s="38" t="s">
        <v>106</v>
      </c>
      <c r="G34" s="39">
        <v>42583</v>
      </c>
      <c r="I34" s="18"/>
    </row>
    <row r="35" spans="1:9">
      <c r="A35" s="14" t="s">
        <v>107</v>
      </c>
      <c r="B35" s="14" t="s">
        <v>108</v>
      </c>
      <c r="C35" s="14" t="s">
        <v>109</v>
      </c>
      <c r="D35" s="14" t="s">
        <v>110</v>
      </c>
      <c r="E35" s="14" t="s">
        <v>111</v>
      </c>
      <c r="F35" s="40" t="s">
        <v>112</v>
      </c>
      <c r="G35" s="40" t="s">
        <v>113</v>
      </c>
      <c r="I35" s="18"/>
    </row>
    <row r="36" spans="1:9">
      <c r="A36" s="14" t="s">
        <v>114</v>
      </c>
      <c r="B36" s="41">
        <v>42125</v>
      </c>
      <c r="C36" s="42">
        <v>1500000</v>
      </c>
      <c r="D36" s="42">
        <v>200000</v>
      </c>
      <c r="E36" s="22">
        <v>5</v>
      </c>
      <c r="F36" s="43">
        <f>SLN(C36,D36,E36)</f>
        <v>260000</v>
      </c>
      <c r="G36" s="43">
        <f>IF(YEAR($G$34)-YEAR(B36)&gt;E36,"",DB(C36,D36,E36,YEAR($G$34)-YEAR(B36),12-MONTH(B36)+1))</f>
        <v>332000</v>
      </c>
      <c r="I36" s="18"/>
    </row>
    <row r="37" spans="1:9">
      <c r="A37" s="14" t="s">
        <v>115</v>
      </c>
      <c r="B37" s="41">
        <v>41932</v>
      </c>
      <c r="C37" s="42">
        <v>450000</v>
      </c>
      <c r="D37" s="42">
        <v>100000</v>
      </c>
      <c r="E37" s="22">
        <v>5</v>
      </c>
      <c r="F37" s="43">
        <f t="shared" ref="F37:F40" si="4">SLN(C37,D37,E37)</f>
        <v>70000</v>
      </c>
      <c r="G37" s="43">
        <f t="shared" ref="G37:G40" si="5">IF(YEAR($G$34)-YEAR(B37)&gt;E37,"",DB(C37,D37,E37,YEAR($G$34)-YEAR(B37),12-MONTH(B37)+1))</f>
        <v>109395</v>
      </c>
      <c r="I37" s="18"/>
    </row>
    <row r="38" spans="1:9">
      <c r="A38" s="14" t="s">
        <v>116</v>
      </c>
      <c r="B38" s="41">
        <v>41397</v>
      </c>
      <c r="C38" s="42">
        <v>500000</v>
      </c>
      <c r="D38" s="42">
        <v>100000</v>
      </c>
      <c r="E38" s="22">
        <v>5</v>
      </c>
      <c r="F38" s="43">
        <f t="shared" si="4"/>
        <v>80000</v>
      </c>
      <c r="G38" s="43">
        <f t="shared" si="5"/>
        <v>81411.458333333343</v>
      </c>
      <c r="I38" s="18"/>
    </row>
    <row r="39" spans="1:9">
      <c r="A39" s="14" t="s">
        <v>117</v>
      </c>
      <c r="B39" s="41">
        <v>41155</v>
      </c>
      <c r="C39" s="42">
        <v>780000</v>
      </c>
      <c r="D39" s="42">
        <v>100000</v>
      </c>
      <c r="E39" s="22">
        <v>5</v>
      </c>
      <c r="F39" s="43">
        <f t="shared" si="4"/>
        <v>136000</v>
      </c>
      <c r="G39" s="43">
        <f t="shared" si="5"/>
        <v>102565.54028213998</v>
      </c>
      <c r="I39" s="18"/>
    </row>
    <row r="40" spans="1:9">
      <c r="A40" s="14" t="s">
        <v>118</v>
      </c>
      <c r="B40" s="41">
        <v>42267</v>
      </c>
      <c r="C40" s="42">
        <v>300000</v>
      </c>
      <c r="D40" s="42">
        <v>50000</v>
      </c>
      <c r="E40" s="22">
        <v>5</v>
      </c>
      <c r="F40" s="43">
        <f t="shared" si="4"/>
        <v>50000</v>
      </c>
      <c r="G40" s="43">
        <f t="shared" si="5"/>
        <v>30100</v>
      </c>
      <c r="I40" s="18"/>
    </row>
    <row r="46" spans="1:9">
      <c r="I46" s="18"/>
    </row>
    <row r="47" spans="1:9">
      <c r="I47" s="18"/>
    </row>
    <row r="48" spans="1:9">
      <c r="I48" s="18"/>
    </row>
    <row r="49" spans="9:9">
      <c r="I49" s="18"/>
    </row>
    <row r="50" spans="9:9">
      <c r="I50" s="18"/>
    </row>
    <row r="51" spans="9:9">
      <c r="I51" s="18"/>
    </row>
    <row r="52" spans="9:9">
      <c r="I52" s="18"/>
    </row>
    <row r="53" spans="9:9">
      <c r="I53" s="18"/>
    </row>
    <row r="54" spans="9:9">
      <c r="I54" s="18"/>
    </row>
    <row r="55" spans="9:9">
      <c r="I55" s="18"/>
    </row>
    <row r="56" spans="9:9">
      <c r="I56" s="18"/>
    </row>
    <row r="57" spans="9:9">
      <c r="I57" s="18"/>
    </row>
    <row r="58" spans="9:9">
      <c r="I58" s="18"/>
    </row>
    <row r="59" spans="9:9">
      <c r="I59" s="18"/>
    </row>
    <row r="60" spans="9:9">
      <c r="I60" s="18"/>
    </row>
    <row r="61" spans="9:9">
      <c r="I61" s="18"/>
    </row>
    <row r="62" spans="9:9">
      <c r="I62" s="18"/>
    </row>
    <row r="63" spans="9:9">
      <c r="I63" s="18"/>
    </row>
    <row r="64" spans="9:9">
      <c r="I64" s="18"/>
    </row>
    <row r="65" spans="3:9">
      <c r="I65" s="18"/>
    </row>
    <row r="66" spans="3:9">
      <c r="I66" s="18"/>
    </row>
    <row r="67" spans="3:9">
      <c r="I67" s="18"/>
    </row>
    <row r="68" spans="3:9">
      <c r="I68" s="18"/>
    </row>
    <row r="69" spans="3:9">
      <c r="I69" s="18"/>
    </row>
    <row r="70" spans="3:9">
      <c r="I70" s="18"/>
    </row>
    <row r="71" spans="3:9">
      <c r="I71" s="18"/>
    </row>
    <row r="72" spans="3:9">
      <c r="I72" s="18"/>
    </row>
    <row r="73" spans="3:9">
      <c r="I73" s="18"/>
    </row>
    <row r="74" spans="3:9">
      <c r="I74" s="18"/>
    </row>
    <row r="75" spans="3:9">
      <c r="I75" s="18"/>
    </row>
    <row r="76" spans="3:9">
      <c r="C76" s="1"/>
      <c r="I76" s="18"/>
    </row>
  </sheetData>
  <phoneticPr fontId="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1"/>
  <sheetViews>
    <sheetView workbookViewId="0">
      <selection activeCell="K22" sqref="K22"/>
    </sheetView>
  </sheetViews>
  <sheetFormatPr defaultRowHeight="16.5"/>
  <cols>
    <col min="1" max="3" width="9" style="1"/>
    <col min="4" max="4" width="12.125" style="1" customWidth="1"/>
    <col min="5" max="7" width="9" style="1"/>
    <col min="8" max="8" width="9.75" style="1" customWidth="1"/>
    <col min="9" max="12" width="13.125" style="1" customWidth="1"/>
    <col min="13" max="14" width="13.125" style="1" bestFit="1" customWidth="1"/>
    <col min="15" max="16384" width="9" style="1"/>
  </cols>
  <sheetData>
    <row r="1" spans="1:14">
      <c r="A1" s="75" t="s">
        <v>119</v>
      </c>
      <c r="B1" s="75" t="s">
        <v>126</v>
      </c>
      <c r="C1" s="75" t="s">
        <v>121</v>
      </c>
      <c r="D1" s="75" t="s">
        <v>190</v>
      </c>
      <c r="E1" s="75" t="s">
        <v>191</v>
      </c>
      <c r="F1" s="76" t="s">
        <v>192</v>
      </c>
    </row>
    <row r="2" spans="1:14">
      <c r="A2" s="69" t="s">
        <v>193</v>
      </c>
      <c r="B2" s="69" t="s">
        <v>129</v>
      </c>
      <c r="C2" s="69" t="s">
        <v>123</v>
      </c>
      <c r="D2" s="70">
        <v>3</v>
      </c>
      <c r="E2" s="70">
        <v>1000000</v>
      </c>
      <c r="F2" s="71">
        <v>30000</v>
      </c>
      <c r="H2" s="77" t="s">
        <v>119</v>
      </c>
      <c r="I2" s="44" t="s">
        <v>120</v>
      </c>
    </row>
    <row r="3" spans="1:14">
      <c r="A3" s="69" t="s">
        <v>194</v>
      </c>
      <c r="B3" s="69" t="s">
        <v>130</v>
      </c>
      <c r="C3" s="69" t="s">
        <v>125</v>
      </c>
      <c r="D3" s="70">
        <v>2</v>
      </c>
      <c r="E3" s="70">
        <v>950000</v>
      </c>
      <c r="F3" s="71">
        <v>0</v>
      </c>
    </row>
    <row r="4" spans="1:14">
      <c r="A4" s="69" t="s">
        <v>195</v>
      </c>
      <c r="B4" s="69" t="s">
        <v>135</v>
      </c>
      <c r="C4" s="69" t="s">
        <v>125</v>
      </c>
      <c r="D4" s="70">
        <v>3</v>
      </c>
      <c r="E4" s="70">
        <v>950000</v>
      </c>
      <c r="F4" s="71">
        <v>0</v>
      </c>
      <c r="H4"/>
      <c r="I4" s="77" t="s">
        <v>121</v>
      </c>
      <c r="J4" s="77" t="s">
        <v>122</v>
      </c>
      <c r="K4" s="44"/>
      <c r="L4" s="44"/>
      <c r="M4" s="44"/>
      <c r="N4" s="44"/>
    </row>
    <row r="5" spans="1:14">
      <c r="A5" s="69" t="s">
        <v>196</v>
      </c>
      <c r="B5" s="69" t="s">
        <v>131</v>
      </c>
      <c r="C5" s="69" t="s">
        <v>123</v>
      </c>
      <c r="D5" s="70">
        <v>5</v>
      </c>
      <c r="E5" s="70">
        <v>1000000</v>
      </c>
      <c r="F5" s="71">
        <v>0</v>
      </c>
      <c r="H5"/>
      <c r="I5" s="44" t="s">
        <v>123</v>
      </c>
      <c r="J5" s="44"/>
      <c r="K5" s="44" t="s">
        <v>124</v>
      </c>
      <c r="L5" s="44"/>
      <c r="M5" s="44" t="s">
        <v>125</v>
      </c>
      <c r="N5" s="44"/>
    </row>
    <row r="6" spans="1:14">
      <c r="A6" s="69" t="s">
        <v>197</v>
      </c>
      <c r="B6" s="69" t="s">
        <v>132</v>
      </c>
      <c r="C6" s="69" t="s">
        <v>123</v>
      </c>
      <c r="D6" s="70">
        <v>4</v>
      </c>
      <c r="E6" s="70">
        <v>1000000</v>
      </c>
      <c r="F6" s="71">
        <v>0</v>
      </c>
      <c r="H6" s="77" t="s">
        <v>126</v>
      </c>
      <c r="I6" s="44" t="s">
        <v>127</v>
      </c>
      <c r="J6" s="44" t="s">
        <v>128</v>
      </c>
      <c r="K6" s="44" t="s">
        <v>127</v>
      </c>
      <c r="L6" s="44" t="s">
        <v>128</v>
      </c>
      <c r="M6" s="44" t="s">
        <v>127</v>
      </c>
      <c r="N6" s="44" t="s">
        <v>128</v>
      </c>
    </row>
    <row r="7" spans="1:14">
      <c r="A7" s="69" t="s">
        <v>198</v>
      </c>
      <c r="B7" s="69" t="s">
        <v>130</v>
      </c>
      <c r="C7" s="69" t="s">
        <v>123</v>
      </c>
      <c r="D7" s="70">
        <v>3</v>
      </c>
      <c r="E7" s="70">
        <v>1000000</v>
      </c>
      <c r="F7" s="71">
        <v>0</v>
      </c>
      <c r="H7" s="44" t="s">
        <v>129</v>
      </c>
      <c r="I7" s="45">
        <v>2000000</v>
      </c>
      <c r="J7" s="45">
        <v>300000</v>
      </c>
      <c r="K7" s="45">
        <v>2700000</v>
      </c>
      <c r="L7" s="45">
        <v>410000</v>
      </c>
      <c r="M7" s="45">
        <v>950000</v>
      </c>
      <c r="N7" s="45">
        <v>140000</v>
      </c>
    </row>
    <row r="8" spans="1:14">
      <c r="A8" s="69" t="s">
        <v>199</v>
      </c>
      <c r="B8" s="69" t="s">
        <v>130</v>
      </c>
      <c r="C8" s="69" t="s">
        <v>124</v>
      </c>
      <c r="D8" s="70">
        <v>1</v>
      </c>
      <c r="E8" s="70">
        <v>900000</v>
      </c>
      <c r="F8" s="71">
        <v>0</v>
      </c>
      <c r="H8" s="44" t="s">
        <v>130</v>
      </c>
      <c r="I8" s="45">
        <v>2000000</v>
      </c>
      <c r="J8" s="45">
        <v>300000</v>
      </c>
      <c r="K8" s="45">
        <v>1800000</v>
      </c>
      <c r="L8" s="45">
        <v>270000</v>
      </c>
      <c r="M8" s="45">
        <v>950000</v>
      </c>
      <c r="N8" s="45">
        <v>140000</v>
      </c>
    </row>
    <row r="9" spans="1:14">
      <c r="A9" s="69" t="s">
        <v>200</v>
      </c>
      <c r="B9" s="69" t="s">
        <v>136</v>
      </c>
      <c r="C9" s="69" t="s">
        <v>125</v>
      </c>
      <c r="D9" s="70">
        <v>1</v>
      </c>
      <c r="E9" s="70">
        <v>950000</v>
      </c>
      <c r="F9" s="71">
        <v>20140</v>
      </c>
      <c r="H9" s="44" t="s">
        <v>131</v>
      </c>
      <c r="I9" s="45">
        <v>1000000</v>
      </c>
      <c r="J9" s="45">
        <v>150000</v>
      </c>
      <c r="K9" s="45">
        <v>900000</v>
      </c>
      <c r="L9" s="45">
        <v>140000</v>
      </c>
      <c r="M9" s="45">
        <v>1900000</v>
      </c>
      <c r="N9" s="45">
        <v>290000</v>
      </c>
    </row>
    <row r="10" spans="1:14">
      <c r="A10" s="69" t="s">
        <v>201</v>
      </c>
      <c r="B10" s="69" t="s">
        <v>130</v>
      </c>
      <c r="C10" s="69" t="s">
        <v>123</v>
      </c>
      <c r="D10" s="70">
        <v>3</v>
      </c>
      <c r="E10" s="70">
        <v>1000000</v>
      </c>
      <c r="F10" s="71">
        <v>0</v>
      </c>
      <c r="H10" s="44" t="s">
        <v>132</v>
      </c>
      <c r="I10" s="45">
        <v>2000000</v>
      </c>
      <c r="J10" s="45">
        <v>300000</v>
      </c>
      <c r="K10" s="45"/>
      <c r="L10" s="45">
        <v>0</v>
      </c>
      <c r="M10" s="45">
        <v>1900000</v>
      </c>
      <c r="N10" s="45">
        <v>290000</v>
      </c>
    </row>
    <row r="11" spans="1:14">
      <c r="A11" s="69" t="s">
        <v>202</v>
      </c>
      <c r="B11" s="69" t="s">
        <v>129</v>
      </c>
      <c r="C11" s="69" t="s">
        <v>124</v>
      </c>
      <c r="D11" s="70">
        <v>2</v>
      </c>
      <c r="E11" s="70">
        <v>900000</v>
      </c>
      <c r="F11" s="71">
        <v>30000</v>
      </c>
      <c r="H11" s="44" t="s">
        <v>133</v>
      </c>
      <c r="I11" s="45"/>
      <c r="J11" s="45">
        <v>0</v>
      </c>
      <c r="K11" s="45">
        <v>900000</v>
      </c>
      <c r="L11" s="45">
        <v>140000</v>
      </c>
      <c r="M11" s="45"/>
      <c r="N11" s="45">
        <v>0</v>
      </c>
    </row>
    <row r="12" spans="1:14">
      <c r="A12" s="69" t="s">
        <v>203</v>
      </c>
      <c r="B12" s="69" t="s">
        <v>133</v>
      </c>
      <c r="C12" s="69" t="s">
        <v>124</v>
      </c>
      <c r="D12" s="70">
        <v>2</v>
      </c>
      <c r="E12" s="70">
        <v>900000</v>
      </c>
      <c r="F12" s="71">
        <v>50000</v>
      </c>
      <c r="H12" s="44" t="s">
        <v>134</v>
      </c>
      <c r="I12" s="45">
        <v>1000000</v>
      </c>
      <c r="J12" s="45">
        <v>150000</v>
      </c>
      <c r="K12" s="45">
        <v>1800000</v>
      </c>
      <c r="L12" s="45">
        <v>270000</v>
      </c>
      <c r="M12" s="45"/>
      <c r="N12" s="45">
        <v>0</v>
      </c>
    </row>
    <row r="13" spans="1:14">
      <c r="A13" s="69" t="s">
        <v>204</v>
      </c>
      <c r="B13" s="69" t="s">
        <v>134</v>
      </c>
      <c r="C13" s="69" t="s">
        <v>124</v>
      </c>
      <c r="D13" s="70">
        <v>3</v>
      </c>
      <c r="E13" s="70">
        <v>900000</v>
      </c>
      <c r="F13" s="71">
        <v>0</v>
      </c>
      <c r="H13" s="44" t="s">
        <v>135</v>
      </c>
      <c r="I13" s="45"/>
      <c r="J13" s="45">
        <v>0</v>
      </c>
      <c r="K13" s="45">
        <v>2700000</v>
      </c>
      <c r="L13" s="45">
        <v>410000</v>
      </c>
      <c r="M13" s="45">
        <v>950000</v>
      </c>
      <c r="N13" s="45">
        <v>140000</v>
      </c>
    </row>
    <row r="14" spans="1:14">
      <c r="A14" s="69" t="s">
        <v>205</v>
      </c>
      <c r="B14" s="69" t="s">
        <v>129</v>
      </c>
      <c r="C14" s="69" t="s">
        <v>124</v>
      </c>
      <c r="D14" s="70">
        <v>5</v>
      </c>
      <c r="E14" s="70">
        <v>900000</v>
      </c>
      <c r="F14" s="71">
        <v>30000</v>
      </c>
      <c r="H14" s="44" t="s">
        <v>136</v>
      </c>
      <c r="I14" s="45"/>
      <c r="J14" s="45">
        <v>0</v>
      </c>
      <c r="K14" s="45"/>
      <c r="L14" s="45">
        <v>0</v>
      </c>
      <c r="M14" s="45">
        <v>1900000</v>
      </c>
      <c r="N14" s="45">
        <v>290000</v>
      </c>
    </row>
    <row r="15" spans="1:14">
      <c r="A15" s="69" t="s">
        <v>206</v>
      </c>
      <c r="B15" s="69" t="s">
        <v>131</v>
      </c>
      <c r="C15" s="69" t="s">
        <v>125</v>
      </c>
      <c r="D15" s="70">
        <v>2</v>
      </c>
      <c r="E15" s="70">
        <v>950000</v>
      </c>
      <c r="F15" s="71">
        <v>0</v>
      </c>
      <c r="H15" s="44" t="s">
        <v>137</v>
      </c>
      <c r="I15" s="45">
        <v>1000000</v>
      </c>
      <c r="J15" s="45">
        <v>150000</v>
      </c>
      <c r="K15" s="45"/>
      <c r="L15" s="45">
        <v>0</v>
      </c>
      <c r="M15" s="45"/>
      <c r="N15" s="45">
        <v>0</v>
      </c>
    </row>
    <row r="16" spans="1:14">
      <c r="A16" s="69" t="s">
        <v>207</v>
      </c>
      <c r="B16" s="69" t="s">
        <v>132</v>
      </c>
      <c r="C16" s="69" t="s">
        <v>125</v>
      </c>
      <c r="D16" s="70">
        <v>1</v>
      </c>
      <c r="E16" s="70">
        <v>950000</v>
      </c>
      <c r="F16" s="71">
        <v>0</v>
      </c>
      <c r="H16"/>
      <c r="I16"/>
      <c r="J16"/>
    </row>
    <row r="17" spans="1:10">
      <c r="A17" s="69" t="s">
        <v>208</v>
      </c>
      <c r="B17" s="69" t="s">
        <v>129</v>
      </c>
      <c r="C17" s="69" t="s">
        <v>125</v>
      </c>
      <c r="D17" s="70">
        <v>4</v>
      </c>
      <c r="E17" s="70">
        <v>950000</v>
      </c>
      <c r="F17" s="71">
        <v>30000</v>
      </c>
      <c r="H17"/>
      <c r="I17"/>
      <c r="J17"/>
    </row>
    <row r="18" spans="1:10">
      <c r="A18" s="69" t="s">
        <v>209</v>
      </c>
      <c r="B18" s="69" t="s">
        <v>131</v>
      </c>
      <c r="C18" s="69" t="s">
        <v>124</v>
      </c>
      <c r="D18" s="70">
        <v>2</v>
      </c>
      <c r="E18" s="70">
        <v>900000</v>
      </c>
      <c r="F18" s="71">
        <v>0</v>
      </c>
      <c r="H18"/>
      <c r="I18"/>
      <c r="J18"/>
    </row>
    <row r="19" spans="1:10">
      <c r="A19" s="69" t="s">
        <v>210</v>
      </c>
      <c r="B19" s="69" t="s">
        <v>129</v>
      </c>
      <c r="C19" s="69" t="s">
        <v>123</v>
      </c>
      <c r="D19" s="70">
        <v>1</v>
      </c>
      <c r="E19" s="70">
        <v>1000000</v>
      </c>
      <c r="F19" s="71">
        <v>30000</v>
      </c>
      <c r="H19"/>
      <c r="I19"/>
      <c r="J19"/>
    </row>
    <row r="20" spans="1:10">
      <c r="A20" s="69" t="s">
        <v>211</v>
      </c>
      <c r="B20" s="69" t="s">
        <v>137</v>
      </c>
      <c r="C20" s="69" t="s">
        <v>123</v>
      </c>
      <c r="D20" s="70">
        <v>3</v>
      </c>
      <c r="E20" s="70">
        <v>1000000</v>
      </c>
      <c r="F20" s="71">
        <v>0</v>
      </c>
      <c r="H20"/>
      <c r="I20"/>
      <c r="J20"/>
    </row>
    <row r="21" spans="1:10">
      <c r="A21" s="69" t="s">
        <v>212</v>
      </c>
      <c r="B21" s="69" t="s">
        <v>134</v>
      </c>
      <c r="C21" s="69" t="s">
        <v>124</v>
      </c>
      <c r="D21" s="70">
        <v>2</v>
      </c>
      <c r="E21" s="70">
        <v>900000</v>
      </c>
      <c r="F21" s="71">
        <v>0</v>
      </c>
      <c r="H21"/>
      <c r="I21"/>
      <c r="J21"/>
    </row>
    <row r="22" spans="1:10">
      <c r="A22" s="69" t="s">
        <v>213</v>
      </c>
      <c r="B22" s="69" t="s">
        <v>129</v>
      </c>
      <c r="C22" s="69" t="s">
        <v>124</v>
      </c>
      <c r="D22" s="70">
        <v>4</v>
      </c>
      <c r="E22" s="70">
        <v>900000</v>
      </c>
      <c r="F22" s="71">
        <v>30000</v>
      </c>
    </row>
    <row r="23" spans="1:10">
      <c r="A23" s="69" t="s">
        <v>214</v>
      </c>
      <c r="B23" s="69" t="s">
        <v>130</v>
      </c>
      <c r="C23" s="69" t="s">
        <v>124</v>
      </c>
      <c r="D23" s="70">
        <v>2</v>
      </c>
      <c r="E23" s="70">
        <v>900000</v>
      </c>
      <c r="F23" s="71">
        <v>0</v>
      </c>
    </row>
    <row r="24" spans="1:10">
      <c r="A24" s="69" t="s">
        <v>215</v>
      </c>
      <c r="B24" s="69" t="s">
        <v>134</v>
      </c>
      <c r="C24" s="69" t="s">
        <v>123</v>
      </c>
      <c r="D24" s="70">
        <v>1</v>
      </c>
      <c r="E24" s="70">
        <v>1000000</v>
      </c>
      <c r="F24" s="71">
        <v>0</v>
      </c>
    </row>
    <row r="25" spans="1:10">
      <c r="A25" s="69" t="s">
        <v>216</v>
      </c>
      <c r="B25" s="69" t="s">
        <v>132</v>
      </c>
      <c r="C25" s="69" t="s">
        <v>123</v>
      </c>
      <c r="D25" s="70">
        <v>2</v>
      </c>
      <c r="E25" s="70">
        <v>1000000</v>
      </c>
      <c r="F25" s="71">
        <v>0</v>
      </c>
    </row>
    <row r="26" spans="1:10">
      <c r="A26" s="69" t="s">
        <v>217</v>
      </c>
      <c r="B26" s="69" t="s">
        <v>135</v>
      </c>
      <c r="C26" s="69" t="s">
        <v>124</v>
      </c>
      <c r="D26" s="70">
        <v>1</v>
      </c>
      <c r="E26" s="70">
        <v>900000</v>
      </c>
      <c r="F26" s="71">
        <v>0</v>
      </c>
    </row>
    <row r="27" spans="1:10">
      <c r="A27" s="69" t="s">
        <v>218</v>
      </c>
      <c r="B27" s="69" t="s">
        <v>136</v>
      </c>
      <c r="C27" s="69" t="s">
        <v>125</v>
      </c>
      <c r="D27" s="70">
        <v>2</v>
      </c>
      <c r="E27" s="70">
        <v>950000</v>
      </c>
      <c r="F27" s="71">
        <v>20140</v>
      </c>
    </row>
    <row r="28" spans="1:10">
      <c r="A28" s="69" t="s">
        <v>219</v>
      </c>
      <c r="B28" s="69" t="s">
        <v>131</v>
      </c>
      <c r="C28" s="69" t="s">
        <v>125</v>
      </c>
      <c r="D28" s="70">
        <v>2</v>
      </c>
      <c r="E28" s="70">
        <v>950000</v>
      </c>
      <c r="F28" s="71">
        <v>0</v>
      </c>
    </row>
    <row r="29" spans="1:10">
      <c r="A29" s="69" t="s">
        <v>220</v>
      </c>
      <c r="B29" s="69" t="s">
        <v>135</v>
      </c>
      <c r="C29" s="69" t="s">
        <v>124</v>
      </c>
      <c r="D29" s="70">
        <v>3</v>
      </c>
      <c r="E29" s="70">
        <v>900000</v>
      </c>
      <c r="F29" s="71">
        <v>0</v>
      </c>
    </row>
    <row r="30" spans="1:10">
      <c r="A30" s="69" t="s">
        <v>221</v>
      </c>
      <c r="B30" s="69" t="s">
        <v>135</v>
      </c>
      <c r="C30" s="69" t="s">
        <v>124</v>
      </c>
      <c r="D30" s="70">
        <v>3</v>
      </c>
      <c r="E30" s="70">
        <v>900000</v>
      </c>
      <c r="F30" s="71">
        <v>0</v>
      </c>
    </row>
    <row r="31" spans="1:10">
      <c r="A31" s="72" t="s">
        <v>222</v>
      </c>
      <c r="B31" s="72" t="s">
        <v>132</v>
      </c>
      <c r="C31" s="72" t="s">
        <v>125</v>
      </c>
      <c r="D31" s="73">
        <v>2</v>
      </c>
      <c r="E31" s="73">
        <v>950000</v>
      </c>
      <c r="F31" s="74">
        <v>0</v>
      </c>
    </row>
  </sheetData>
  <phoneticPr fontId="4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6.625" customWidth="1"/>
    <col min="4" max="6" width="12.75" bestFit="1" customWidth="1" outlineLevel="1"/>
  </cols>
  <sheetData>
    <row r="1" spans="2:6" ht="17.25" thickBot="1"/>
    <row r="2" spans="2:6">
      <c r="B2" s="81" t="s">
        <v>229</v>
      </c>
      <c r="C2" s="82"/>
      <c r="D2" s="88"/>
      <c r="E2" s="88"/>
      <c r="F2" s="88"/>
    </row>
    <row r="3" spans="2:6" collapsed="1">
      <c r="B3" s="80"/>
      <c r="C3" s="80"/>
      <c r="D3" s="89" t="s">
        <v>231</v>
      </c>
      <c r="E3" s="89" t="s">
        <v>226</v>
      </c>
      <c r="F3" s="89" t="s">
        <v>228</v>
      </c>
    </row>
    <row r="4" spans="2:6" ht="40.5" hidden="1" outlineLevel="1">
      <c r="B4" s="84"/>
      <c r="C4" s="84"/>
      <c r="D4" s="78"/>
      <c r="E4" s="91" t="s">
        <v>227</v>
      </c>
      <c r="F4" s="91" t="s">
        <v>227</v>
      </c>
    </row>
    <row r="5" spans="2:6">
      <c r="B5" s="85" t="s">
        <v>230</v>
      </c>
      <c r="C5" s="86"/>
      <c r="D5" s="83"/>
      <c r="E5" s="83"/>
      <c r="F5" s="83"/>
    </row>
    <row r="6" spans="2:6" outlineLevel="1">
      <c r="B6" s="84"/>
      <c r="C6" s="84" t="s">
        <v>223</v>
      </c>
      <c r="D6" s="78">
        <v>291.06743737957601</v>
      </c>
      <c r="E6" s="90">
        <v>300</v>
      </c>
      <c r="F6" s="90">
        <v>250</v>
      </c>
    </row>
    <row r="7" spans="2:6" outlineLevel="1">
      <c r="B7" s="84"/>
      <c r="C7" s="84" t="s">
        <v>224</v>
      </c>
      <c r="D7" s="78">
        <v>580</v>
      </c>
      <c r="E7" s="90">
        <v>600</v>
      </c>
      <c r="F7" s="90">
        <v>550</v>
      </c>
    </row>
    <row r="8" spans="2:6">
      <c r="B8" s="85" t="s">
        <v>232</v>
      </c>
      <c r="C8" s="86"/>
      <c r="D8" s="83"/>
      <c r="E8" s="83"/>
      <c r="F8" s="83"/>
    </row>
    <row r="9" spans="2:6" ht="17.25" outlineLevel="1" thickBot="1">
      <c r="B9" s="87"/>
      <c r="C9" s="87" t="s">
        <v>225</v>
      </c>
      <c r="D9" s="79">
        <v>1420115.36030829</v>
      </c>
      <c r="E9" s="79">
        <v>1467900</v>
      </c>
      <c r="F9" s="79">
        <v>1318750</v>
      </c>
    </row>
    <row r="10" spans="2:6">
      <c r="B10" t="s">
        <v>233</v>
      </c>
    </row>
    <row r="11" spans="2:6">
      <c r="B11" t="s">
        <v>234</v>
      </c>
    </row>
    <row r="12" spans="2:6">
      <c r="B12" t="s">
        <v>235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sqref="A1:E1"/>
    </sheetView>
  </sheetViews>
  <sheetFormatPr defaultRowHeight="16.5"/>
  <cols>
    <col min="1" max="1" width="10.625" style="1" bestFit="1" customWidth="1"/>
    <col min="2" max="4" width="9" style="1"/>
    <col min="5" max="5" width="13.25" style="1" customWidth="1"/>
    <col min="6" max="6" width="2.5" style="1" customWidth="1"/>
    <col min="7" max="16384" width="9" style="1"/>
  </cols>
  <sheetData>
    <row r="1" spans="1:5" s="46" customFormat="1" ht="15.75" customHeight="1">
      <c r="A1" s="102" t="s">
        <v>138</v>
      </c>
      <c r="B1" s="102"/>
      <c r="C1" s="102"/>
      <c r="D1" s="102"/>
      <c r="E1" s="102"/>
    </row>
    <row r="3" spans="1:5" ht="18" customHeight="1">
      <c r="A3" s="14" t="s">
        <v>139</v>
      </c>
      <c r="B3" s="14" t="s">
        <v>140</v>
      </c>
      <c r="C3" s="14" t="s">
        <v>141</v>
      </c>
      <c r="D3" s="14" t="s">
        <v>142</v>
      </c>
      <c r="E3" s="14" t="s">
        <v>143</v>
      </c>
    </row>
    <row r="4" spans="1:5" ht="18" customHeight="1">
      <c r="A4" s="47">
        <v>41779</v>
      </c>
      <c r="B4" s="14" t="s">
        <v>144</v>
      </c>
      <c r="C4" s="22">
        <v>226.00000000000017</v>
      </c>
      <c r="D4" s="22">
        <v>5</v>
      </c>
      <c r="E4" s="48">
        <f t="shared" ref="E4:E11" si="0">(C4-D4)*VLOOKUP(B4,$A$15:$B$16,2,FALSE)</f>
        <v>64325.903660886346</v>
      </c>
    </row>
    <row r="5" spans="1:5" ht="18" customHeight="1">
      <c r="A5" s="47">
        <v>41788</v>
      </c>
      <c r="B5" s="14" t="s">
        <v>145</v>
      </c>
      <c r="C5" s="22">
        <v>278</v>
      </c>
      <c r="D5" s="22">
        <v>4</v>
      </c>
      <c r="E5" s="48">
        <f t="shared" si="0"/>
        <v>158920</v>
      </c>
    </row>
    <row r="6" spans="1:5" ht="18" customHeight="1">
      <c r="A6" s="47">
        <v>41797</v>
      </c>
      <c r="B6" s="14" t="s">
        <v>145</v>
      </c>
      <c r="C6" s="22">
        <v>349</v>
      </c>
      <c r="D6" s="22">
        <v>1</v>
      </c>
      <c r="E6" s="48">
        <f t="shared" si="0"/>
        <v>201840</v>
      </c>
    </row>
    <row r="7" spans="1:5" ht="18" customHeight="1">
      <c r="A7" s="47">
        <v>41798</v>
      </c>
      <c r="B7" s="14" t="s">
        <v>144</v>
      </c>
      <c r="C7" s="22">
        <v>321</v>
      </c>
      <c r="D7" s="22">
        <v>7</v>
      </c>
      <c r="E7" s="48">
        <f t="shared" si="0"/>
        <v>91395.175337186869</v>
      </c>
    </row>
    <row r="8" spans="1:5" ht="18" customHeight="1">
      <c r="A8" s="47">
        <v>41801</v>
      </c>
      <c r="B8" s="14" t="s">
        <v>144</v>
      </c>
      <c r="C8" s="22">
        <v>546</v>
      </c>
      <c r="D8" s="22">
        <v>8</v>
      </c>
      <c r="E8" s="48">
        <f t="shared" si="0"/>
        <v>156594.2813102119</v>
      </c>
    </row>
    <row r="9" spans="1:5" ht="18" customHeight="1">
      <c r="A9" s="47">
        <v>41829</v>
      </c>
      <c r="B9" s="14" t="s">
        <v>145</v>
      </c>
      <c r="C9" s="22">
        <v>246</v>
      </c>
      <c r="D9" s="22">
        <v>2</v>
      </c>
      <c r="E9" s="48">
        <f t="shared" si="0"/>
        <v>141520</v>
      </c>
    </row>
    <row r="10" spans="1:5" ht="18" customHeight="1">
      <c r="A10" s="47">
        <v>41845</v>
      </c>
      <c r="B10" s="14" t="s">
        <v>145</v>
      </c>
      <c r="C10" s="22">
        <v>531</v>
      </c>
      <c r="D10" s="22">
        <v>5</v>
      </c>
      <c r="E10" s="48">
        <f t="shared" si="0"/>
        <v>305080</v>
      </c>
    </row>
    <row r="11" spans="1:5" ht="18" customHeight="1">
      <c r="A11" s="47">
        <v>41858</v>
      </c>
      <c r="B11" s="14" t="s">
        <v>145</v>
      </c>
      <c r="C11" s="22">
        <v>521</v>
      </c>
      <c r="D11" s="22">
        <v>3</v>
      </c>
      <c r="E11" s="48">
        <f t="shared" si="0"/>
        <v>300440</v>
      </c>
    </row>
    <row r="12" spans="1:5" ht="18" customHeight="1">
      <c r="A12" s="103" t="s">
        <v>146</v>
      </c>
      <c r="B12" s="104"/>
      <c r="C12" s="22">
        <f>SUM(C4:C11)</f>
        <v>3018</v>
      </c>
      <c r="D12" s="22">
        <f>SUM(D4:D11)</f>
        <v>35</v>
      </c>
      <c r="E12" s="48">
        <f>SUM(E4:E11)</f>
        <v>1420115.3603082851</v>
      </c>
    </row>
    <row r="14" spans="1:5">
      <c r="A14" s="105" t="s">
        <v>147</v>
      </c>
      <c r="B14" s="105"/>
    </row>
    <row r="15" spans="1:5">
      <c r="A15" s="14" t="s">
        <v>144</v>
      </c>
      <c r="B15" s="14">
        <v>291.06743737957601</v>
      </c>
    </row>
    <row r="16" spans="1:5">
      <c r="A16" s="14" t="s">
        <v>145</v>
      </c>
      <c r="B16" s="14">
        <v>580</v>
      </c>
    </row>
  </sheetData>
  <scenarios current="1" sqref="E12">
    <scenario name="단가 증가" locked="1" count="2" user="김우경" comment="만든 사람 김우경 날짜 2017-08-29">
      <inputCells r="B15" val="300"/>
      <inputCells r="B16" val="600"/>
    </scenario>
    <scenario name="단가 감소" locked="1" count="2" user="김우경" comment="만든 사람 김우경 날짜 2017-08-29">
      <inputCells r="B15" val="250"/>
      <inputCells r="B16" val="550"/>
    </scenario>
  </scenarios>
  <mergeCells count="3">
    <mergeCell ref="A1:E1"/>
    <mergeCell ref="A12:B12"/>
    <mergeCell ref="A14:B14"/>
  </mergeCells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시나리오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>
      <selection sqref="A1:H1"/>
    </sheetView>
  </sheetViews>
  <sheetFormatPr defaultRowHeight="16.5"/>
  <cols>
    <col min="1" max="3" width="9" style="1"/>
    <col min="4" max="4" width="11.75" style="1" bestFit="1" customWidth="1"/>
    <col min="5" max="16384" width="9" style="1"/>
  </cols>
  <sheetData>
    <row r="1" spans="1:9" ht="20.25">
      <c r="A1" s="100" t="s">
        <v>148</v>
      </c>
      <c r="B1" s="100"/>
      <c r="C1" s="100"/>
      <c r="D1" s="100"/>
      <c r="E1" s="100"/>
      <c r="F1" s="100"/>
      <c r="G1" s="100"/>
      <c r="H1" s="100"/>
      <c r="I1" s="49"/>
    </row>
    <row r="2" spans="1:9">
      <c r="A2" s="1" t="s">
        <v>149</v>
      </c>
      <c r="H2" s="50" t="s">
        <v>150</v>
      </c>
      <c r="I2" s="51"/>
    </row>
    <row r="3" spans="1:9">
      <c r="A3" s="14" t="s">
        <v>151</v>
      </c>
      <c r="B3" s="14" t="s">
        <v>152</v>
      </c>
      <c r="C3" s="14" t="s">
        <v>153</v>
      </c>
      <c r="D3" s="14" t="s">
        <v>154</v>
      </c>
      <c r="E3" s="14" t="s">
        <v>155</v>
      </c>
      <c r="F3" s="14" t="s">
        <v>156</v>
      </c>
      <c r="G3" s="14" t="s">
        <v>157</v>
      </c>
      <c r="H3" s="14" t="s">
        <v>158</v>
      </c>
    </row>
    <row r="4" spans="1:9">
      <c r="A4" s="14" t="s">
        <v>159</v>
      </c>
      <c r="B4" s="14" t="s">
        <v>160</v>
      </c>
      <c r="C4" s="27">
        <v>500</v>
      </c>
      <c r="D4" s="27">
        <v>2000</v>
      </c>
      <c r="E4" s="27">
        <v>1500</v>
      </c>
      <c r="F4" s="27">
        <v>80</v>
      </c>
      <c r="G4" s="27">
        <v>100</v>
      </c>
      <c r="H4" s="27">
        <f t="shared" ref="H4:H11" si="0">E4+G4</f>
        <v>1600</v>
      </c>
    </row>
    <row r="5" spans="1:9">
      <c r="A5" s="14" t="s">
        <v>161</v>
      </c>
      <c r="B5" s="14" t="s">
        <v>162</v>
      </c>
      <c r="C5" s="27">
        <v>150</v>
      </c>
      <c r="D5" s="27">
        <v>4000</v>
      </c>
      <c r="E5" s="27">
        <v>3500</v>
      </c>
      <c r="F5" s="27">
        <v>200</v>
      </c>
      <c r="G5" s="27">
        <v>150</v>
      </c>
      <c r="H5" s="27">
        <f t="shared" si="0"/>
        <v>3650</v>
      </c>
    </row>
    <row r="6" spans="1:9">
      <c r="A6" s="14" t="s">
        <v>163</v>
      </c>
      <c r="B6" s="14" t="s">
        <v>164</v>
      </c>
      <c r="C6" s="27">
        <v>10</v>
      </c>
      <c r="D6" s="27">
        <v>5000</v>
      </c>
      <c r="E6" s="27">
        <v>5000</v>
      </c>
      <c r="F6" s="27">
        <v>550</v>
      </c>
      <c r="G6" s="27">
        <v>200</v>
      </c>
      <c r="H6" s="27">
        <f t="shared" si="0"/>
        <v>5200</v>
      </c>
    </row>
    <row r="7" spans="1:9">
      <c r="A7" s="14" t="s">
        <v>165</v>
      </c>
      <c r="B7" s="14" t="s">
        <v>166</v>
      </c>
      <c r="C7" s="27">
        <v>200</v>
      </c>
      <c r="D7" s="27">
        <v>3500</v>
      </c>
      <c r="E7" s="27">
        <v>3000</v>
      </c>
      <c r="F7" s="27">
        <v>60</v>
      </c>
      <c r="G7" s="27">
        <v>50</v>
      </c>
      <c r="H7" s="27">
        <f t="shared" si="0"/>
        <v>3050</v>
      </c>
    </row>
    <row r="8" spans="1:9">
      <c r="A8" s="14" t="s">
        <v>167</v>
      </c>
      <c r="B8" s="14" t="s">
        <v>162</v>
      </c>
      <c r="C8" s="27">
        <v>150</v>
      </c>
      <c r="D8" s="27">
        <v>4000</v>
      </c>
      <c r="E8" s="27">
        <v>4500</v>
      </c>
      <c r="F8" s="27">
        <v>250</v>
      </c>
      <c r="G8" s="27">
        <v>80</v>
      </c>
      <c r="H8" s="27">
        <f t="shared" si="0"/>
        <v>4580</v>
      </c>
    </row>
    <row r="9" spans="1:9">
      <c r="A9" s="14" t="s">
        <v>168</v>
      </c>
      <c r="B9" s="14" t="s">
        <v>169</v>
      </c>
      <c r="C9" s="27">
        <v>30</v>
      </c>
      <c r="D9" s="27">
        <v>2000</v>
      </c>
      <c r="E9" s="27">
        <v>3000</v>
      </c>
      <c r="F9" s="27">
        <v>700</v>
      </c>
      <c r="G9" s="27">
        <v>70</v>
      </c>
      <c r="H9" s="27">
        <f t="shared" si="0"/>
        <v>3070</v>
      </c>
    </row>
    <row r="10" spans="1:9">
      <c r="A10" s="14" t="s">
        <v>170</v>
      </c>
      <c r="B10" s="14" t="s">
        <v>166</v>
      </c>
      <c r="C10" s="27">
        <v>10</v>
      </c>
      <c r="D10" s="27">
        <v>4500</v>
      </c>
      <c r="E10" s="27">
        <v>5000</v>
      </c>
      <c r="F10" s="27">
        <v>1200</v>
      </c>
      <c r="G10" s="27">
        <v>120</v>
      </c>
      <c r="H10" s="27">
        <f t="shared" si="0"/>
        <v>5120</v>
      </c>
    </row>
    <row r="11" spans="1:9">
      <c r="A11" s="14" t="s">
        <v>171</v>
      </c>
      <c r="B11" s="14" t="s">
        <v>166</v>
      </c>
      <c r="C11" s="27">
        <v>6</v>
      </c>
      <c r="D11" s="27">
        <v>5600</v>
      </c>
      <c r="E11" s="27">
        <v>6000</v>
      </c>
      <c r="F11" s="27">
        <v>1300</v>
      </c>
      <c r="G11" s="27">
        <v>250</v>
      </c>
      <c r="H11" s="27">
        <f t="shared" si="0"/>
        <v>6250</v>
      </c>
    </row>
  </sheetData>
  <mergeCells count="1">
    <mergeCell ref="A1:H1"/>
  </mergeCells>
  <phoneticPr fontId="4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9"/>
  <sheetViews>
    <sheetView workbookViewId="0"/>
  </sheetViews>
  <sheetFormatPr defaultRowHeight="16.5"/>
  <cols>
    <col min="1" max="16384" width="9" style="1"/>
  </cols>
  <sheetData>
    <row r="1" spans="1:9">
      <c r="A1" s="1" t="s">
        <v>172</v>
      </c>
    </row>
    <row r="3" spans="1:9">
      <c r="A3" s="52" t="s">
        <v>173</v>
      </c>
      <c r="B3" s="52" t="s">
        <v>174</v>
      </c>
      <c r="C3" s="52" t="s">
        <v>175</v>
      </c>
      <c r="D3" s="52" t="s">
        <v>176</v>
      </c>
      <c r="E3" s="52" t="s">
        <v>177</v>
      </c>
      <c r="H3" s="1" t="s">
        <v>175</v>
      </c>
      <c r="I3" s="1" t="s">
        <v>178</v>
      </c>
    </row>
    <row r="4" spans="1:9">
      <c r="A4" s="1">
        <v>1</v>
      </c>
      <c r="B4" s="1" t="s">
        <v>179</v>
      </c>
      <c r="C4" s="1" t="s">
        <v>180</v>
      </c>
      <c r="D4" s="1">
        <v>20</v>
      </c>
      <c r="E4" s="53">
        <v>4000</v>
      </c>
      <c r="H4" s="1" t="s">
        <v>181</v>
      </c>
      <c r="I4" s="1">
        <v>200</v>
      </c>
    </row>
    <row r="5" spans="1:9">
      <c r="A5" s="1">
        <v>2</v>
      </c>
      <c r="B5" s="1" t="s">
        <v>182</v>
      </c>
      <c r="C5" s="1" t="s">
        <v>183</v>
      </c>
      <c r="D5" s="1">
        <v>45</v>
      </c>
      <c r="E5" s="53">
        <v>24750</v>
      </c>
      <c r="H5" s="1" t="s">
        <v>184</v>
      </c>
      <c r="I5" s="1">
        <v>550</v>
      </c>
    </row>
    <row r="6" spans="1:9">
      <c r="A6" s="1">
        <v>3</v>
      </c>
      <c r="B6" s="1" t="s">
        <v>182</v>
      </c>
      <c r="C6" s="1" t="s">
        <v>185</v>
      </c>
      <c r="D6" s="1">
        <v>34</v>
      </c>
      <c r="E6" s="53">
        <v>10200</v>
      </c>
      <c r="H6" s="1" t="s">
        <v>186</v>
      </c>
      <c r="I6" s="1">
        <v>350</v>
      </c>
    </row>
    <row r="7" spans="1:9">
      <c r="E7" s="53"/>
      <c r="H7" s="1" t="s">
        <v>187</v>
      </c>
      <c r="I7" s="1">
        <v>300</v>
      </c>
    </row>
    <row r="8" spans="1:9">
      <c r="E8" s="53"/>
      <c r="H8" s="1" t="s">
        <v>188</v>
      </c>
      <c r="I8" s="1">
        <v>200</v>
      </c>
    </row>
    <row r="9" spans="1:9">
      <c r="H9" s="1" t="s">
        <v>189</v>
      </c>
      <c r="I9" s="1">
        <v>250</v>
      </c>
    </row>
  </sheetData>
  <phoneticPr fontId="4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9525</xdr:colOff>
                <xdr:row>0</xdr:row>
                <xdr:rowOff>76200</xdr:rowOff>
              </from>
              <to>
                <xdr:col>6</xdr:col>
                <xdr:colOff>438150</xdr:colOff>
                <xdr:row>2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기타작업-1</vt:lpstr>
      <vt:lpstr>기타작업-2</vt:lpstr>
      <vt:lpstr>'기본작업-2'!Criteria</vt:lpstr>
      <vt:lpstr>'기본작업-2'!Extract</vt:lpstr>
      <vt:lpstr>'기본작업-3'!Print_Titles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2019-09-09T04:01:12Z</cp:lastPrinted>
  <dcterms:created xsi:type="dcterms:W3CDTF">2017-08-29T08:59:12Z</dcterms:created>
  <dcterms:modified xsi:type="dcterms:W3CDTF">2019-09-09T04:26:17Z</dcterms:modified>
</cp:coreProperties>
</file>