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50" windowWidth="26715" windowHeight="12720"/>
  </bookViews>
  <sheets>
    <sheet name="기본작업-1" sheetId="1" r:id="rId1"/>
    <sheet name="기본작업-2" sheetId="2" r:id="rId2"/>
    <sheet name="기본작업-3" sheetId="8" r:id="rId3"/>
    <sheet name="계산작업" sheetId="3" r:id="rId4"/>
    <sheet name="분석작업-1" sheetId="4" r:id="rId5"/>
    <sheet name="분석작업-2" sheetId="5" r:id="rId6"/>
    <sheet name="기타작업-1" sheetId="6" r:id="rId7"/>
    <sheet name="기타작업-2" sheetId="7" r:id="rId8"/>
  </sheets>
  <functionGroups builtInGroupCount="17"/>
  <definedNames>
    <definedName name="_xlnm._FilterDatabase" localSheetId="1" hidden="1">'기본작업-2'!$A$21:$J$29</definedName>
    <definedName name="_xlnm._FilterDatabase" localSheetId="5" hidden="1">'분석작업-2'!$A$2:$I$11</definedName>
    <definedName name="_xlnm.Criteria" localSheetId="1">'기본작업-2'!$A$32:$C$35</definedName>
    <definedName name="_xlnm.Extract" localSheetId="1">'기본작업-2'!$A$37:$E$37</definedName>
    <definedName name="MS_Access_Database_Query" localSheetId="0" hidden="1">'기본작업-1'!$A$3:$E$9</definedName>
    <definedName name="_xlnm.Print_Area" localSheetId="2">'기본작업-3'!$A$1:$H$19,'기본작업-3'!$A$21:$H$38</definedName>
  </definedNames>
  <calcPr calcId="145621"/>
  <pivotCaches>
    <pivotCache cacheId="23" r:id="rId9"/>
  </pivotCaches>
</workbook>
</file>

<file path=xl/calcChain.xml><?xml version="1.0" encoding="utf-8"?>
<calcChain xmlns="http://schemas.openxmlformats.org/spreadsheetml/2006/main">
  <c r="I4" i="5" l="1"/>
  <c r="I5" i="5"/>
  <c r="I6" i="5"/>
  <c r="I7" i="5"/>
  <c r="I8" i="5"/>
  <c r="I9" i="5"/>
  <c r="I10" i="5"/>
  <c r="I11" i="5"/>
  <c r="I3" i="5"/>
  <c r="C45" i="3" l="1" a="1"/>
  <c r="C45" i="3" s="1"/>
  <c r="B45" i="3"/>
  <c r="B45" i="3" a="1"/>
  <c r="C44" i="3" a="1"/>
  <c r="C44" i="3" s="1"/>
  <c r="B44" i="3"/>
  <c r="B44" i="3" a="1"/>
  <c r="H39" i="3"/>
  <c r="I39" i="3" s="1"/>
  <c r="I38" i="3"/>
  <c r="H38" i="3"/>
  <c r="H37" i="3"/>
  <c r="I37" i="3" s="1"/>
  <c r="I36" i="3"/>
  <c r="H36" i="3"/>
  <c r="H35" i="3"/>
  <c r="I35" i="3" s="1"/>
  <c r="I34" i="3"/>
  <c r="H34" i="3"/>
  <c r="H33" i="3"/>
  <c r="I33" i="3" s="1"/>
  <c r="F29" i="3"/>
  <c r="E29" i="3"/>
  <c r="F28" i="3"/>
  <c r="E28" i="3"/>
  <c r="F27" i="3"/>
  <c r="E27" i="3"/>
  <c r="F26" i="3"/>
  <c r="E26" i="3"/>
  <c r="F25" i="3"/>
  <c r="E25" i="3"/>
  <c r="I29" i="3" s="1"/>
  <c r="F24" i="3"/>
  <c r="E24" i="3"/>
  <c r="H23" i="3"/>
  <c r="F23" i="3"/>
  <c r="E23" i="3"/>
  <c r="F22" i="3"/>
  <c r="E22" i="3"/>
  <c r="I28" i="3" s="1"/>
  <c r="C4" i="3"/>
  <c r="B4" i="3" a="1"/>
  <c r="B4" i="3" s="1"/>
  <c r="C3" i="3"/>
  <c r="B3" i="3" a="1"/>
  <c r="B3" i="3" s="1"/>
  <c r="A33" i="2"/>
  <c r="I16" i="3"/>
  <c r="I12" i="3"/>
  <c r="I8" i="3"/>
  <c r="I14" i="3"/>
  <c r="I10" i="3"/>
  <c r="I15" i="3"/>
  <c r="I11" i="3"/>
  <c r="I17" i="3"/>
  <c r="I13" i="3"/>
  <c r="I9" i="3"/>
  <c r="I27" i="3" l="1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C:\길벗컴활1급\01 엑셀\03 기본모의고사\정보검색.accdb;DefaultDir=C:\길벗컴활1급\01 엑셀\03 기본모의고사;DriverId=25;FIL=MS Access;MaxBufferSize=2048;PageTimeout=5;" command="SELECT 정보검색결과.학번, 정보검색결과.이름, 정보검색결과.학과, 정보검색결과.성별, 정보검색결과.`총점(100%)`_x000d__x000a_FROM `C:\길벗컴활1급\01 엑셀\03 기본모의고사\정보검색.accdb`.정보검색결과 정보검색결과_x000d__x000a_WHERE (정보검색결과.`총점(100%)`&gt;=90) AND (정보검색결과.성별='여') OR (정보검색결과.`총점(100%)`&lt;=40) AND (정보검색결과.성별='여')_x000d__x000a_ORDER BY 정보검색결과.학과, 정보검색결과.`총점(100%)` DESC"/>
  </connection>
</connections>
</file>

<file path=xl/sharedStrings.xml><?xml version="1.0" encoding="utf-8"?>
<sst xmlns="http://schemas.openxmlformats.org/spreadsheetml/2006/main" count="656" uniqueCount="343">
  <si>
    <t>정보검색 시험결과(여학생)</t>
    <phoneticPr fontId="4" type="noConversion"/>
  </si>
  <si>
    <t>[표1]</t>
    <phoneticPr fontId="4" type="noConversion"/>
  </si>
  <si>
    <t>사원별 급여 현황</t>
    <phoneticPr fontId="4" type="noConversion"/>
  </si>
  <si>
    <t>단위:원</t>
    <phoneticPr fontId="4" type="noConversion"/>
  </si>
  <si>
    <t>성명</t>
    <phoneticPr fontId="4" type="noConversion"/>
  </si>
  <si>
    <t>부서</t>
    <phoneticPr fontId="4" type="noConversion"/>
  </si>
  <si>
    <t>직급</t>
    <phoneticPr fontId="4" type="noConversion"/>
  </si>
  <si>
    <t>직위</t>
    <phoneticPr fontId="4" type="noConversion"/>
  </si>
  <si>
    <t>인사고과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</si>
  <si>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</si>
  <si>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</si>
  <si>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</si>
  <si>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총급여액</t>
    <phoneticPr fontId="4" type="noConversion"/>
  </si>
  <si>
    <t>홍길동</t>
  </si>
  <si>
    <t>판매부</t>
  </si>
  <si>
    <t>4급</t>
  </si>
  <si>
    <t>대리</t>
  </si>
  <si>
    <t>김세연</t>
  </si>
  <si>
    <t>홍보부</t>
  </si>
  <si>
    <t>3급</t>
  </si>
  <si>
    <t>과장</t>
  </si>
  <si>
    <t>이승연</t>
  </si>
  <si>
    <t>기획부</t>
  </si>
  <si>
    <t>2급</t>
  </si>
  <si>
    <t>부장</t>
  </si>
  <si>
    <t>김경수</t>
  </si>
  <si>
    <t>이학봉</t>
  </si>
  <si>
    <t>지순녀</t>
  </si>
  <si>
    <t>김지연</t>
  </si>
  <si>
    <t>박원래</t>
  </si>
  <si>
    <t>최지은</t>
  </si>
  <si>
    <t>합계</t>
  </si>
  <si>
    <t>특별상여율</t>
    <phoneticPr fontId="4" type="noConversion"/>
  </si>
  <si>
    <t>[표2]</t>
    <phoneticPr fontId="4" type="noConversion"/>
  </si>
  <si>
    <t>영업부 승진심사</t>
    <phoneticPr fontId="4" type="noConversion"/>
  </si>
  <si>
    <t>이름</t>
    <phoneticPr fontId="4" type="noConversion"/>
  </si>
  <si>
    <t>영어</t>
    <phoneticPr fontId="4" type="noConversion"/>
  </si>
  <si>
    <t>상반기</t>
    <phoneticPr fontId="4" type="noConversion"/>
  </si>
  <si>
    <t>하반기</t>
    <phoneticPr fontId="4" type="noConversion"/>
  </si>
  <si>
    <t>업무능력</t>
    <phoneticPr fontId="4" type="noConversion"/>
  </si>
  <si>
    <t>어학</t>
    <phoneticPr fontId="4" type="noConversion"/>
  </si>
  <si>
    <t>실적</t>
    <phoneticPr fontId="4" type="noConversion"/>
  </si>
  <si>
    <t>능력</t>
    <phoneticPr fontId="4" type="noConversion"/>
  </si>
  <si>
    <t>가중평균</t>
    <phoneticPr fontId="4" type="noConversion"/>
  </si>
  <si>
    <t>평가</t>
    <phoneticPr fontId="4" type="noConversion"/>
  </si>
  <si>
    <t>박효순</t>
  </si>
  <si>
    <t>C</t>
  </si>
  <si>
    <t>윤성희</t>
  </si>
  <si>
    <t>A</t>
  </si>
  <si>
    <t>김옥선</t>
  </si>
  <si>
    <t>B</t>
  </si>
  <si>
    <t>박혜영</t>
  </si>
  <si>
    <t>박종기</t>
  </si>
  <si>
    <t>박소영</t>
  </si>
  <si>
    <t>D</t>
  </si>
  <si>
    <t>맹지오</t>
  </si>
  <si>
    <t>백윤주</t>
  </si>
  <si>
    <t>점수합계</t>
    <phoneticPr fontId="3" type="noConversion"/>
  </si>
  <si>
    <t>업무능력</t>
    <phoneticPr fontId="3" type="noConversion"/>
  </si>
  <si>
    <t>평가</t>
    <phoneticPr fontId="3" type="noConversion"/>
  </si>
  <si>
    <t>A</t>
    <phoneticPr fontId="3" type="noConversion"/>
  </si>
  <si>
    <t>&gt;=3</t>
    <phoneticPr fontId="3" type="noConversion"/>
  </si>
  <si>
    <t>B</t>
    <phoneticPr fontId="3" type="noConversion"/>
  </si>
  <si>
    <t>이름</t>
    <phoneticPr fontId="3" type="noConversion"/>
  </si>
  <si>
    <t>영어</t>
    <phoneticPr fontId="3" type="noConversion"/>
  </si>
  <si>
    <t>상반기</t>
    <phoneticPr fontId="3" type="noConversion"/>
  </si>
  <si>
    <t>하반기</t>
    <phoneticPr fontId="3" type="noConversion"/>
  </si>
  <si>
    <t>평가</t>
    <phoneticPr fontId="3" type="noConversion"/>
  </si>
  <si>
    <t>[표1]</t>
    <phoneticPr fontId="4" type="noConversion"/>
  </si>
  <si>
    <t>현황</t>
    <phoneticPr fontId="4" type="noConversion"/>
  </si>
  <si>
    <t>보유수량</t>
    <phoneticPr fontId="4" type="noConversion"/>
  </si>
  <si>
    <t>현재금액</t>
    <phoneticPr fontId="4" type="noConversion"/>
  </si>
  <si>
    <t>상승</t>
    <phoneticPr fontId="4" type="noConversion"/>
  </si>
  <si>
    <t>하락</t>
    <phoneticPr fontId="4" type="noConversion"/>
  </si>
  <si>
    <t>[표2]</t>
    <phoneticPr fontId="4" type="noConversion"/>
  </si>
  <si>
    <t>종목명</t>
    <phoneticPr fontId="4" type="noConversion"/>
  </si>
  <si>
    <t>현황</t>
    <phoneticPr fontId="4" type="noConversion"/>
  </si>
  <si>
    <t>매수가격</t>
    <phoneticPr fontId="4" type="noConversion"/>
  </si>
  <si>
    <t>매수금액</t>
    <phoneticPr fontId="4" type="noConversion"/>
  </si>
  <si>
    <t>매수수수료</t>
    <phoneticPr fontId="4" type="noConversion"/>
  </si>
  <si>
    <t>평가손익</t>
    <phoneticPr fontId="4" type="noConversion"/>
  </si>
  <si>
    <t>수익률</t>
    <phoneticPr fontId="4" type="noConversion"/>
  </si>
  <si>
    <t>대한제약</t>
    <phoneticPr fontId="4" type="noConversion"/>
  </si>
  <si>
    <t>상공증권</t>
    <phoneticPr fontId="4" type="noConversion"/>
  </si>
  <si>
    <t>DK주조</t>
    <phoneticPr fontId="4" type="noConversion"/>
  </si>
  <si>
    <t>상승</t>
    <phoneticPr fontId="4" type="noConversion"/>
  </si>
  <si>
    <t>KR타이어</t>
    <phoneticPr fontId="4" type="noConversion"/>
  </si>
  <si>
    <t>전국전자</t>
    <phoneticPr fontId="4" type="noConversion"/>
  </si>
  <si>
    <t>하락</t>
    <phoneticPr fontId="4" type="noConversion"/>
  </si>
  <si>
    <t>상공텔레콤</t>
    <phoneticPr fontId="4" type="noConversion"/>
  </si>
  <si>
    <t>가남경제</t>
    <phoneticPr fontId="4" type="noConversion"/>
  </si>
  <si>
    <t>JG건설</t>
    <phoneticPr fontId="4" type="noConversion"/>
  </si>
  <si>
    <t>우주넷</t>
    <phoneticPr fontId="4" type="noConversion"/>
  </si>
  <si>
    <t>블랙쇼핑</t>
    <phoneticPr fontId="4" type="noConversion"/>
  </si>
  <si>
    <t>[표3]</t>
    <phoneticPr fontId="4" type="noConversion"/>
  </si>
  <si>
    <r>
      <t xml:space="preserve">공백 </t>
    </r>
    <r>
      <rPr>
        <sz val="11"/>
        <color theme="1"/>
        <rFont val="맑은 고딕"/>
        <family val="3"/>
        <charset val="129"/>
        <scheme val="major"/>
      </rPr>
      <t>: 0</t>
    </r>
    <phoneticPr fontId="4" type="noConversion"/>
  </si>
  <si>
    <t>지점명</t>
    <phoneticPr fontId="4" type="noConversion"/>
  </si>
  <si>
    <t>입고량</t>
    <phoneticPr fontId="4" type="noConversion"/>
  </si>
  <si>
    <t>판매량</t>
    <phoneticPr fontId="4" type="noConversion"/>
  </si>
  <si>
    <t>재고량</t>
    <phoneticPr fontId="4" type="noConversion"/>
  </si>
  <si>
    <t>순위</t>
    <phoneticPr fontId="4" type="noConversion"/>
  </si>
  <si>
    <t>평가</t>
    <phoneticPr fontId="4" type="noConversion"/>
  </si>
  <si>
    <t>강릉</t>
    <phoneticPr fontId="4" type="noConversion"/>
  </si>
  <si>
    <t>판매량 평균</t>
    <phoneticPr fontId="4" type="noConversion"/>
  </si>
  <si>
    <t>광주</t>
    <phoneticPr fontId="4" type="noConversion"/>
  </si>
  <si>
    <t>대구</t>
    <phoneticPr fontId="4" type="noConversion"/>
  </si>
  <si>
    <t>대전</t>
    <phoneticPr fontId="4" type="noConversion"/>
  </si>
  <si>
    <t>부산</t>
    <phoneticPr fontId="4" type="noConversion"/>
  </si>
  <si>
    <t>판매량이 1위</t>
    <phoneticPr fontId="4" type="noConversion"/>
  </si>
  <si>
    <t>서울</t>
    <phoneticPr fontId="4" type="noConversion"/>
  </si>
  <si>
    <t>순위</t>
    <phoneticPr fontId="3" type="noConversion"/>
  </si>
  <si>
    <t>인천</t>
    <phoneticPr fontId="4" type="noConversion"/>
  </si>
  <si>
    <t>안산</t>
    <phoneticPr fontId="4" type="noConversion"/>
  </si>
  <si>
    <t>[표4]</t>
    <phoneticPr fontId="4" type="noConversion"/>
  </si>
  <si>
    <t>사원코드</t>
    <phoneticPr fontId="4" type="noConversion"/>
  </si>
  <si>
    <t>가입자</t>
    <phoneticPr fontId="4" type="noConversion"/>
  </si>
  <si>
    <t>거주지</t>
    <phoneticPr fontId="4" type="noConversion"/>
  </si>
  <si>
    <t>주민등록번호</t>
    <phoneticPr fontId="4" type="noConversion"/>
  </si>
  <si>
    <t>성별</t>
    <phoneticPr fontId="4" type="noConversion"/>
  </si>
  <si>
    <t>생년월일</t>
    <phoneticPr fontId="4" type="noConversion"/>
  </si>
  <si>
    <t>상여금</t>
    <phoneticPr fontId="4" type="noConversion"/>
  </si>
  <si>
    <t>급여계</t>
    <phoneticPr fontId="4" type="noConversion"/>
  </si>
  <si>
    <t>SB01</t>
    <phoneticPr fontId="4" type="noConversion"/>
  </si>
  <si>
    <t>백주영</t>
    <phoneticPr fontId="4" type="noConversion"/>
  </si>
  <si>
    <t>680723-1068524</t>
    <phoneticPr fontId="4" type="noConversion"/>
  </si>
  <si>
    <t>남자</t>
    <phoneticPr fontId="4" type="noConversion"/>
  </si>
  <si>
    <t>UE01</t>
    <phoneticPr fontId="4" type="noConversion"/>
  </si>
  <si>
    <t>피호성</t>
    <phoneticPr fontId="4" type="noConversion"/>
  </si>
  <si>
    <t>720125-1265845</t>
    <phoneticPr fontId="4" type="noConversion"/>
  </si>
  <si>
    <t>CJ02</t>
    <phoneticPr fontId="4" type="noConversion"/>
  </si>
  <si>
    <t>마주안</t>
    <phoneticPr fontId="4" type="noConversion"/>
  </si>
  <si>
    <t>수원</t>
    <phoneticPr fontId="4" type="noConversion"/>
  </si>
  <si>
    <t>751120-2153632</t>
    <phoneticPr fontId="4" type="noConversion"/>
  </si>
  <si>
    <t>여자</t>
    <phoneticPr fontId="4" type="noConversion"/>
  </si>
  <si>
    <t>UC02</t>
    <phoneticPr fontId="4" type="noConversion"/>
  </si>
  <si>
    <t>유구현</t>
    <phoneticPr fontId="4" type="noConversion"/>
  </si>
  <si>
    <t>771230-1125341</t>
    <phoneticPr fontId="4" type="noConversion"/>
  </si>
  <si>
    <t>UL03</t>
    <phoneticPr fontId="4" type="noConversion"/>
  </si>
  <si>
    <t>김용수</t>
    <phoneticPr fontId="4" type="noConversion"/>
  </si>
  <si>
    <t>790519-1785423</t>
    <phoneticPr fontId="4" type="noConversion"/>
  </si>
  <si>
    <t>CK01</t>
    <phoneticPr fontId="4" type="noConversion"/>
  </si>
  <si>
    <t>조성진</t>
    <phoneticPr fontId="4" type="noConversion"/>
  </si>
  <si>
    <t>800706-2685421</t>
    <phoneticPr fontId="4" type="noConversion"/>
  </si>
  <si>
    <t>CB02</t>
    <phoneticPr fontId="4" type="noConversion"/>
  </si>
  <si>
    <t>이대호</t>
    <phoneticPr fontId="4" type="noConversion"/>
  </si>
  <si>
    <t>820915-2231426</t>
    <phoneticPr fontId="4" type="noConversion"/>
  </si>
  <si>
    <t>[표5]</t>
    <phoneticPr fontId="4" type="noConversion"/>
  </si>
  <si>
    <t>부서별 급여 지급 내역서</t>
    <phoneticPr fontId="4" type="noConversion"/>
  </si>
  <si>
    <t>사원코드</t>
  </si>
  <si>
    <t>성명</t>
  </si>
  <si>
    <t>부서명</t>
  </si>
  <si>
    <t>직위</t>
  </si>
  <si>
    <t>근무년수</t>
  </si>
  <si>
    <t>기본급</t>
  </si>
  <si>
    <t>상여금</t>
  </si>
  <si>
    <t>수당</t>
  </si>
  <si>
    <t>지급액</t>
  </si>
  <si>
    <t>G1</t>
  </si>
  <si>
    <t>홍기남</t>
  </si>
  <si>
    <t>C2</t>
  </si>
  <si>
    <t>이기자</t>
  </si>
  <si>
    <t>총무부</t>
  </si>
  <si>
    <t>G3</t>
  </si>
  <si>
    <t>차후서</t>
  </si>
  <si>
    <t>Y1</t>
  </si>
  <si>
    <t>허인기</t>
  </si>
  <si>
    <t>영업부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</si>
  <si>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</si>
  <si>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</si>
  <si>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</si>
  <si>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</si>
  <si>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</si>
  <si>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</si>
  <si>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</si>
  <si>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</si>
  <si>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</si>
  <si>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</si>
  <si>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매출 현황</t>
    <phoneticPr fontId="4" type="noConversion"/>
  </si>
  <si>
    <t>제품코드</t>
  </si>
  <si>
    <t>제품명</t>
  </si>
  <si>
    <t>매출건수</t>
  </si>
  <si>
    <t>매출수량</t>
  </si>
  <si>
    <t>평균단가</t>
  </si>
  <si>
    <t>추정이익</t>
  </si>
  <si>
    <t>스피커</t>
  </si>
  <si>
    <t>모뎀</t>
  </si>
  <si>
    <t>디스켓</t>
  </si>
  <si>
    <t>토너</t>
  </si>
  <si>
    <t>스캐너</t>
  </si>
  <si>
    <t>마우스</t>
  </si>
  <si>
    <t>키보드</t>
  </si>
  <si>
    <t>헤드셋</t>
  </si>
  <si>
    <t>부서별 매출액</t>
    <phoneticPr fontId="4" type="noConversion"/>
  </si>
  <si>
    <t>부서명</t>
    <phoneticPr fontId="4" type="noConversion"/>
  </si>
  <si>
    <t>소형차 수량</t>
    <phoneticPr fontId="4" type="noConversion"/>
  </si>
  <si>
    <t>중형차 수량</t>
    <phoneticPr fontId="4" type="noConversion"/>
  </si>
  <si>
    <t>총 판매 수량</t>
    <phoneticPr fontId="4" type="noConversion"/>
  </si>
  <si>
    <t>영업2팀</t>
  </si>
  <si>
    <t>영업3팀</t>
  </si>
  <si>
    <t>학번</t>
  </si>
  <si>
    <t>이름</t>
  </si>
  <si>
    <t>학과</t>
  </si>
  <si>
    <t>성별</t>
  </si>
  <si>
    <t>총점(100%)</t>
  </si>
  <si>
    <t>A-014</t>
  </si>
  <si>
    <t>경영전략과</t>
  </si>
  <si>
    <t>여</t>
  </si>
  <si>
    <t>D-024</t>
  </si>
  <si>
    <t>장윤하</t>
  </si>
  <si>
    <t>마케팅사업과</t>
  </si>
  <si>
    <t>F-004</t>
  </si>
  <si>
    <t>이용실</t>
  </si>
  <si>
    <t>전자상거래과</t>
  </si>
  <si>
    <t>E-028</t>
  </si>
  <si>
    <t>이미경</t>
  </si>
  <si>
    <t>정보관리과</t>
  </si>
  <si>
    <t>I-016</t>
  </si>
  <si>
    <t>컴퓨터공학과</t>
  </si>
  <si>
    <t>D-008</t>
  </si>
  <si>
    <t>조용희</t>
  </si>
  <si>
    <t>eBusiness과</t>
  </si>
  <si>
    <t>매출번호</t>
  </si>
  <si>
    <t>순번</t>
  </si>
  <si>
    <t>거래처명</t>
  </si>
  <si>
    <t>수량</t>
  </si>
  <si>
    <t>단가</t>
  </si>
  <si>
    <t>공급가액</t>
  </si>
  <si>
    <t>세액</t>
  </si>
  <si>
    <t>겔럭시게이트</t>
  </si>
  <si>
    <t>모니터</t>
  </si>
  <si>
    <t>한솔CSN</t>
  </si>
  <si>
    <t>프린터</t>
  </si>
  <si>
    <t>통판뉴스</t>
  </si>
  <si>
    <t>한솔기획</t>
  </si>
  <si>
    <t>RG홈쇼핑</t>
  </si>
  <si>
    <t>가나통상</t>
  </si>
  <si>
    <t>즐겨찾기</t>
  </si>
  <si>
    <t>온누리홈쇼핑</t>
  </si>
  <si>
    <t>한국위성방송</t>
  </si>
  <si>
    <t>코오롱홈쇼핑</t>
  </si>
  <si>
    <t>여수홈쇼핑</t>
  </si>
  <si>
    <t>영상코퍼레이션</t>
  </si>
  <si>
    <t>값</t>
  </si>
  <si>
    <t>평균 : 수량</t>
  </si>
  <si>
    <t>전체 평균 : 수량</t>
  </si>
  <si>
    <t>평균 : 공급가액</t>
  </si>
  <si>
    <t>전체 평균 : 공급가액</t>
  </si>
  <si>
    <t>거래처명2</t>
  </si>
  <si>
    <t>오프라인</t>
  </si>
  <si>
    <t>온라인</t>
  </si>
  <si>
    <t>[표1] 서울 지역 현황</t>
    <phoneticPr fontId="3" type="noConversion"/>
  </si>
  <si>
    <t>접수일자</t>
  </si>
  <si>
    <t>거래처코드</t>
  </si>
  <si>
    <t>거래처</t>
    <phoneticPr fontId="3" type="noConversion"/>
  </si>
  <si>
    <t>행선지코드</t>
  </si>
  <si>
    <t>행선지</t>
  </si>
  <si>
    <t>차량종류</t>
  </si>
  <si>
    <t>요금</t>
  </si>
  <si>
    <t>출발일자</t>
  </si>
  <si>
    <t>BB-06</t>
  </si>
  <si>
    <t xml:space="preserve">Y.C 인터네셔날  </t>
  </si>
  <si>
    <t>KR-3</t>
  </si>
  <si>
    <t>강릉</t>
  </si>
  <si>
    <t>3톤</t>
  </si>
  <si>
    <t>BB-08</t>
  </si>
  <si>
    <t>계성제지</t>
  </si>
  <si>
    <t>CA-5</t>
  </si>
  <si>
    <t>천안</t>
  </si>
  <si>
    <t>5톤</t>
  </si>
  <si>
    <t>AA-01</t>
  </si>
  <si>
    <t xml:space="preserve">대명금속  </t>
  </si>
  <si>
    <t>PT-1</t>
  </si>
  <si>
    <t>평택</t>
  </si>
  <si>
    <t>1톤</t>
  </si>
  <si>
    <t>CC-13</t>
  </si>
  <si>
    <t>율촌화학</t>
  </si>
  <si>
    <t>US-5</t>
  </si>
  <si>
    <t>울산</t>
  </si>
  <si>
    <t>PT-3</t>
  </si>
  <si>
    <t>CC-19</t>
  </si>
  <si>
    <t>기아특수강</t>
  </si>
  <si>
    <t>DK-5</t>
  </si>
  <si>
    <t>대구</t>
  </si>
  <si>
    <t>BB-10</t>
  </si>
  <si>
    <t>삼성코닝</t>
  </si>
  <si>
    <t>WJ-5</t>
  </si>
  <si>
    <t>원주</t>
  </si>
  <si>
    <t>AA-07</t>
  </si>
  <si>
    <t xml:space="preserve">정금강업  </t>
  </si>
  <si>
    <t>CC-12</t>
  </si>
  <si>
    <t>LG화학</t>
  </si>
  <si>
    <t>DJ-1</t>
  </si>
  <si>
    <t>대전</t>
  </si>
  <si>
    <t>BS-3</t>
  </si>
  <si>
    <t>부산</t>
  </si>
  <si>
    <t>PT-5</t>
  </si>
  <si>
    <t>CC-11</t>
  </si>
  <si>
    <t>쌍용제지</t>
  </si>
  <si>
    <t>MS-1</t>
  </si>
  <si>
    <t>마산</t>
  </si>
  <si>
    <t>BS-1</t>
  </si>
  <si>
    <t>IC-1</t>
  </si>
  <si>
    <t>인천</t>
  </si>
  <si>
    <t>[표2] 경기 지역 현황</t>
    <phoneticPr fontId="3" type="noConversion"/>
  </si>
  <si>
    <t>거래처</t>
    <phoneticPr fontId="3" type="noConversion"/>
  </si>
  <si>
    <t>AA-10</t>
  </si>
  <si>
    <t xml:space="preserve">진한통상  </t>
  </si>
  <si>
    <t>SW-3</t>
  </si>
  <si>
    <t>수원</t>
  </si>
  <si>
    <t>BB-02</t>
  </si>
  <si>
    <t xml:space="preserve">코암유통 </t>
  </si>
  <si>
    <t>IC-3</t>
  </si>
  <si>
    <t>WJ-1</t>
  </si>
  <si>
    <t>US-1</t>
  </si>
  <si>
    <t>BB-03</t>
  </si>
  <si>
    <t xml:space="preserve">텔슨정보통신 </t>
  </si>
  <si>
    <t>PH-3</t>
  </si>
  <si>
    <t>포항</t>
  </si>
  <si>
    <t>BB-04</t>
  </si>
  <si>
    <t>텔슨통신기술</t>
  </si>
  <si>
    <t>SW-1</t>
  </si>
  <si>
    <t>CC-18</t>
  </si>
  <si>
    <t>하이크리에이션</t>
  </si>
  <si>
    <t>BS-5</t>
  </si>
  <si>
    <t>CC-14</t>
  </si>
  <si>
    <t>한국제지</t>
  </si>
  <si>
    <t>DJ-3</t>
  </si>
  <si>
    <t>CC-16</t>
  </si>
  <si>
    <t>한국화이바</t>
  </si>
  <si>
    <t>JJ-1</t>
  </si>
  <si>
    <t>전주</t>
  </si>
  <si>
    <t>CC-15</t>
  </si>
  <si>
    <t>한솔제지</t>
  </si>
  <si>
    <t>BB-05</t>
  </si>
  <si>
    <t>한영산업</t>
  </si>
  <si>
    <t>KAJ-5</t>
  </si>
  <si>
    <t>광주</t>
  </si>
  <si>
    <t>CC-20</t>
  </si>
  <si>
    <t>현진산업</t>
  </si>
  <si>
    <t>AA-08</t>
  </si>
  <si>
    <t xml:space="preserve">효신 제조업 </t>
  </si>
  <si>
    <t>DK-3</t>
  </si>
  <si>
    <t>PH-1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</si>
</sst>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yyyy&quot;年&quot;\ mm&quot;月&quot;\ dd&quot;日&quot;\ &quot;현재&quot;"/>
    <numFmt numFmtId="177" formatCode="0.0"/>
    <numFmt numFmtId="178" formatCode="General&quot;세&quot;"/>
    <numFmt numFmtId="179" formatCode="\\#,##0;&quot;-\&quot;#,##0"/>
  </numFmts>
  <fonts count="13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ajor"/>
    </font>
    <font>
      <sz val="10.5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9" fillId="0" borderId="0"/>
    <xf numFmtId="0" fontId="9" fillId="0" borderId="0"/>
  </cellStyleXfs>
  <cellXfs count="73">
    <xf numFmtId="0" fontId="0" fillId="0" borderId="0" xfId="0">
      <alignment vertical="center"/>
    </xf>
    <xf numFmtId="0" fontId="2" fillId="0" borderId="0" xfId="1" applyFont="1">
      <alignment vertical="center"/>
    </xf>
    <xf numFmtId="176" fontId="2" fillId="0" borderId="1" xfId="1" applyNumberFormat="1" applyFont="1" applyBorder="1" applyAlignment="1"/>
    <xf numFmtId="176" fontId="2" fillId="0" borderId="0" xfId="1" applyNumberFormat="1" applyFont="1" applyAlignment="1">
      <alignment horizontal="left"/>
    </xf>
    <xf numFmtId="0" fontId="2" fillId="0" borderId="0" xfId="1" applyFont="1" applyAlignment="1">
      <alignment horizontal="right"/>
    </xf>
    <xf numFmtId="0" fontId="6" fillId="0" borderId="2" xfId="1" applyFont="1" applyBorder="1" applyAlignment="1">
      <alignment horizontal="center"/>
    </xf>
    <xf numFmtId="0" fontId="6" fillId="0" borderId="2" xfId="1" applyFont="1" applyBorder="1">
      <alignment vertical="center"/>
    </xf>
    <xf numFmtId="41" fontId="6" fillId="0" borderId="2" xfId="2" applyFont="1" applyBorder="1" applyAlignment="1"/>
    <xf numFmtId="9" fontId="6" fillId="0" borderId="2" xfId="3" applyFont="1" applyBorder="1" applyAlignment="1"/>
    <xf numFmtId="42" fontId="6" fillId="0" borderId="2" xfId="4" applyFont="1" applyBorder="1" applyAlignment="1"/>
    <xf numFmtId="0" fontId="6" fillId="0" borderId="3" xfId="1" applyFont="1" applyBorder="1">
      <alignment vertical="center"/>
    </xf>
    <xf numFmtId="9" fontId="6" fillId="0" borderId="3" xfId="1" applyNumberFormat="1" applyFont="1" applyBorder="1">
      <alignment vertical="center"/>
    </xf>
    <xf numFmtId="0" fontId="6" fillId="0" borderId="0" xfId="1" applyFont="1">
      <alignment vertical="center"/>
    </xf>
    <xf numFmtId="9" fontId="6" fillId="0" borderId="2" xfId="1" applyNumberFormat="1" applyFont="1" applyBorder="1">
      <alignment vertical="center"/>
    </xf>
    <xf numFmtId="0" fontId="2" fillId="0" borderId="2" xfId="1" applyNumberFormat="1" applyFont="1" applyBorder="1" applyAlignment="1">
      <alignment horizontal="center" vertical="center"/>
    </xf>
    <xf numFmtId="0" fontId="2" fillId="0" borderId="2" xfId="1" applyNumberFormat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/>
    </xf>
    <xf numFmtId="0" fontId="2" fillId="0" borderId="2" xfId="1" applyFont="1" applyBorder="1">
      <alignment vertical="center"/>
    </xf>
    <xf numFmtId="177" fontId="2" fillId="0" borderId="2" xfId="1" applyNumberFormat="1" applyFont="1" applyBorder="1">
      <alignment vertical="center"/>
    </xf>
    <xf numFmtId="1" fontId="2" fillId="0" borderId="2" xfId="1" applyNumberFormat="1" applyFont="1" applyBorder="1">
      <alignment vertical="center"/>
    </xf>
    <xf numFmtId="0" fontId="2" fillId="0" borderId="0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41" fontId="2" fillId="0" borderId="2" xfId="2" applyFont="1" applyBorder="1" applyAlignment="1"/>
    <xf numFmtId="0" fontId="2" fillId="0" borderId="2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/>
    </xf>
    <xf numFmtId="3" fontId="2" fillId="0" borderId="2" xfId="2" applyNumberFormat="1" applyFont="1" applyBorder="1" applyAlignment="1"/>
    <xf numFmtId="9" fontId="2" fillId="0" borderId="2" xfId="3" applyFont="1" applyBorder="1" applyAlignment="1"/>
    <xf numFmtId="0" fontId="2" fillId="0" borderId="0" xfId="1" applyFont="1" applyFill="1">
      <alignment vertical="center"/>
    </xf>
    <xf numFmtId="0" fontId="7" fillId="0" borderId="1" xfId="1" applyFont="1" applyFill="1" applyBorder="1" applyAlignment="1">
      <alignment horizontal="center"/>
    </xf>
    <xf numFmtId="0" fontId="2" fillId="0" borderId="0" xfId="1" applyFont="1" applyFill="1" applyAlignment="1">
      <alignment horizontal="right"/>
    </xf>
    <xf numFmtId="0" fontId="2" fillId="0" borderId="2" xfId="1" applyFont="1" applyFill="1" applyBorder="1" applyAlignment="1">
      <alignment horizontal="center" vertical="center"/>
    </xf>
    <xf numFmtId="41" fontId="2" fillId="0" borderId="2" xfId="2" applyFont="1" applyFill="1" applyBorder="1" applyAlignment="1">
      <alignment horizontal="center" vertical="center"/>
    </xf>
    <xf numFmtId="41" fontId="2" fillId="0" borderId="2" xfId="1" applyNumberFormat="1" applyFont="1" applyFill="1" applyBorder="1" applyAlignment="1">
      <alignment horizontal="right"/>
    </xf>
    <xf numFmtId="0" fontId="2" fillId="0" borderId="0" xfId="1" applyFont="1" applyFill="1" applyBorder="1" applyAlignment="1">
      <alignment vertical="center"/>
    </xf>
    <xf numFmtId="0" fontId="2" fillId="0" borderId="2" xfId="1" applyFont="1" applyFill="1" applyBorder="1" applyAlignment="1">
      <alignment horizontal="center"/>
    </xf>
    <xf numFmtId="178" fontId="2" fillId="0" borderId="2" xfId="1" applyNumberFormat="1" applyFont="1" applyBorder="1" applyAlignment="1">
      <alignment horizontal="center"/>
    </xf>
    <xf numFmtId="14" fontId="2" fillId="0" borderId="2" xfId="1" applyNumberFormat="1" applyFont="1" applyBorder="1">
      <alignment vertical="center"/>
    </xf>
    <xf numFmtId="3" fontId="2" fillId="0" borderId="2" xfId="1" applyNumberFormat="1" applyFont="1" applyBorder="1">
      <alignment vertical="center"/>
    </xf>
    <xf numFmtId="0" fontId="2" fillId="0" borderId="0" xfId="1" applyFont="1" applyFill="1" applyBorder="1" applyAlignment="1"/>
    <xf numFmtId="0" fontId="2" fillId="2" borderId="2" xfId="1" applyNumberFormat="1" applyFont="1" applyFill="1" applyBorder="1" applyAlignment="1">
      <alignment horizontal="center"/>
    </xf>
    <xf numFmtId="41" fontId="8" fillId="0" borderId="2" xfId="2" applyFont="1" applyBorder="1" applyAlignment="1"/>
    <xf numFmtId="0" fontId="2" fillId="0" borderId="0" xfId="1" applyFont="1" applyAlignment="1">
      <alignment horizontal="center" vertical="center"/>
    </xf>
    <xf numFmtId="0" fontId="2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0" fontId="0" fillId="0" borderId="0" xfId="0" pivotButton="1">
      <alignment vertical="center"/>
    </xf>
    <xf numFmtId="0" fontId="10" fillId="0" borderId="4" xfId="5" applyNumberFormat="1" applyFont="1" applyBorder="1" applyAlignment="1">
      <alignment horizontal="right" wrapText="1"/>
    </xf>
    <xf numFmtId="0" fontId="10" fillId="0" borderId="5" xfId="5" applyNumberFormat="1" applyFont="1" applyBorder="1" applyAlignment="1">
      <alignment horizontal="right" wrapText="1"/>
    </xf>
    <xf numFmtId="0" fontId="10" fillId="0" borderId="5" xfId="5" applyNumberFormat="1" applyFont="1" applyBorder="1" applyAlignment="1">
      <alignment wrapText="1"/>
    </xf>
    <xf numFmtId="179" fontId="10" fillId="0" borderId="5" xfId="5" applyNumberFormat="1" applyFont="1" applyBorder="1" applyAlignment="1">
      <alignment horizontal="right" wrapText="1"/>
    </xf>
    <xf numFmtId="179" fontId="10" fillId="0" borderId="6" xfId="5" applyNumberFormat="1" applyFont="1" applyBorder="1" applyAlignment="1">
      <alignment horizontal="right" wrapText="1"/>
    </xf>
    <xf numFmtId="0" fontId="11" fillId="3" borderId="4" xfId="5" applyNumberFormat="1" applyFont="1" applyFill="1" applyBorder="1" applyAlignment="1">
      <alignment horizontal="center"/>
    </xf>
    <xf numFmtId="0" fontId="11" fillId="3" borderId="5" xfId="5" applyNumberFormat="1" applyFont="1" applyFill="1" applyBorder="1" applyAlignment="1">
      <alignment horizontal="center"/>
    </xf>
    <xf numFmtId="0" fontId="11" fillId="3" borderId="6" xfId="5" applyNumberFormat="1" applyFont="1" applyFill="1" applyBorder="1" applyAlignment="1">
      <alignment horizontal="center"/>
    </xf>
    <xf numFmtId="0" fontId="10" fillId="0" borderId="8" xfId="5" applyNumberFormat="1" applyFont="1" applyBorder="1" applyAlignment="1">
      <alignment horizontal="right" wrapText="1"/>
    </xf>
    <xf numFmtId="0" fontId="10" fillId="0" borderId="7" xfId="5" applyNumberFormat="1" applyFont="1" applyBorder="1" applyAlignment="1">
      <alignment horizontal="right" wrapText="1"/>
    </xf>
    <xf numFmtId="0" fontId="10" fillId="0" borderId="7" xfId="5" applyNumberFormat="1" applyFont="1" applyBorder="1" applyAlignment="1">
      <alignment wrapText="1"/>
    </xf>
    <xf numFmtId="179" fontId="10" fillId="0" borderId="7" xfId="5" applyNumberFormat="1" applyFont="1" applyBorder="1" applyAlignment="1">
      <alignment horizontal="right" wrapText="1"/>
    </xf>
    <xf numFmtId="179" fontId="10" fillId="0" borderId="9" xfId="5" applyNumberFormat="1" applyFont="1" applyBorder="1" applyAlignment="1">
      <alignment horizontal="right" wrapText="1"/>
    </xf>
    <xf numFmtId="43" fontId="0" fillId="0" borderId="0" xfId="0" applyNumberFormat="1">
      <alignment vertical="center"/>
    </xf>
    <xf numFmtId="4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>
      <alignment vertical="center"/>
    </xf>
    <xf numFmtId="0" fontId="0" fillId="0" borderId="2" xfId="0" applyBorder="1">
      <alignment vertical="center"/>
    </xf>
    <xf numFmtId="14" fontId="10" fillId="0" borderId="2" xfId="6" applyNumberFormat="1" applyFont="1" applyFill="1" applyBorder="1" applyAlignment="1">
      <alignment horizontal="right" wrapText="1"/>
    </xf>
    <xf numFmtId="14" fontId="0" fillId="0" borderId="0" xfId="0" applyNumberFormat="1">
      <alignment vertical="center"/>
    </xf>
    <xf numFmtId="14" fontId="10" fillId="0" borderId="10" xfId="6" applyNumberFormat="1" applyFont="1" applyFill="1" applyBorder="1" applyAlignment="1">
      <alignment horizontal="right" wrapText="1"/>
    </xf>
    <xf numFmtId="14" fontId="10" fillId="0" borderId="11" xfId="6" applyNumberFormat="1" applyFont="1" applyFill="1" applyBorder="1" applyAlignment="1">
      <alignment horizontal="right" wrapText="1"/>
    </xf>
    <xf numFmtId="0" fontId="5" fillId="0" borderId="0" xfId="1" applyFont="1" applyAlignment="1">
      <alignment horizontal="center"/>
    </xf>
    <xf numFmtId="0" fontId="5" fillId="0" borderId="1" xfId="1" applyFont="1" applyBorder="1" applyAlignment="1">
      <alignment horizontal="center"/>
    </xf>
    <xf numFmtId="0" fontId="2" fillId="0" borderId="2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/>
    </xf>
    <xf numFmtId="0" fontId="2" fillId="0" borderId="1" xfId="1" applyFont="1" applyBorder="1" applyAlignment="1">
      <alignment horizontal="center"/>
    </xf>
  </cellXfs>
  <cellStyles count="7">
    <cellStyle name="백분율 2" xfId="3"/>
    <cellStyle name="쉼표 [0] 2" xfId="2"/>
    <cellStyle name="통화 [0] 2" xfId="4"/>
    <cellStyle name="표준" xfId="0" builtinId="0"/>
    <cellStyle name="표준 2" xfId="1"/>
    <cellStyle name="표준_기본작업-3_1" xfId="6"/>
    <cellStyle name="표준_분석작업-1" xfId="5"/>
  </cellStyles>
  <dxfs count="2">
    <dxf>
      <font>
        <condense val="0"/>
        <extend val="0"/>
        <color indexed="12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매출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추정이익</c:v>
                </c:pt>
              </c:strCache>
            </c:strRef>
          </c:tx>
          <c:invertIfNegative val="0"/>
          <c:cat>
            <c:strRef>
              <c:f>'기타작업-1'!$B$3:$B$10</c:f>
              <c:strCache>
                <c:ptCount val="8"/>
                <c:pt idx="0">
                  <c:v>스피커</c:v>
                </c:pt>
                <c:pt idx="1">
                  <c:v>모뎀</c:v>
                </c:pt>
                <c:pt idx="2">
                  <c:v>디스켓</c:v>
                </c:pt>
                <c:pt idx="3">
                  <c:v>토너</c:v>
                </c:pt>
                <c:pt idx="4">
                  <c:v>스캐너</c:v>
                </c:pt>
                <c:pt idx="5">
                  <c:v>마우스</c:v>
                </c:pt>
                <c:pt idx="6">
                  <c:v>키보드</c:v>
                </c:pt>
                <c:pt idx="7">
                  <c:v>헤드셋</c:v>
                </c:pt>
              </c:strCache>
            </c:strRef>
          </c:cat>
          <c:val>
            <c:numRef>
              <c:f>'기타작업-1'!$F$3:$F$10</c:f>
              <c:numCache>
                <c:formatCode>General</c:formatCode>
                <c:ptCount val="8"/>
                <c:pt idx="0">
                  <c:v>20800</c:v>
                </c:pt>
                <c:pt idx="1">
                  <c:v>429251</c:v>
                </c:pt>
                <c:pt idx="2">
                  <c:v>141257</c:v>
                </c:pt>
                <c:pt idx="3">
                  <c:v>247983</c:v>
                </c:pt>
                <c:pt idx="4">
                  <c:v>124266</c:v>
                </c:pt>
                <c:pt idx="5">
                  <c:v>151636</c:v>
                </c:pt>
                <c:pt idx="6">
                  <c:v>50000</c:v>
                </c:pt>
                <c:pt idx="7">
                  <c:v>163750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004288"/>
        <c:axId val="175429120"/>
      </c:barChart>
      <c:lineChart>
        <c:grouping val="standard"/>
        <c:varyColors val="0"/>
        <c:ser>
          <c:idx val="1"/>
          <c:order val="1"/>
          <c:tx>
            <c:v>단가</c:v>
          </c:tx>
          <c:val>
            <c:numRef>
              <c:f>'기타작업-1'!$E$3:$E$10</c:f>
              <c:numCache>
                <c:formatCode>General</c:formatCode>
                <c:ptCount val="8"/>
                <c:pt idx="0">
                  <c:v>16000</c:v>
                </c:pt>
                <c:pt idx="1">
                  <c:v>55032</c:v>
                </c:pt>
                <c:pt idx="2">
                  <c:v>44142</c:v>
                </c:pt>
                <c:pt idx="3">
                  <c:v>12337</c:v>
                </c:pt>
                <c:pt idx="4">
                  <c:v>10355</c:v>
                </c:pt>
                <c:pt idx="5">
                  <c:v>16131</c:v>
                </c:pt>
                <c:pt idx="6">
                  <c:v>12500</c:v>
                </c:pt>
                <c:pt idx="7">
                  <c:v>12500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50784"/>
        <c:axId val="175431040"/>
      </c:lineChart>
      <c:catAx>
        <c:axId val="17500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제품명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29120"/>
        <c:crosses val="autoZero"/>
        <c:auto val="1"/>
        <c:lblAlgn val="ctr"/>
        <c:lblOffset val="100"/>
        <c:noMultiLvlLbl val="0"/>
      </c:catAx>
      <c:valAx>
        <c:axId val="175429120"/>
        <c:scaling>
          <c:orientation val="minMax"/>
        </c:scaling>
        <c:delete val="0"/>
        <c:axPos val="l"/>
        <c:majorGridlines/>
        <c:numFmt formatCode="0," sourceLinked="0"/>
        <c:majorTickMark val="out"/>
        <c:minorTickMark val="none"/>
        <c:tickLblPos val="nextTo"/>
        <c:crossAx val="175004288"/>
        <c:crosses val="autoZero"/>
        <c:crossBetween val="between"/>
        <c:majorUnit val="100000"/>
      </c:valAx>
      <c:valAx>
        <c:axId val="175431040"/>
        <c:scaling>
          <c:orientation val="minMax"/>
        </c:scaling>
        <c:delete val="0"/>
        <c:axPos val="r"/>
        <c:numFmt formatCode="0," sourceLinked="0"/>
        <c:majorTickMark val="out"/>
        <c:minorTickMark val="none"/>
        <c:tickLblPos val="nextTo"/>
        <c:crossAx val="183350784"/>
        <c:crosses val="max"/>
        <c:crossBetween val="between"/>
      </c:valAx>
      <c:catAx>
        <c:axId val="18335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1754310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>
              <a:latin typeface="굴림" panose="020B0600000101010101" pitchFamily="50" charset="-127"/>
              <a:ea typeface="굴림" panose="020B0600000101010101" pitchFamily="50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지급액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간부보기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3</xdr:row>
      <xdr:rowOff>0</xdr:rowOff>
    </xdr:from>
    <xdr:to>
      <xdr:col>6</xdr:col>
      <xdr:colOff>66674</xdr:colOff>
      <xdr:row>3</xdr:row>
      <xdr:rowOff>200025</xdr:rowOff>
    </xdr:to>
    <xdr:sp macro="" textlink="">
      <xdr:nvSpPr>
        <xdr:cNvPr id="2" name="타원형 설명선 1"/>
        <xdr:cNvSpPr/>
      </xdr:nvSpPr>
      <xdr:spPr>
        <a:xfrm>
          <a:off x="3400424" y="628650"/>
          <a:ext cx="752475" cy="200025"/>
        </a:xfrm>
        <a:prstGeom prst="wedgeEllipseCallou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7</xdr:col>
      <xdr:colOff>685799</xdr:colOff>
      <xdr:row>28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66675</xdr:colOff>
      <xdr:row>4</xdr:row>
      <xdr:rowOff>15478</xdr:rowOff>
    </xdr:from>
    <xdr:to>
      <xdr:col>5</xdr:col>
      <xdr:colOff>238523</xdr:colOff>
      <xdr:row>14</xdr:row>
      <xdr:rowOff>85725</xdr:rowOff>
    </xdr:to>
    <xdr:cxnSp macro="">
      <xdr:nvCxnSpPr>
        <xdr:cNvPr id="4" name="직선 화살표 연결선 3"/>
        <xdr:cNvCxnSpPr>
          <a:stCxn id="2" idx="8"/>
        </xdr:cNvCxnSpPr>
      </xdr:nvCxnSpPr>
      <xdr:spPr>
        <a:xfrm flipH="1">
          <a:off x="1333500" y="853678"/>
          <a:ext cx="2286398" cy="2165747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0</xdr:row>
          <xdr:rowOff>57150</xdr:rowOff>
        </xdr:from>
        <xdr:to>
          <xdr:col>3</xdr:col>
          <xdr:colOff>866775</xdr:colOff>
          <xdr:row>1</xdr:row>
          <xdr:rowOff>152400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44592;&#48376;&#47784;&#51032;&#44256;&#49324;%2009&#54924;&#51221;&#45813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6.947980439814" createdVersion="4" refreshedVersion="4" minRefreshableVersion="3" recordCount="59">
  <cacheSource type="worksheet">
    <worksheetSource ref="A1:I60" sheet="분석작업-1" r:id="rId2"/>
  </cacheSource>
  <cacheFields count="10">
    <cacheField name="매출번호" numFmtId="0">
      <sharedItems containsSemiMixedTypes="0" containsString="0" containsNumber="1" containsInteger="1" minValue="1" maxValue="30"/>
    </cacheField>
    <cacheField name="순번" numFmtId="0">
      <sharedItems containsSemiMixedTypes="0" containsString="0" containsNumber="1" containsInteger="1" minValue="1" maxValue="4"/>
    </cacheField>
    <cacheField name="거래처명" numFmtId="0">
      <sharedItems count="12">
        <s v="겔럭시게이트"/>
        <s v="한솔CSN"/>
        <s v="통판뉴스"/>
        <s v="한솔기획"/>
        <s v="RG홈쇼핑"/>
        <s v="가나통상"/>
        <s v="즐겨찾기"/>
        <s v="온누리홈쇼핑"/>
        <s v="한국위성방송"/>
        <s v="코오롱홈쇼핑"/>
        <s v="여수홈쇼핑"/>
        <s v="영상코퍼레이션"/>
      </sharedItems>
      <fieldGroup par="9"/>
    </cacheField>
    <cacheField name="제품명" numFmtId="0">
      <sharedItems/>
    </cacheField>
    <cacheField name="수량" numFmtId="0">
      <sharedItems containsSemiMixedTypes="0" containsString="0" containsNumber="1" containsInteger="1" minValue="-6" maxValue="648"/>
    </cacheField>
    <cacheField name="단가" numFmtId="179">
      <sharedItems containsSemiMixedTypes="0" containsString="0" containsNumber="1" containsInteger="1" minValue="8000" maxValue="88000"/>
    </cacheField>
    <cacheField name="공급가액" numFmtId="179">
      <sharedItems containsSemiMixedTypes="0" containsString="0" containsNumber="1" containsInteger="1" minValue="-68182" maxValue="8000000"/>
    </cacheField>
    <cacheField name="세액" numFmtId="179">
      <sharedItems containsSemiMixedTypes="0" containsString="0" containsNumber="1" containsInteger="1" minValue="-87273" maxValue="800000"/>
    </cacheField>
    <cacheField name="합계" numFmtId="179">
      <sharedItems containsSemiMixedTypes="0" containsString="0" containsNumber="1" containsInteger="1" minValue="-75000" maxValue="8800000"/>
    </cacheField>
    <cacheField name="거래처명2" numFmtId="0" databaseField="0">
      <fieldGroup base="2">
        <discretePr count="12">
          <x v="0"/>
          <x v="0"/>
          <x v="1"/>
          <x v="0"/>
          <x v="1"/>
          <x v="0"/>
          <x v="0"/>
          <x v="0"/>
          <x v="1"/>
          <x v="1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n v="1"/>
    <n v="1"/>
    <x v="0"/>
    <s v="모니터"/>
    <n v="500"/>
    <n v="17600"/>
    <n v="8000000"/>
    <n v="800000"/>
    <n v="8800000"/>
  </r>
  <r>
    <n v="1"/>
    <n v="2"/>
    <x v="1"/>
    <s v="스피커"/>
    <n v="500"/>
    <n v="8800"/>
    <n v="4000000"/>
    <n v="400000"/>
    <n v="4400000"/>
  </r>
  <r>
    <n v="2"/>
    <n v="1"/>
    <x v="1"/>
    <s v="키보드"/>
    <n v="500"/>
    <n v="12500"/>
    <n v="5681818"/>
    <n v="568182"/>
    <n v="6250000"/>
  </r>
  <r>
    <n v="2"/>
    <n v="2"/>
    <x v="1"/>
    <s v="프린터"/>
    <n v="100"/>
    <n v="17600"/>
    <n v="1600000"/>
    <n v="160000"/>
    <n v="1760000"/>
  </r>
  <r>
    <n v="2"/>
    <n v="3"/>
    <x v="1"/>
    <s v="스피커"/>
    <n v="290"/>
    <n v="8800"/>
    <n v="2320000"/>
    <n v="232000"/>
    <n v="2552000"/>
  </r>
  <r>
    <n v="4"/>
    <n v="1"/>
    <x v="2"/>
    <s v="모니터"/>
    <n v="10"/>
    <n v="16000"/>
    <n v="145455"/>
    <n v="14545"/>
    <n v="160000"/>
  </r>
  <r>
    <n v="5"/>
    <n v="1"/>
    <x v="3"/>
    <s v="헤드셋"/>
    <n v="100"/>
    <n v="12500"/>
    <n v="1136364"/>
    <n v="113636"/>
    <n v="1250000"/>
  </r>
  <r>
    <n v="5"/>
    <n v="2"/>
    <x v="4"/>
    <s v="마우스"/>
    <n v="648"/>
    <n v="8800"/>
    <n v="5184000"/>
    <n v="518400"/>
    <n v="5702400"/>
  </r>
  <r>
    <n v="6"/>
    <n v="1"/>
    <x v="1"/>
    <s v="스캐너"/>
    <n v="50"/>
    <n v="12500"/>
    <n v="568182"/>
    <n v="56818"/>
    <n v="625000"/>
  </r>
  <r>
    <n v="6"/>
    <n v="2"/>
    <x v="4"/>
    <s v="프린터"/>
    <n v="50"/>
    <n v="14000"/>
    <n v="636364"/>
    <n v="63636"/>
    <n v="700000"/>
  </r>
  <r>
    <n v="6"/>
    <n v="3"/>
    <x v="5"/>
    <s v="스캐너"/>
    <n v="300"/>
    <n v="12500"/>
    <n v="3409091"/>
    <n v="340909"/>
    <n v="3750000"/>
  </r>
  <r>
    <n v="7"/>
    <n v="1"/>
    <x v="6"/>
    <s v="키보드"/>
    <n v="50"/>
    <n v="12500"/>
    <n v="568182"/>
    <n v="56818"/>
    <n v="625000"/>
  </r>
  <r>
    <n v="8"/>
    <n v="1"/>
    <x v="7"/>
    <s v="토너"/>
    <n v="50"/>
    <n v="88000"/>
    <n v="559091"/>
    <n v="55909"/>
    <n v="4400000"/>
  </r>
  <r>
    <n v="8"/>
    <n v="2"/>
    <x v="8"/>
    <s v="스캐너"/>
    <n v="0"/>
    <n v="24000"/>
    <n v="327273"/>
    <n v="-87273"/>
    <n v="0"/>
  </r>
  <r>
    <n v="9"/>
    <n v="1"/>
    <x v="5"/>
    <s v="모니터"/>
    <n v="100"/>
    <n v="12500"/>
    <n v="1136364"/>
    <n v="113636"/>
    <n v="1250000"/>
  </r>
  <r>
    <n v="9"/>
    <n v="2"/>
    <x v="4"/>
    <s v="키보드"/>
    <n v="200"/>
    <n v="12500"/>
    <n v="2272727"/>
    <n v="227273"/>
    <n v="2500000"/>
  </r>
  <r>
    <n v="9"/>
    <n v="3"/>
    <x v="1"/>
    <s v="스캐너"/>
    <n v="300"/>
    <n v="8800"/>
    <n v="2400000"/>
    <n v="240000"/>
    <n v="2640000"/>
  </r>
  <r>
    <n v="9"/>
    <n v="4"/>
    <x v="1"/>
    <s v="마우스"/>
    <n v="200"/>
    <n v="17600"/>
    <n v="3200000"/>
    <n v="320000"/>
    <n v="3520000"/>
  </r>
  <r>
    <n v="10"/>
    <n v="1"/>
    <x v="6"/>
    <s v="모니터"/>
    <n v="200"/>
    <n v="12500"/>
    <n v="2272727"/>
    <n v="227273"/>
    <n v="2500000"/>
  </r>
  <r>
    <n v="10"/>
    <n v="2"/>
    <x v="4"/>
    <s v="헤드셋"/>
    <n v="50"/>
    <n v="12500"/>
    <n v="568182"/>
    <n v="56818"/>
    <n v="625000"/>
  </r>
  <r>
    <n v="10"/>
    <n v="3"/>
    <x v="6"/>
    <s v="스캐너"/>
    <n v="-3"/>
    <n v="12500"/>
    <n v="-34091"/>
    <n v="-3409"/>
    <n v="-37500"/>
  </r>
  <r>
    <n v="11"/>
    <n v="1"/>
    <x v="7"/>
    <s v="모니터"/>
    <n v="135"/>
    <n v="12500"/>
    <n v="1534091"/>
    <n v="153409"/>
    <n v="1687500"/>
  </r>
  <r>
    <n v="11"/>
    <n v="2"/>
    <x v="4"/>
    <s v="프린터"/>
    <n v="50"/>
    <n v="14000"/>
    <n v="636364"/>
    <n v="63636"/>
    <n v="700000"/>
  </r>
  <r>
    <n v="11"/>
    <n v="3"/>
    <x v="8"/>
    <s v="키보드"/>
    <n v="200"/>
    <n v="12300"/>
    <n v="2236364"/>
    <n v="223636"/>
    <n v="2460000"/>
  </r>
  <r>
    <n v="11"/>
    <n v="4"/>
    <x v="4"/>
    <s v="스캐너"/>
    <n v="20"/>
    <n v="16000"/>
    <n v="290909"/>
    <n v="29091"/>
    <n v="320000"/>
  </r>
  <r>
    <n v="12"/>
    <n v="1"/>
    <x v="5"/>
    <s v="스피커"/>
    <n v="250"/>
    <n v="12500"/>
    <n v="2840909"/>
    <n v="284091"/>
    <n v="3125000"/>
  </r>
  <r>
    <n v="12"/>
    <n v="2"/>
    <x v="4"/>
    <s v="모니터"/>
    <n v="50"/>
    <n v="12500"/>
    <n v="568182"/>
    <n v="56818"/>
    <n v="625000"/>
  </r>
  <r>
    <n v="12"/>
    <n v="3"/>
    <x v="5"/>
    <s v="토너"/>
    <n v="-1"/>
    <n v="12500"/>
    <n v="-11364"/>
    <n v="-1136"/>
    <n v="-12500"/>
  </r>
  <r>
    <n v="13"/>
    <n v="1"/>
    <x v="6"/>
    <s v="헤드셋"/>
    <n v="100"/>
    <n v="12500"/>
    <n v="1136364"/>
    <n v="113636"/>
    <n v="1250000"/>
  </r>
  <r>
    <n v="14"/>
    <n v="2"/>
    <x v="4"/>
    <s v="프린터"/>
    <n v="50"/>
    <n v="12500"/>
    <n v="568182"/>
    <n v="56818"/>
    <n v="625000"/>
  </r>
  <r>
    <n v="15"/>
    <n v="1"/>
    <x v="6"/>
    <s v="토너"/>
    <n v="7"/>
    <n v="12000"/>
    <n v="76364"/>
    <n v="7636"/>
    <n v="84000"/>
  </r>
  <r>
    <n v="15"/>
    <n v="2"/>
    <x v="6"/>
    <s v="스캐너"/>
    <n v="1"/>
    <n v="24000"/>
    <n v="21818"/>
    <n v="2182"/>
    <n v="24000"/>
  </r>
  <r>
    <n v="16"/>
    <n v="1"/>
    <x v="6"/>
    <s v="헤드셋"/>
    <n v="335"/>
    <n v="12500"/>
    <n v="3806818"/>
    <n v="380682"/>
    <n v="4187500"/>
  </r>
  <r>
    <n v="16"/>
    <n v="2"/>
    <x v="8"/>
    <s v="모니터"/>
    <n v="237"/>
    <n v="15800"/>
    <n v="3404182"/>
    <n v="340418"/>
    <n v="3744600"/>
  </r>
  <r>
    <n v="17"/>
    <n v="1"/>
    <x v="7"/>
    <s v="스캐너"/>
    <n v="200"/>
    <n v="12500"/>
    <n v="2272727"/>
    <n v="227273"/>
    <n v="2500000"/>
  </r>
  <r>
    <n v="17"/>
    <n v="2"/>
    <x v="4"/>
    <s v="헤드셋"/>
    <n v="-3"/>
    <n v="12500"/>
    <n v="-34091"/>
    <n v="-3409"/>
    <n v="-37500"/>
  </r>
  <r>
    <n v="17"/>
    <n v="3"/>
    <x v="7"/>
    <s v="프린터"/>
    <n v="-1"/>
    <n v="16000"/>
    <n v="-14545"/>
    <n v="-1455"/>
    <n v="-16000"/>
  </r>
  <r>
    <n v="18"/>
    <n v="1"/>
    <x v="5"/>
    <s v="토너"/>
    <n v="200"/>
    <n v="12500"/>
    <n v="2272727"/>
    <n v="227273"/>
    <n v="2500000"/>
  </r>
  <r>
    <n v="18"/>
    <n v="2"/>
    <x v="2"/>
    <s v="마우스"/>
    <n v="5"/>
    <n v="16500"/>
    <n v="75000"/>
    <n v="7500"/>
    <n v="82500"/>
  </r>
  <r>
    <n v="19"/>
    <n v="1"/>
    <x v="6"/>
    <s v="스피커"/>
    <n v="-6"/>
    <n v="12500"/>
    <n v="-68182"/>
    <n v="-6818"/>
    <n v="-75000"/>
  </r>
  <r>
    <n v="19"/>
    <n v="2"/>
    <x v="9"/>
    <s v="프린터"/>
    <n v="6"/>
    <n v="16000"/>
    <n v="87273"/>
    <n v="8727"/>
    <n v="96000"/>
  </r>
  <r>
    <n v="20"/>
    <n v="1"/>
    <x v="7"/>
    <s v="토너"/>
    <n v="-2"/>
    <n v="12500"/>
    <n v="-22727"/>
    <n v="-2273"/>
    <n v="-25000"/>
  </r>
  <r>
    <n v="21"/>
    <n v="1"/>
    <x v="5"/>
    <s v="키보드"/>
    <n v="150"/>
    <n v="12500"/>
    <n v="1704545"/>
    <n v="170455"/>
    <n v="1875000"/>
  </r>
  <r>
    <n v="21"/>
    <n v="2"/>
    <x v="8"/>
    <s v="모니터"/>
    <n v="200"/>
    <n v="12300"/>
    <n v="2236364"/>
    <n v="223636"/>
    <n v="2460000"/>
  </r>
  <r>
    <n v="21"/>
    <n v="3"/>
    <x v="3"/>
    <s v="마우스"/>
    <n v="12"/>
    <n v="16000"/>
    <n v="174545"/>
    <n v="17455"/>
    <n v="192000"/>
  </r>
  <r>
    <n v="22"/>
    <n v="1"/>
    <x v="2"/>
    <s v="마우스"/>
    <n v="5"/>
    <n v="16500"/>
    <n v="75000"/>
    <n v="7500"/>
    <n v="82500"/>
  </r>
  <r>
    <n v="23"/>
    <n v="1"/>
    <x v="10"/>
    <s v="모니터"/>
    <n v="30"/>
    <n v="16000"/>
    <n v="436364"/>
    <n v="43636"/>
    <n v="480000"/>
  </r>
  <r>
    <n v="23"/>
    <n v="2"/>
    <x v="7"/>
    <s v="스피커"/>
    <n v="6"/>
    <n v="16000"/>
    <n v="87273"/>
    <n v="8727"/>
    <n v="96000"/>
  </r>
  <r>
    <n v="24"/>
    <n v="1"/>
    <x v="5"/>
    <s v="헤드셋"/>
    <n v="200"/>
    <n v="12500"/>
    <n v="2272727"/>
    <n v="227273"/>
    <n v="2500000"/>
  </r>
  <r>
    <n v="25"/>
    <n v="1"/>
    <x v="8"/>
    <s v="토너"/>
    <n v="300"/>
    <n v="12300"/>
    <n v="3354545"/>
    <n v="335455"/>
    <n v="3690000"/>
  </r>
  <r>
    <n v="26"/>
    <n v="1"/>
    <x v="11"/>
    <s v="스캐너"/>
    <n v="200"/>
    <n v="8000"/>
    <n v="1454545"/>
    <n v="145455"/>
    <n v="1600000"/>
  </r>
  <r>
    <n v="26"/>
    <n v="2"/>
    <x v="9"/>
    <s v="마우스"/>
    <n v="6"/>
    <n v="16000"/>
    <n v="87273"/>
    <n v="8727"/>
    <n v="96000"/>
  </r>
  <r>
    <n v="27"/>
    <n v="1"/>
    <x v="5"/>
    <s v="헤드셋"/>
    <n v="200"/>
    <n v="12500"/>
    <n v="2272727"/>
    <n v="227273"/>
    <n v="2500000"/>
  </r>
  <r>
    <n v="28"/>
    <n v="1"/>
    <x v="6"/>
    <s v="스피커"/>
    <n v="100"/>
    <n v="12500"/>
    <n v="1136364"/>
    <n v="113636"/>
    <n v="1250000"/>
  </r>
  <r>
    <n v="28"/>
    <n v="2"/>
    <x v="4"/>
    <s v="키보드"/>
    <n v="200"/>
    <n v="12500"/>
    <n v="2272727"/>
    <n v="227273"/>
    <n v="2500000"/>
  </r>
  <r>
    <n v="28"/>
    <n v="3"/>
    <x v="6"/>
    <s v="토너"/>
    <n v="100"/>
    <n v="12500"/>
    <n v="1136364"/>
    <n v="113636"/>
    <n v="1250000"/>
  </r>
  <r>
    <n v="29"/>
    <n v="1"/>
    <x v="7"/>
    <s v="모니터"/>
    <n v="200"/>
    <n v="12500"/>
    <n v="2272727"/>
    <n v="227273"/>
    <n v="2500000"/>
  </r>
  <r>
    <n v="30"/>
    <n v="1"/>
    <x v="11"/>
    <s v="키보드"/>
    <n v="200"/>
    <n v="8000"/>
    <n v="1454545"/>
    <n v="145455"/>
    <n v="1600000"/>
  </r>
  <r>
    <n v="30"/>
    <n v="2"/>
    <x v="4"/>
    <s v="토너"/>
    <n v="20"/>
    <n v="16000"/>
    <n v="290909"/>
    <n v="29091"/>
    <n v="32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23" dataOnRows="1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compactData="0" multipleFieldFilters="0">
  <location ref="K3:N29" firstHeaderRow="1" firstDataRow="1" firstDataCol="3"/>
  <pivotFields count="10">
    <pivotField compact="0" outline="0" showAll="0"/>
    <pivotField compact="0" outline="0" showAll="0"/>
    <pivotField axis="axisRow" compact="0" outline="0" showAll="0">
      <items count="13">
        <item x="4"/>
        <item x="5"/>
        <item x="0"/>
        <item x="10"/>
        <item x="11"/>
        <item x="7"/>
        <item x="6"/>
        <item x="9"/>
        <item x="2"/>
        <item x="8"/>
        <item x="1"/>
        <item x="3"/>
        <item t="default"/>
      </items>
    </pivotField>
    <pivotField compact="0" outline="0" showAll="0"/>
    <pivotField dataField="1" compact="0" outline="0" showAll="0"/>
    <pivotField compact="0" numFmtId="179" outline="0" showAll="0"/>
    <pivotField dataField="1" compact="0" numFmtId="179" outline="0" showAll="0"/>
    <pivotField compact="0" numFmtId="179" outline="0" showAll="0"/>
    <pivotField compact="0" numFmtId="179" outline="0" showAll="0"/>
    <pivotField axis="axisRow" compact="0" outline="0" showAll="0" defaultSubtotal="0">
      <items count="2">
        <item n="온라인" x="1"/>
        <item n="오프라인" x="0"/>
      </items>
    </pivotField>
  </pivotFields>
  <rowFields count="3">
    <field x="9"/>
    <field x="2"/>
    <field x="-2"/>
  </rowFields>
  <rowItems count="26">
    <i>
      <x/>
      <x/>
      <x/>
    </i>
    <i r="2" i="1">
      <x v="1"/>
    </i>
    <i r="1">
      <x v="3"/>
      <x/>
    </i>
    <i r="2" i="1">
      <x v="1"/>
    </i>
    <i r="1">
      <x v="7"/>
      <x/>
    </i>
    <i r="2" i="1">
      <x v="1"/>
    </i>
    <i r="1">
      <x v="8"/>
      <x/>
    </i>
    <i r="2" i="1">
      <x v="1"/>
    </i>
    <i r="1">
      <x v="9"/>
      <x/>
    </i>
    <i r="2" i="1">
      <x v="1"/>
    </i>
    <i>
      <x v="1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 r="1">
      <x v="5"/>
      <x/>
    </i>
    <i r="2" i="1">
      <x v="1"/>
    </i>
    <i r="1">
      <x v="6"/>
      <x/>
    </i>
    <i r="2" i="1">
      <x v="1"/>
    </i>
    <i r="1">
      <x v="10"/>
      <x/>
    </i>
    <i r="2" i="1">
      <x v="1"/>
    </i>
    <i r="1">
      <x v="11"/>
      <x/>
    </i>
    <i r="2" i="1">
      <x v="1"/>
    </i>
    <i t="grand">
      <x/>
    </i>
    <i t="grand" i="1">
      <x/>
    </i>
  </rowItems>
  <colItems count="1">
    <i/>
  </colItems>
  <dataFields count="2">
    <dataField name="평균 : 수량" fld="4" subtotal="average" baseField="2" baseItem="0" numFmtId="43"/>
    <dataField name="평균 : 공급가액" fld="6" subtotal="average" baseField="2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학번" tableColumnId="1"/>
      <queryTableField id="2" name="이름" tableColumnId="2"/>
      <queryTableField id="3" name="학과" tableColumnId="3"/>
      <queryTableField id="4" name="성별" tableColumnId="4"/>
      <queryTableField id="5" name="총점(100%)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표_MS_Access_Database_Query" displayName="표_MS_Access_Database_Query" ref="A3:E9" tableType="queryTable" totalsRowShown="0">
  <autoFilter ref="A3:E9"/>
  <tableColumns count="5">
    <tableColumn id="1" uniqueName="1" name="학번" queryTableFieldId="1"/>
    <tableColumn id="2" uniqueName="2" name="이름" queryTableFieldId="2"/>
    <tableColumn id="3" uniqueName="3" name="학과" queryTableFieldId="3"/>
    <tableColumn id="4" uniqueName="4" name="성별" queryTableFieldId="4"/>
    <tableColumn id="5" uniqueName="5" name="총점(100%)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"/>
  <sheetViews>
    <sheetView tabSelected="1" workbookViewId="0"/>
  </sheetViews>
  <sheetFormatPr defaultRowHeight="16.5"/>
  <cols>
    <col min="1" max="2" width="7.5" customWidth="1"/>
    <col min="3" max="3" width="13" customWidth="1"/>
    <col min="4" max="4" width="7.5" customWidth="1"/>
    <col min="5" max="5" width="13.875" bestFit="1" customWidth="1"/>
    <col min="6" max="7" width="13.25" customWidth="1"/>
    <col min="8" max="8" width="13" bestFit="1" customWidth="1"/>
    <col min="9" max="9" width="16.125" bestFit="1" customWidth="1"/>
  </cols>
  <sheetData>
    <row r="1" spans="1:5">
      <c r="A1" s="1" t="s">
        <v>0</v>
      </c>
    </row>
    <row r="3" spans="1:5">
      <c r="A3" t="s">
        <v>199</v>
      </c>
      <c r="B3" t="s">
        <v>200</v>
      </c>
      <c r="C3" t="s">
        <v>201</v>
      </c>
      <c r="D3" t="s">
        <v>202</v>
      </c>
      <c r="E3" t="s">
        <v>203</v>
      </c>
    </row>
    <row r="4" spans="1:5">
      <c r="A4" t="s">
        <v>204</v>
      </c>
      <c r="B4" t="s">
        <v>51</v>
      </c>
      <c r="C4" t="s">
        <v>205</v>
      </c>
      <c r="D4" t="s">
        <v>206</v>
      </c>
      <c r="E4">
        <v>95</v>
      </c>
    </row>
    <row r="5" spans="1:5">
      <c r="A5" t="s">
        <v>207</v>
      </c>
      <c r="B5" t="s">
        <v>208</v>
      </c>
      <c r="C5" t="s">
        <v>209</v>
      </c>
      <c r="D5" t="s">
        <v>206</v>
      </c>
      <c r="E5">
        <v>94</v>
      </c>
    </row>
    <row r="6" spans="1:5">
      <c r="A6" t="s">
        <v>210</v>
      </c>
      <c r="B6" t="s">
        <v>211</v>
      </c>
      <c r="C6" t="s">
        <v>212</v>
      </c>
      <c r="D6" t="s">
        <v>206</v>
      </c>
      <c r="E6">
        <v>96</v>
      </c>
    </row>
    <row r="7" spans="1:5">
      <c r="A7" t="s">
        <v>213</v>
      </c>
      <c r="B7" t="s">
        <v>214</v>
      </c>
      <c r="C7" t="s">
        <v>215</v>
      </c>
      <c r="D7" t="s">
        <v>206</v>
      </c>
      <c r="E7">
        <v>90</v>
      </c>
    </row>
    <row r="8" spans="1:5">
      <c r="A8" t="s">
        <v>216</v>
      </c>
      <c r="B8" t="s">
        <v>53</v>
      </c>
      <c r="C8" t="s">
        <v>217</v>
      </c>
      <c r="D8" t="s">
        <v>206</v>
      </c>
      <c r="E8">
        <v>93</v>
      </c>
    </row>
    <row r="9" spans="1:5">
      <c r="A9" t="s">
        <v>218</v>
      </c>
      <c r="B9" t="s">
        <v>219</v>
      </c>
      <c r="C9" t="s">
        <v>220</v>
      </c>
      <c r="D9" t="s">
        <v>206</v>
      </c>
      <c r="E9">
        <v>97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J42"/>
  <sheetViews>
    <sheetView workbookViewId="0"/>
  </sheetViews>
  <sheetFormatPr defaultRowHeight="16.5"/>
  <cols>
    <col min="1" max="1" width="10.25" bestFit="1" customWidth="1"/>
    <col min="2" max="2" width="9" bestFit="1" customWidth="1"/>
    <col min="3" max="4" width="7.125" bestFit="1" customWidth="1"/>
    <col min="5" max="5" width="9" bestFit="1" customWidth="1"/>
    <col min="6" max="6" width="11.875" bestFit="1" customWidth="1"/>
    <col min="7" max="7" width="8.5" bestFit="1" customWidth="1"/>
    <col min="8" max="8" width="10.875" bestFit="1" customWidth="1"/>
    <col min="9" max="9" width="13.5" bestFit="1" customWidth="1"/>
    <col min="10" max="10" width="5.25" bestFit="1" customWidth="1"/>
  </cols>
  <sheetData>
    <row r="2" spans="1:10" ht="20.25">
      <c r="A2" s="1" t="s">
        <v>1</v>
      </c>
      <c r="B2" s="68" t="s">
        <v>2</v>
      </c>
      <c r="C2" s="68"/>
      <c r="D2" s="68"/>
      <c r="E2" s="68"/>
      <c r="F2" s="68"/>
      <c r="G2" s="68"/>
      <c r="H2" s="68"/>
      <c r="I2" s="68"/>
      <c r="J2" s="1"/>
    </row>
    <row r="3" spans="1:10">
      <c r="A3" s="2"/>
      <c r="B3" s="2"/>
      <c r="C3" s="3"/>
      <c r="D3" s="1"/>
      <c r="E3" s="1"/>
      <c r="F3" s="1"/>
      <c r="G3" s="1"/>
      <c r="H3" s="1"/>
      <c r="I3" s="4" t="s">
        <v>3</v>
      </c>
      <c r="J3" s="1"/>
    </row>
    <row r="4" spans="1:10">
      <c r="A4" s="5" t="s">
        <v>4</v>
      </c>
      <c r="B4" s="5" t="s">
        <v>5</v>
      </c>
      <c r="C4" s="5" t="s">
        <v>6</v>
      </c>
      <c r="D4" s="5" t="s">
        <v>7</v>
      </c>
      <c r="E4" s="5" t="s">
        <v>8</v>
      </c>
      <c r="F4" s="5" t="s">
        <v>9</v>
      </c>
      <c r="G4" s="5" t="s">
        <v>10</v>
      </c>
      <c r="H4" s="5" t="s">
        <v>11</v>
      </c>
      <c r="I4" s="5" t="s">
        <v>12</v>
      </c>
      <c r="J4" s="1"/>
    </row>
    <row r="5" spans="1:10">
      <c r="A5" s="5" t="s">
        <v>13</v>
      </c>
      <c r="B5" s="5" t="s">
        <v>14</v>
      </c>
      <c r="C5" s="5" t="s">
        <v>15</v>
      </c>
      <c r="D5" s="5" t="s">
        <v>16</v>
      </c>
      <c r="E5" s="6">
        <v>6</v>
      </c>
      <c r="F5" s="7">
        <v>1200000</v>
      </c>
      <c r="G5" s="8">
        <v>0.03</v>
      </c>
      <c r="H5" s="7">
        <v>156000</v>
      </c>
      <c r="I5" s="9">
        <v>1356000</v>
      </c>
      <c r="J5" s="1"/>
    </row>
    <row r="6" spans="1:10">
      <c r="A6" s="5" t="s">
        <v>17</v>
      </c>
      <c r="B6" s="5" t="s">
        <v>18</v>
      </c>
      <c r="C6" s="5" t="s">
        <v>19</v>
      </c>
      <c r="D6" s="5" t="s">
        <v>20</v>
      </c>
      <c r="E6" s="6">
        <v>10</v>
      </c>
      <c r="F6" s="7">
        <v>1350000</v>
      </c>
      <c r="G6" s="8">
        <v>0.05</v>
      </c>
      <c r="H6" s="7">
        <v>202500</v>
      </c>
      <c r="I6" s="9">
        <v>1552500</v>
      </c>
      <c r="J6" s="1"/>
    </row>
    <row r="7" spans="1:10">
      <c r="A7" s="5" t="s">
        <v>21</v>
      </c>
      <c r="B7" s="5" t="s">
        <v>22</v>
      </c>
      <c r="C7" s="5" t="s">
        <v>23</v>
      </c>
      <c r="D7" s="5" t="s">
        <v>24</v>
      </c>
      <c r="E7" s="6">
        <v>30</v>
      </c>
      <c r="F7" s="7">
        <v>1450000</v>
      </c>
      <c r="G7" s="8">
        <v>0.1</v>
      </c>
      <c r="H7" s="7">
        <v>290000</v>
      </c>
      <c r="I7" s="9">
        <v>1740000</v>
      </c>
      <c r="J7" s="1"/>
    </row>
    <row r="8" spans="1:10">
      <c r="A8" s="5" t="s">
        <v>25</v>
      </c>
      <c r="B8" s="5" t="s">
        <v>14</v>
      </c>
      <c r="C8" s="5" t="s">
        <v>19</v>
      </c>
      <c r="D8" s="5" t="s">
        <v>20</v>
      </c>
      <c r="E8" s="6">
        <v>25</v>
      </c>
      <c r="F8" s="7">
        <v>1350000</v>
      </c>
      <c r="G8" s="8">
        <v>7.0000000000000007E-2</v>
      </c>
      <c r="H8" s="7">
        <v>229500</v>
      </c>
      <c r="I8" s="9">
        <v>1579500</v>
      </c>
      <c r="J8" s="1"/>
    </row>
    <row r="9" spans="1:10">
      <c r="A9" s="5" t="s">
        <v>26</v>
      </c>
      <c r="B9" s="5" t="s">
        <v>22</v>
      </c>
      <c r="C9" s="5" t="s">
        <v>19</v>
      </c>
      <c r="D9" s="5" t="s">
        <v>20</v>
      </c>
      <c r="E9" s="6">
        <v>20</v>
      </c>
      <c r="F9" s="7">
        <v>1350000</v>
      </c>
      <c r="G9" s="8">
        <v>7.0000000000000007E-2</v>
      </c>
      <c r="H9" s="7">
        <v>229500</v>
      </c>
      <c r="I9" s="9">
        <v>1579500</v>
      </c>
      <c r="J9" s="1"/>
    </row>
    <row r="10" spans="1:10">
      <c r="A10" s="5" t="s">
        <v>27</v>
      </c>
      <c r="B10" s="5" t="s">
        <v>22</v>
      </c>
      <c r="C10" s="5" t="s">
        <v>15</v>
      </c>
      <c r="D10" s="5" t="s">
        <v>16</v>
      </c>
      <c r="E10" s="6">
        <v>18</v>
      </c>
      <c r="F10" s="7">
        <v>1200000</v>
      </c>
      <c r="G10" s="8">
        <v>0.05</v>
      </c>
      <c r="H10" s="7">
        <v>180000</v>
      </c>
      <c r="I10" s="9">
        <v>1380000</v>
      </c>
      <c r="J10" s="1"/>
    </row>
    <row r="11" spans="1:10">
      <c r="A11" s="5" t="s">
        <v>28</v>
      </c>
      <c r="B11" s="5" t="s">
        <v>18</v>
      </c>
      <c r="C11" s="5" t="s">
        <v>23</v>
      </c>
      <c r="D11" s="5" t="s">
        <v>24</v>
      </c>
      <c r="E11" s="6">
        <v>28</v>
      </c>
      <c r="F11" s="7">
        <v>1450000</v>
      </c>
      <c r="G11" s="8">
        <v>7.0000000000000007E-2</v>
      </c>
      <c r="H11" s="7">
        <v>246500</v>
      </c>
      <c r="I11" s="9">
        <v>1696500</v>
      </c>
      <c r="J11" s="1"/>
    </row>
    <row r="12" spans="1:10">
      <c r="A12" s="5" t="s">
        <v>29</v>
      </c>
      <c r="B12" s="5" t="s">
        <v>14</v>
      </c>
      <c r="C12" s="5" t="s">
        <v>23</v>
      </c>
      <c r="D12" s="5" t="s">
        <v>24</v>
      </c>
      <c r="E12" s="6">
        <v>24</v>
      </c>
      <c r="F12" s="7">
        <v>1450000</v>
      </c>
      <c r="G12" s="8">
        <v>7.0000000000000007E-2</v>
      </c>
      <c r="H12" s="7">
        <v>246500</v>
      </c>
      <c r="I12" s="9">
        <v>1696500</v>
      </c>
      <c r="J12" s="1"/>
    </row>
    <row r="13" spans="1:10">
      <c r="A13" s="5" t="s">
        <v>30</v>
      </c>
      <c r="B13" s="5" t="s">
        <v>18</v>
      </c>
      <c r="C13" s="5" t="s">
        <v>15</v>
      </c>
      <c r="D13" s="5" t="s">
        <v>16</v>
      </c>
      <c r="E13" s="6">
        <v>15</v>
      </c>
      <c r="F13" s="7">
        <v>1200000</v>
      </c>
      <c r="G13" s="8">
        <v>0.05</v>
      </c>
      <c r="H13" s="7">
        <v>180000</v>
      </c>
      <c r="I13" s="9">
        <v>1380000</v>
      </c>
      <c r="J13" s="1"/>
    </row>
    <row r="14" spans="1:10">
      <c r="A14" s="5" t="s">
        <v>31</v>
      </c>
      <c r="B14" s="10"/>
      <c r="C14" s="10"/>
      <c r="D14" s="10"/>
      <c r="E14" s="10"/>
      <c r="F14" s="7">
        <v>12000000</v>
      </c>
      <c r="G14" s="11"/>
      <c r="H14" s="7">
        <v>1960500</v>
      </c>
      <c r="I14" s="9">
        <v>13960500</v>
      </c>
      <c r="J14" s="1"/>
    </row>
    <row r="15" spans="1:10">
      <c r="A15" s="12"/>
      <c r="B15" s="12"/>
      <c r="C15" s="12"/>
      <c r="D15" s="12"/>
      <c r="E15" s="12"/>
      <c r="F15" s="12"/>
      <c r="G15" s="12"/>
      <c r="H15" s="12"/>
      <c r="I15" s="12"/>
      <c r="J15" s="1"/>
    </row>
    <row r="16" spans="1:10">
      <c r="A16" s="6" t="s">
        <v>32</v>
      </c>
      <c r="B16" s="13">
        <v>0.1</v>
      </c>
      <c r="C16" s="12"/>
      <c r="D16" s="12"/>
      <c r="E16" s="12"/>
      <c r="F16" s="12"/>
      <c r="G16" s="12"/>
      <c r="H16" s="12"/>
      <c r="I16" s="12"/>
      <c r="J16" s="1"/>
    </row>
    <row r="17" spans="1:10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>
      <c r="A19" s="1" t="s">
        <v>33</v>
      </c>
      <c r="B19" s="1"/>
      <c r="C19" s="1"/>
      <c r="D19" s="1"/>
      <c r="E19" s="1"/>
      <c r="F19" s="1"/>
      <c r="G19" s="1"/>
      <c r="H19" s="1"/>
      <c r="I19" s="1"/>
      <c r="J19" s="1"/>
    </row>
    <row r="20" spans="1:10" ht="20.25">
      <c r="A20" s="69" t="s">
        <v>34</v>
      </c>
      <c r="B20" s="69"/>
      <c r="C20" s="69"/>
      <c r="D20" s="69"/>
      <c r="E20" s="69"/>
      <c r="F20" s="69"/>
      <c r="G20" s="69"/>
      <c r="H20" s="69"/>
      <c r="I20" s="69"/>
      <c r="J20" s="69"/>
    </row>
    <row r="21" spans="1:10">
      <c r="A21" s="14" t="s">
        <v>35</v>
      </c>
      <c r="B21" s="14" t="s">
        <v>36</v>
      </c>
      <c r="C21" s="14" t="s">
        <v>37</v>
      </c>
      <c r="D21" s="14" t="s">
        <v>38</v>
      </c>
      <c r="E21" s="15" t="s">
        <v>39</v>
      </c>
      <c r="F21" s="14" t="s">
        <v>40</v>
      </c>
      <c r="G21" s="14" t="s">
        <v>41</v>
      </c>
      <c r="H21" s="14" t="s">
        <v>42</v>
      </c>
      <c r="I21" s="14" t="s">
        <v>43</v>
      </c>
      <c r="J21" s="14" t="s">
        <v>44</v>
      </c>
    </row>
    <row r="22" spans="1:10">
      <c r="A22" s="16" t="s">
        <v>45</v>
      </c>
      <c r="B22" s="17">
        <v>86</v>
      </c>
      <c r="C22" s="17">
        <v>16</v>
      </c>
      <c r="D22" s="17">
        <v>41</v>
      </c>
      <c r="E22" s="16" t="s">
        <v>46</v>
      </c>
      <c r="F22" s="18">
        <v>8.6</v>
      </c>
      <c r="G22" s="18">
        <v>6.2</v>
      </c>
      <c r="H22" s="18">
        <v>8</v>
      </c>
      <c r="I22" s="18">
        <v>7.4</v>
      </c>
      <c r="J22" s="16">
        <v>6</v>
      </c>
    </row>
    <row r="23" spans="1:10">
      <c r="A23" s="16" t="s">
        <v>47</v>
      </c>
      <c r="B23" s="17">
        <v>85</v>
      </c>
      <c r="C23" s="17">
        <v>29</v>
      </c>
      <c r="D23" s="17">
        <v>49</v>
      </c>
      <c r="E23" s="16" t="s">
        <v>48</v>
      </c>
      <c r="F23" s="18">
        <v>8.5</v>
      </c>
      <c r="G23" s="18">
        <v>8.1999999999999993</v>
      </c>
      <c r="H23" s="18">
        <v>10</v>
      </c>
      <c r="I23" s="18">
        <v>8.98</v>
      </c>
      <c r="J23" s="16">
        <v>1</v>
      </c>
    </row>
    <row r="24" spans="1:10">
      <c r="A24" s="16" t="s">
        <v>49</v>
      </c>
      <c r="B24" s="17">
        <v>57</v>
      </c>
      <c r="C24" s="17">
        <v>24</v>
      </c>
      <c r="D24" s="17">
        <v>42</v>
      </c>
      <c r="E24" s="16" t="s">
        <v>50</v>
      </c>
      <c r="F24" s="18">
        <v>5.7</v>
      </c>
      <c r="G24" s="18">
        <v>6.96</v>
      </c>
      <c r="H24" s="18">
        <v>9</v>
      </c>
      <c r="I24" s="18">
        <v>7.5240000000000009</v>
      </c>
      <c r="J24" s="16">
        <v>5</v>
      </c>
    </row>
    <row r="25" spans="1:10">
      <c r="A25" s="16" t="s">
        <v>51</v>
      </c>
      <c r="B25" s="19">
        <v>37</v>
      </c>
      <c r="C25" s="17">
        <v>41</v>
      </c>
      <c r="D25" s="17">
        <v>29</v>
      </c>
      <c r="E25" s="16" t="s">
        <v>46</v>
      </c>
      <c r="F25" s="18">
        <v>3.7</v>
      </c>
      <c r="G25" s="18">
        <v>6.76</v>
      </c>
      <c r="H25" s="18">
        <v>8</v>
      </c>
      <c r="I25" s="18">
        <v>6.6440000000000001</v>
      </c>
      <c r="J25" s="16">
        <v>7</v>
      </c>
    </row>
    <row r="26" spans="1:10">
      <c r="A26" s="16" t="s">
        <v>52</v>
      </c>
      <c r="B26" s="17">
        <v>57</v>
      </c>
      <c r="C26" s="17">
        <v>45</v>
      </c>
      <c r="D26" s="17">
        <v>49</v>
      </c>
      <c r="E26" s="16" t="s">
        <v>48</v>
      </c>
      <c r="F26" s="18">
        <v>5.7</v>
      </c>
      <c r="G26" s="18">
        <v>9.48</v>
      </c>
      <c r="H26" s="18">
        <v>10</v>
      </c>
      <c r="I26" s="18">
        <v>8.9320000000000004</v>
      </c>
      <c r="J26" s="16">
        <v>2</v>
      </c>
    </row>
    <row r="27" spans="1:10">
      <c r="A27" s="16" t="s">
        <v>53</v>
      </c>
      <c r="B27" s="17">
        <v>41</v>
      </c>
      <c r="C27" s="17">
        <v>26</v>
      </c>
      <c r="D27" s="17">
        <v>31</v>
      </c>
      <c r="E27" s="16" t="s">
        <v>54</v>
      </c>
      <c r="F27" s="18">
        <v>4.0999999999999996</v>
      </c>
      <c r="G27" s="18">
        <v>5.8</v>
      </c>
      <c r="H27" s="18">
        <v>7</v>
      </c>
      <c r="I27" s="18">
        <v>5.94</v>
      </c>
      <c r="J27" s="16">
        <v>8</v>
      </c>
    </row>
    <row r="28" spans="1:10">
      <c r="A28" s="16" t="s">
        <v>55</v>
      </c>
      <c r="B28" s="17">
        <v>46</v>
      </c>
      <c r="C28" s="17">
        <v>47</v>
      </c>
      <c r="D28" s="17">
        <v>45</v>
      </c>
      <c r="E28" s="16" t="s">
        <v>50</v>
      </c>
      <c r="F28" s="18">
        <v>4.5999999999999996</v>
      </c>
      <c r="G28" s="18">
        <v>9.16</v>
      </c>
      <c r="H28" s="18">
        <v>9</v>
      </c>
      <c r="I28" s="18">
        <v>8.1839999999999993</v>
      </c>
      <c r="J28" s="16">
        <v>3</v>
      </c>
    </row>
    <row r="29" spans="1:10">
      <c r="A29" s="16" t="s">
        <v>56</v>
      </c>
      <c r="B29" s="17">
        <v>78</v>
      </c>
      <c r="C29" s="17">
        <v>35</v>
      </c>
      <c r="D29" s="17">
        <v>44</v>
      </c>
      <c r="E29" s="16" t="s">
        <v>46</v>
      </c>
      <c r="F29" s="18">
        <v>7.8</v>
      </c>
      <c r="G29" s="18">
        <v>8.08</v>
      </c>
      <c r="H29" s="18">
        <v>8</v>
      </c>
      <c r="I29" s="18">
        <v>7.992</v>
      </c>
      <c r="J29" s="16">
        <v>4</v>
      </c>
    </row>
    <row r="32" spans="1:10">
      <c r="A32" s="20" t="s">
        <v>57</v>
      </c>
      <c r="B32" t="s">
        <v>58</v>
      </c>
      <c r="C32" t="s">
        <v>59</v>
      </c>
    </row>
    <row r="33" spans="1:5">
      <c r="A33" t="b">
        <f>SUM(B22:D22)&gt;=150</f>
        <v>0</v>
      </c>
    </row>
    <row r="34" spans="1:5">
      <c r="B34" t="s">
        <v>60</v>
      </c>
      <c r="C34" t="s">
        <v>61</v>
      </c>
    </row>
    <row r="35" spans="1:5">
      <c r="B35" t="s">
        <v>62</v>
      </c>
      <c r="C35" t="s">
        <v>61</v>
      </c>
    </row>
    <row r="37" spans="1:5">
      <c r="A37" t="s">
        <v>63</v>
      </c>
      <c r="B37" t="s">
        <v>64</v>
      </c>
      <c r="C37" t="s">
        <v>65</v>
      </c>
      <c r="D37" t="s">
        <v>66</v>
      </c>
      <c r="E37" t="s">
        <v>67</v>
      </c>
    </row>
    <row r="38" spans="1:5">
      <c r="A38" s="16" t="s">
        <v>47</v>
      </c>
      <c r="B38" s="17">
        <v>85</v>
      </c>
      <c r="C38" s="17">
        <v>29</v>
      </c>
      <c r="D38" s="17">
        <v>49</v>
      </c>
      <c r="E38" s="16">
        <v>1</v>
      </c>
    </row>
    <row r="39" spans="1:5">
      <c r="A39" s="16" t="s">
        <v>49</v>
      </c>
      <c r="B39" s="17">
        <v>57</v>
      </c>
      <c r="C39" s="17">
        <v>24</v>
      </c>
      <c r="D39" s="17">
        <v>42</v>
      </c>
      <c r="E39" s="16">
        <v>5</v>
      </c>
    </row>
    <row r="40" spans="1:5">
      <c r="A40" s="16" t="s">
        <v>52</v>
      </c>
      <c r="B40" s="17">
        <v>57</v>
      </c>
      <c r="C40" s="17">
        <v>45</v>
      </c>
      <c r="D40" s="17">
        <v>49</v>
      </c>
      <c r="E40" s="16">
        <v>2</v>
      </c>
    </row>
    <row r="41" spans="1:5">
      <c r="A41" s="16" t="s">
        <v>55</v>
      </c>
      <c r="B41" s="17">
        <v>46</v>
      </c>
      <c r="C41" s="17">
        <v>47</v>
      </c>
      <c r="D41" s="17">
        <v>45</v>
      </c>
      <c r="E41" s="16">
        <v>3</v>
      </c>
    </row>
    <row r="42" spans="1:5">
      <c r="A42" s="16" t="s">
        <v>56</v>
      </c>
      <c r="B42" s="17">
        <v>78</v>
      </c>
      <c r="C42" s="17">
        <v>35</v>
      </c>
      <c r="D42" s="17">
        <v>44</v>
      </c>
      <c r="E42" s="16">
        <v>4</v>
      </c>
    </row>
  </sheetData>
  <mergeCells count="2">
    <mergeCell ref="B2:I2"/>
    <mergeCell ref="A20:J20"/>
  </mergeCells>
  <phoneticPr fontId="3" type="noConversion"/>
  <conditionalFormatting sqref="A5:I13">
    <cfRule type="expression" dxfId="1" priority="1">
      <formula>ISODD(ROW($A5))</formula>
    </cfRule>
  </conditionalFormatting>
  <printOptions horizontalCentered="1" verticalCentered="1" heading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H38"/>
  <sheetViews>
    <sheetView topLeftCell="A10" workbookViewId="0">
      <selection activeCell="M27" sqref="M27"/>
    </sheetView>
  </sheetViews>
  <sheetFormatPr defaultRowHeight="16.5"/>
  <cols>
    <col min="1" max="1" width="11.75" customWidth="1"/>
    <col min="2" max="2" width="11" bestFit="1" customWidth="1"/>
    <col min="3" max="3" width="17.25" bestFit="1" customWidth="1"/>
    <col min="4" max="4" width="11" bestFit="1" customWidth="1"/>
    <col min="8" max="8" width="12.75" customWidth="1"/>
  </cols>
  <sheetData>
    <row r="1" spans="1:8">
      <c r="A1" t="s">
        <v>250</v>
      </c>
    </row>
    <row r="2" spans="1:8">
      <c r="A2" s="61" t="s">
        <v>251</v>
      </c>
      <c r="B2" s="61" t="s">
        <v>252</v>
      </c>
      <c r="C2" s="61" t="s">
        <v>253</v>
      </c>
      <c r="D2" s="61" t="s">
        <v>254</v>
      </c>
      <c r="E2" s="61" t="s">
        <v>255</v>
      </c>
      <c r="F2" s="61" t="s">
        <v>256</v>
      </c>
      <c r="G2" s="61" t="s">
        <v>257</v>
      </c>
      <c r="H2" s="61" t="s">
        <v>258</v>
      </c>
    </row>
    <row r="3" spans="1:8">
      <c r="A3" s="62">
        <v>43374</v>
      </c>
      <c r="B3" s="63" t="s">
        <v>259</v>
      </c>
      <c r="C3" s="63" t="s">
        <v>260</v>
      </c>
      <c r="D3" s="63" t="s">
        <v>261</v>
      </c>
      <c r="E3" s="63" t="s">
        <v>262</v>
      </c>
      <c r="F3" s="63" t="s">
        <v>263</v>
      </c>
      <c r="G3" s="63">
        <v>150000</v>
      </c>
      <c r="H3" s="64">
        <v>43375</v>
      </c>
    </row>
    <row r="4" spans="1:8">
      <c r="A4" s="62">
        <v>43374</v>
      </c>
      <c r="B4" s="63" t="s">
        <v>264</v>
      </c>
      <c r="C4" s="63" t="s">
        <v>265</v>
      </c>
      <c r="D4" s="63" t="s">
        <v>266</v>
      </c>
      <c r="E4" s="63" t="s">
        <v>267</v>
      </c>
      <c r="F4" s="63" t="s">
        <v>268</v>
      </c>
      <c r="G4" s="63">
        <v>100000</v>
      </c>
      <c r="H4" s="64">
        <v>43375</v>
      </c>
    </row>
    <row r="5" spans="1:8">
      <c r="A5" s="62">
        <v>43374</v>
      </c>
      <c r="B5" s="63" t="s">
        <v>269</v>
      </c>
      <c r="C5" s="63" t="s">
        <v>270</v>
      </c>
      <c r="D5" s="63" t="s">
        <v>271</v>
      </c>
      <c r="E5" s="63" t="s">
        <v>272</v>
      </c>
      <c r="F5" s="63" t="s">
        <v>273</v>
      </c>
      <c r="G5" s="63">
        <v>50000</v>
      </c>
      <c r="H5" s="64">
        <v>43374</v>
      </c>
    </row>
    <row r="6" spans="1:8">
      <c r="A6" s="62">
        <v>43374</v>
      </c>
      <c r="B6" s="63" t="s">
        <v>274</v>
      </c>
      <c r="C6" s="63" t="s">
        <v>275</v>
      </c>
      <c r="D6" s="63" t="s">
        <v>276</v>
      </c>
      <c r="E6" s="63" t="s">
        <v>277</v>
      </c>
      <c r="F6" s="63" t="s">
        <v>268</v>
      </c>
      <c r="G6" s="63">
        <v>220000</v>
      </c>
      <c r="H6" s="64">
        <v>43375</v>
      </c>
    </row>
    <row r="7" spans="1:8">
      <c r="A7" s="62">
        <v>43375</v>
      </c>
      <c r="B7" s="63" t="s">
        <v>259</v>
      </c>
      <c r="C7" s="63" t="s">
        <v>260</v>
      </c>
      <c r="D7" s="63" t="s">
        <v>278</v>
      </c>
      <c r="E7" s="63" t="s">
        <v>272</v>
      </c>
      <c r="F7" s="63" t="s">
        <v>263</v>
      </c>
      <c r="G7" s="63">
        <v>80000</v>
      </c>
      <c r="H7" s="64">
        <v>43376</v>
      </c>
    </row>
    <row r="8" spans="1:8">
      <c r="A8" s="62">
        <v>43375</v>
      </c>
      <c r="B8" s="63" t="s">
        <v>279</v>
      </c>
      <c r="C8" s="63" t="s">
        <v>280</v>
      </c>
      <c r="D8" s="63" t="s">
        <v>281</v>
      </c>
      <c r="E8" s="63" t="s">
        <v>282</v>
      </c>
      <c r="F8" s="63" t="s">
        <v>268</v>
      </c>
      <c r="G8" s="63">
        <v>170000</v>
      </c>
      <c r="H8" s="64">
        <v>43375</v>
      </c>
    </row>
    <row r="9" spans="1:8">
      <c r="A9" s="62">
        <v>43375</v>
      </c>
      <c r="B9" s="63" t="s">
        <v>283</v>
      </c>
      <c r="C9" s="63" t="s">
        <v>284</v>
      </c>
      <c r="D9" s="63" t="s">
        <v>285</v>
      </c>
      <c r="E9" s="63" t="s">
        <v>286</v>
      </c>
      <c r="F9" s="63" t="s">
        <v>268</v>
      </c>
      <c r="G9" s="63">
        <v>120000</v>
      </c>
      <c r="H9" s="64">
        <v>43376</v>
      </c>
    </row>
    <row r="10" spans="1:8">
      <c r="A10" s="62">
        <v>43375</v>
      </c>
      <c r="B10" s="63" t="s">
        <v>287</v>
      </c>
      <c r="C10" s="63" t="s">
        <v>288</v>
      </c>
      <c r="D10" s="63" t="s">
        <v>285</v>
      </c>
      <c r="E10" s="63" t="s">
        <v>286</v>
      </c>
      <c r="F10" s="63" t="s">
        <v>268</v>
      </c>
      <c r="G10" s="63">
        <v>120000</v>
      </c>
      <c r="H10" s="64">
        <v>43376</v>
      </c>
    </row>
    <row r="11" spans="1:8">
      <c r="A11" s="62">
        <v>43376</v>
      </c>
      <c r="B11" s="63" t="s">
        <v>289</v>
      </c>
      <c r="C11" s="63" t="s">
        <v>290</v>
      </c>
      <c r="D11" s="63" t="s">
        <v>291</v>
      </c>
      <c r="E11" s="63" t="s">
        <v>292</v>
      </c>
      <c r="F11" s="63" t="s">
        <v>273</v>
      </c>
      <c r="G11" s="63">
        <v>80000</v>
      </c>
      <c r="H11" s="64">
        <v>43376</v>
      </c>
    </row>
    <row r="12" spans="1:8">
      <c r="A12" s="62">
        <v>43376</v>
      </c>
      <c r="B12" s="63" t="s">
        <v>264</v>
      </c>
      <c r="C12" s="63" t="s">
        <v>265</v>
      </c>
      <c r="D12" s="63" t="s">
        <v>293</v>
      </c>
      <c r="E12" s="63" t="s">
        <v>294</v>
      </c>
      <c r="F12" s="63" t="s">
        <v>263</v>
      </c>
      <c r="G12" s="63">
        <v>190000</v>
      </c>
      <c r="H12" s="64">
        <v>43377</v>
      </c>
    </row>
    <row r="13" spans="1:8">
      <c r="A13" s="62">
        <v>43376</v>
      </c>
      <c r="B13" s="63" t="s">
        <v>279</v>
      </c>
      <c r="C13" s="63" t="s">
        <v>280</v>
      </c>
      <c r="D13" s="63" t="s">
        <v>295</v>
      </c>
      <c r="E13" s="63" t="s">
        <v>272</v>
      </c>
      <c r="F13" s="63" t="s">
        <v>268</v>
      </c>
      <c r="G13" s="63">
        <v>90000</v>
      </c>
      <c r="H13" s="64">
        <v>43376</v>
      </c>
    </row>
    <row r="14" spans="1:8">
      <c r="A14" s="62">
        <v>43376</v>
      </c>
      <c r="B14" s="63" t="s">
        <v>296</v>
      </c>
      <c r="C14" s="63" t="s">
        <v>297</v>
      </c>
      <c r="D14" s="63" t="s">
        <v>298</v>
      </c>
      <c r="E14" s="63" t="s">
        <v>299</v>
      </c>
      <c r="F14" s="63" t="s">
        <v>273</v>
      </c>
      <c r="G14" s="63">
        <v>170000</v>
      </c>
      <c r="H14" s="64">
        <v>43376</v>
      </c>
    </row>
    <row r="15" spans="1:8">
      <c r="A15" s="62">
        <v>43376</v>
      </c>
      <c r="B15" s="63" t="s">
        <v>287</v>
      </c>
      <c r="C15" s="63" t="s">
        <v>288</v>
      </c>
      <c r="D15" s="63" t="s">
        <v>300</v>
      </c>
      <c r="E15" s="63" t="s">
        <v>294</v>
      </c>
      <c r="F15" s="63" t="s">
        <v>273</v>
      </c>
      <c r="G15" s="63">
        <v>170000</v>
      </c>
      <c r="H15" s="64">
        <v>43376</v>
      </c>
    </row>
    <row r="16" spans="1:8">
      <c r="A16" s="62">
        <v>43377</v>
      </c>
      <c r="B16" s="63" t="s">
        <v>264</v>
      </c>
      <c r="C16" s="63" t="s">
        <v>265</v>
      </c>
      <c r="D16" s="63" t="s">
        <v>281</v>
      </c>
      <c r="E16" s="63" t="s">
        <v>282</v>
      </c>
      <c r="F16" s="63" t="s">
        <v>268</v>
      </c>
      <c r="G16" s="63">
        <v>170000</v>
      </c>
      <c r="H16" s="64">
        <v>43378</v>
      </c>
    </row>
    <row r="17" spans="1:8">
      <c r="A17" s="62">
        <v>43377</v>
      </c>
      <c r="B17" s="63" t="s">
        <v>269</v>
      </c>
      <c r="C17" s="63" t="s">
        <v>270</v>
      </c>
      <c r="D17" s="63" t="s">
        <v>281</v>
      </c>
      <c r="E17" s="63" t="s">
        <v>282</v>
      </c>
      <c r="F17" s="63" t="s">
        <v>268</v>
      </c>
      <c r="G17" s="63">
        <v>170000</v>
      </c>
      <c r="H17" s="64">
        <v>43378</v>
      </c>
    </row>
    <row r="18" spans="1:8">
      <c r="A18" s="62">
        <v>43378</v>
      </c>
      <c r="B18" s="63" t="s">
        <v>287</v>
      </c>
      <c r="C18" s="63" t="s">
        <v>288</v>
      </c>
      <c r="D18" s="63" t="s">
        <v>266</v>
      </c>
      <c r="E18" s="63" t="s">
        <v>267</v>
      </c>
      <c r="F18" s="63" t="s">
        <v>268</v>
      </c>
      <c r="G18" s="63">
        <v>100000</v>
      </c>
      <c r="H18" s="64">
        <v>43379</v>
      </c>
    </row>
    <row r="19" spans="1:8">
      <c r="A19" s="62">
        <v>43379</v>
      </c>
      <c r="B19" s="63" t="s">
        <v>279</v>
      </c>
      <c r="C19" s="63" t="s">
        <v>280</v>
      </c>
      <c r="D19" s="63" t="s">
        <v>301</v>
      </c>
      <c r="E19" s="63" t="s">
        <v>302</v>
      </c>
      <c r="F19" s="63" t="s">
        <v>273</v>
      </c>
      <c r="G19" s="63">
        <v>55000</v>
      </c>
      <c r="H19" s="64">
        <v>43380</v>
      </c>
    </row>
    <row r="20" spans="1:8">
      <c r="A20" s="65"/>
      <c r="H20" s="66"/>
    </row>
    <row r="21" spans="1:8">
      <c r="A21" s="65" t="s">
        <v>303</v>
      </c>
      <c r="H21" s="67"/>
    </row>
    <row r="22" spans="1:8">
      <c r="A22" s="61" t="s">
        <v>251</v>
      </c>
      <c r="B22" s="61" t="s">
        <v>252</v>
      </c>
      <c r="C22" s="61" t="s">
        <v>304</v>
      </c>
      <c r="D22" s="61" t="s">
        <v>254</v>
      </c>
      <c r="E22" s="61" t="s">
        <v>255</v>
      </c>
      <c r="F22" s="61" t="s">
        <v>256</v>
      </c>
      <c r="G22" s="61" t="s">
        <v>257</v>
      </c>
      <c r="H22" s="61" t="s">
        <v>258</v>
      </c>
    </row>
    <row r="23" spans="1:8">
      <c r="A23" s="62">
        <v>43376</v>
      </c>
      <c r="B23" s="63" t="s">
        <v>305</v>
      </c>
      <c r="C23" s="63" t="s">
        <v>306</v>
      </c>
      <c r="D23" s="63" t="s">
        <v>293</v>
      </c>
      <c r="E23" s="63" t="s">
        <v>294</v>
      </c>
      <c r="F23" s="63" t="s">
        <v>263</v>
      </c>
      <c r="G23" s="63">
        <v>190000</v>
      </c>
      <c r="H23" s="64">
        <v>43377</v>
      </c>
    </row>
    <row r="24" spans="1:8">
      <c r="A24" s="62">
        <v>43379</v>
      </c>
      <c r="B24" s="63" t="s">
        <v>305</v>
      </c>
      <c r="C24" s="63" t="s">
        <v>306</v>
      </c>
      <c r="D24" s="63" t="s">
        <v>307</v>
      </c>
      <c r="E24" s="63" t="s">
        <v>308</v>
      </c>
      <c r="F24" s="63" t="s">
        <v>263</v>
      </c>
      <c r="G24" s="63">
        <v>60000</v>
      </c>
      <c r="H24" s="64">
        <v>43380</v>
      </c>
    </row>
    <row r="25" spans="1:8">
      <c r="A25" s="62">
        <v>43374</v>
      </c>
      <c r="B25" s="63" t="s">
        <v>309</v>
      </c>
      <c r="C25" s="63" t="s">
        <v>310</v>
      </c>
      <c r="D25" s="63" t="s">
        <v>311</v>
      </c>
      <c r="E25" s="63" t="s">
        <v>302</v>
      </c>
      <c r="F25" s="63" t="s">
        <v>263</v>
      </c>
      <c r="G25" s="63">
        <v>85000</v>
      </c>
      <c r="H25" s="64">
        <v>43375</v>
      </c>
    </row>
    <row r="26" spans="1:8">
      <c r="A26" s="62">
        <v>43374</v>
      </c>
      <c r="B26" s="63" t="s">
        <v>309</v>
      </c>
      <c r="C26" s="63" t="s">
        <v>310</v>
      </c>
      <c r="D26" s="63" t="s">
        <v>312</v>
      </c>
      <c r="E26" s="63" t="s">
        <v>286</v>
      </c>
      <c r="F26" s="63" t="s">
        <v>273</v>
      </c>
      <c r="G26" s="63">
        <v>70000</v>
      </c>
      <c r="H26" s="64">
        <v>43374</v>
      </c>
    </row>
    <row r="27" spans="1:8">
      <c r="A27" s="62">
        <v>43376</v>
      </c>
      <c r="B27" s="63" t="s">
        <v>309</v>
      </c>
      <c r="C27" s="63" t="s">
        <v>310</v>
      </c>
      <c r="D27" s="63" t="s">
        <v>313</v>
      </c>
      <c r="E27" s="63" t="s">
        <v>277</v>
      </c>
      <c r="F27" s="63" t="s">
        <v>273</v>
      </c>
      <c r="G27" s="63">
        <v>170007</v>
      </c>
      <c r="H27" s="64">
        <v>43377</v>
      </c>
    </row>
    <row r="28" spans="1:8">
      <c r="A28" s="62">
        <v>43378</v>
      </c>
      <c r="B28" s="63" t="s">
        <v>314</v>
      </c>
      <c r="C28" s="63" t="s">
        <v>315</v>
      </c>
      <c r="D28" s="63" t="s">
        <v>316</v>
      </c>
      <c r="E28" s="63" t="s">
        <v>317</v>
      </c>
      <c r="F28" s="63" t="s">
        <v>263</v>
      </c>
      <c r="G28" s="63">
        <v>190000</v>
      </c>
      <c r="H28" s="64">
        <v>43379</v>
      </c>
    </row>
    <row r="29" spans="1:8">
      <c r="A29" s="62">
        <v>43374</v>
      </c>
      <c r="B29" s="63" t="s">
        <v>318</v>
      </c>
      <c r="C29" s="63" t="s">
        <v>319</v>
      </c>
      <c r="D29" s="63" t="s">
        <v>320</v>
      </c>
      <c r="E29" s="63" t="s">
        <v>308</v>
      </c>
      <c r="F29" s="63" t="s">
        <v>273</v>
      </c>
      <c r="G29" s="63">
        <v>35000</v>
      </c>
      <c r="H29" s="64">
        <v>43375</v>
      </c>
    </row>
    <row r="30" spans="1:8">
      <c r="A30" s="62">
        <v>43375</v>
      </c>
      <c r="B30" s="63" t="s">
        <v>321</v>
      </c>
      <c r="C30" s="63" t="s">
        <v>322</v>
      </c>
      <c r="D30" s="63" t="s">
        <v>323</v>
      </c>
      <c r="E30" s="63" t="s">
        <v>294</v>
      </c>
      <c r="F30" s="63" t="s">
        <v>268</v>
      </c>
      <c r="G30" s="63">
        <v>220000</v>
      </c>
      <c r="H30" s="64">
        <v>43375</v>
      </c>
    </row>
    <row r="31" spans="1:8">
      <c r="A31" s="62">
        <v>43378</v>
      </c>
      <c r="B31" s="63" t="s">
        <v>324</v>
      </c>
      <c r="C31" s="63" t="s">
        <v>325</v>
      </c>
      <c r="D31" s="63" t="s">
        <v>326</v>
      </c>
      <c r="E31" s="63" t="s">
        <v>292</v>
      </c>
      <c r="F31" s="63" t="s">
        <v>263</v>
      </c>
      <c r="G31" s="63">
        <v>100000</v>
      </c>
      <c r="H31" s="64">
        <v>43379</v>
      </c>
    </row>
    <row r="32" spans="1:8">
      <c r="A32" s="62">
        <v>43377</v>
      </c>
      <c r="B32" s="63" t="s">
        <v>327</v>
      </c>
      <c r="C32" s="63" t="s">
        <v>328</v>
      </c>
      <c r="D32" s="63" t="s">
        <v>329</v>
      </c>
      <c r="E32" s="63" t="s">
        <v>330</v>
      </c>
      <c r="F32" s="63" t="s">
        <v>273</v>
      </c>
      <c r="G32" s="63">
        <v>120000</v>
      </c>
      <c r="H32" s="64">
        <v>43378</v>
      </c>
    </row>
    <row r="33" spans="1:8">
      <c r="A33" s="62">
        <v>43376</v>
      </c>
      <c r="B33" s="63" t="s">
        <v>331</v>
      </c>
      <c r="C33" s="63" t="s">
        <v>332</v>
      </c>
      <c r="D33" s="63" t="s">
        <v>312</v>
      </c>
      <c r="E33" s="63" t="s">
        <v>286</v>
      </c>
      <c r="F33" s="63" t="s">
        <v>273</v>
      </c>
      <c r="G33" s="63">
        <v>70000</v>
      </c>
      <c r="H33" s="64">
        <v>43377</v>
      </c>
    </row>
    <row r="34" spans="1:8">
      <c r="A34" s="62">
        <v>43376</v>
      </c>
      <c r="B34" s="63" t="s">
        <v>333</v>
      </c>
      <c r="C34" s="63" t="s">
        <v>334</v>
      </c>
      <c r="D34" s="63" t="s">
        <v>261</v>
      </c>
      <c r="E34" s="63" t="s">
        <v>262</v>
      </c>
      <c r="F34" s="63" t="s">
        <v>263</v>
      </c>
      <c r="G34" s="63">
        <v>150000</v>
      </c>
      <c r="H34" s="64">
        <v>43377</v>
      </c>
    </row>
    <row r="35" spans="1:8">
      <c r="A35" s="62">
        <v>43378</v>
      </c>
      <c r="B35" s="63" t="s">
        <v>333</v>
      </c>
      <c r="C35" s="63" t="s">
        <v>334</v>
      </c>
      <c r="D35" s="63" t="s">
        <v>335</v>
      </c>
      <c r="E35" s="63" t="s">
        <v>336</v>
      </c>
      <c r="F35" s="63" t="s">
        <v>268</v>
      </c>
      <c r="G35" s="63">
        <v>200000</v>
      </c>
      <c r="H35" s="64">
        <v>43379</v>
      </c>
    </row>
    <row r="36" spans="1:8">
      <c r="A36" s="62">
        <v>43375</v>
      </c>
      <c r="B36" s="63" t="s">
        <v>337</v>
      </c>
      <c r="C36" s="63" t="s">
        <v>338</v>
      </c>
      <c r="D36" s="63" t="s">
        <v>298</v>
      </c>
      <c r="E36" s="63" t="s">
        <v>299</v>
      </c>
      <c r="F36" s="63" t="s">
        <v>273</v>
      </c>
      <c r="G36" s="63">
        <v>170000</v>
      </c>
      <c r="H36" s="64">
        <v>43376</v>
      </c>
    </row>
    <row r="37" spans="1:8">
      <c r="A37" s="62">
        <v>43377</v>
      </c>
      <c r="B37" s="63" t="s">
        <v>339</v>
      </c>
      <c r="C37" s="63" t="s">
        <v>340</v>
      </c>
      <c r="D37" s="63" t="s">
        <v>341</v>
      </c>
      <c r="E37" s="63" t="s">
        <v>282</v>
      </c>
      <c r="F37" s="63" t="s">
        <v>263</v>
      </c>
      <c r="G37" s="63">
        <v>140000</v>
      </c>
      <c r="H37" s="64">
        <v>43378</v>
      </c>
    </row>
    <row r="38" spans="1:8">
      <c r="A38" s="62">
        <v>43379</v>
      </c>
      <c r="B38" s="63" t="s">
        <v>339</v>
      </c>
      <c r="C38" s="63" t="s">
        <v>340</v>
      </c>
      <c r="D38" s="63" t="s">
        <v>342</v>
      </c>
      <c r="E38" s="63" t="s">
        <v>317</v>
      </c>
      <c r="F38" s="63" t="s">
        <v>273</v>
      </c>
      <c r="G38" s="63">
        <v>170000</v>
      </c>
      <c r="H38" s="64">
        <v>43379</v>
      </c>
    </row>
  </sheetData>
  <phoneticPr fontId="3" type="noConversion"/>
  <printOptions headings="1"/>
  <pageMargins left="0.70866141732283472" right="0.70866141732283472" top="0.74803149606299213" bottom="0.74803149606299213" header="0.31496062992125984" footer="0.31496062992125984"/>
  <pageSetup paperSize="9" scale="85" orientation="portrait" verticalDpi="0" r:id="rId1"/>
  <headerFooter>
    <oddFooter>&amp;C&amp;P/&amp;N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5"/>
  <sheetViews>
    <sheetView workbookViewId="0"/>
  </sheetViews>
  <sheetFormatPr defaultRowHeight="16.5"/>
  <cols>
    <col min="1" max="1" width="11" style="1" bestFit="1" customWidth="1"/>
    <col min="2" max="2" width="13" style="1" customWidth="1"/>
    <col min="3" max="3" width="13.125" style="1" customWidth="1"/>
    <col min="4" max="4" width="18" style="1" customWidth="1"/>
    <col min="5" max="5" width="12" style="1" customWidth="1"/>
    <col min="6" max="6" width="12.75" style="1" customWidth="1"/>
    <col min="7" max="8" width="13" style="1" bestFit="1" customWidth="1"/>
    <col min="9" max="9" width="14.25" style="1" bestFit="1" customWidth="1"/>
    <col min="10" max="16384" width="9" style="1"/>
  </cols>
  <sheetData>
    <row r="1" spans="1:9">
      <c r="A1" s="1" t="s">
        <v>68</v>
      </c>
    </row>
    <row r="2" spans="1:9">
      <c r="A2" s="16" t="s">
        <v>69</v>
      </c>
      <c r="B2" s="21" t="s">
        <v>70</v>
      </c>
      <c r="C2" s="21" t="s">
        <v>71</v>
      </c>
    </row>
    <row r="3" spans="1:9">
      <c r="A3" s="16" t="s">
        <v>72</v>
      </c>
      <c r="B3" s="17">
        <f t="array" ref="B3">MAXA(IF($B$8:$B$17=A3,$D$8:$D$17))</f>
        <v>500</v>
      </c>
      <c r="C3" s="22">
        <f>ROUNDUP(AVERAGEIFS($G$8:$G$17,$B$8:$B$17,A3,$G$8:$G$17,"&gt;=1000000"),-3)</f>
        <v>5097000</v>
      </c>
    </row>
    <row r="4" spans="1:9">
      <c r="A4" s="16" t="s">
        <v>73</v>
      </c>
      <c r="B4" s="17">
        <f t="array" ref="B4">MAXA(IF($B$8:$B$17=A4,$D$8:$D$17))</f>
        <v>295</v>
      </c>
      <c r="C4" s="22">
        <f>ROUNDUP(AVERAGEIFS($G$8:$G$17,$B$8:$B$17,A4,$G$8:$G$17,"&gt;=1000000"),-3)</f>
        <v>3209000</v>
      </c>
    </row>
    <row r="6" spans="1:9">
      <c r="A6" s="1" t="s">
        <v>74</v>
      </c>
    </row>
    <row r="7" spans="1:9">
      <c r="A7" s="23" t="s">
        <v>75</v>
      </c>
      <c r="B7" s="16" t="s">
        <v>76</v>
      </c>
      <c r="C7" s="23" t="s">
        <v>77</v>
      </c>
      <c r="D7" s="24" t="s">
        <v>70</v>
      </c>
      <c r="E7" s="23" t="s">
        <v>78</v>
      </c>
      <c r="F7" s="24" t="s">
        <v>79</v>
      </c>
      <c r="G7" s="23" t="s">
        <v>71</v>
      </c>
      <c r="H7" s="23" t="s">
        <v>80</v>
      </c>
      <c r="I7" s="25" t="s">
        <v>81</v>
      </c>
    </row>
    <row r="8" spans="1:9">
      <c r="A8" s="16" t="s">
        <v>82</v>
      </c>
      <c r="B8" s="16" t="s">
        <v>72</v>
      </c>
      <c r="C8" s="26">
        <v>18500</v>
      </c>
      <c r="D8" s="26">
        <v>30</v>
      </c>
      <c r="E8" s="26">
        <v>555000</v>
      </c>
      <c r="F8" s="26">
        <v>1387.5</v>
      </c>
      <c r="G8" s="26">
        <v>750000</v>
      </c>
      <c r="H8" s="26">
        <v>195000</v>
      </c>
      <c r="I8" s="27">
        <f>수익률(E8,F8,G8)</f>
        <v>0.34798139785670967</v>
      </c>
    </row>
    <row r="9" spans="1:9">
      <c r="A9" s="16" t="s">
        <v>83</v>
      </c>
      <c r="B9" s="16" t="s">
        <v>73</v>
      </c>
      <c r="C9" s="26">
        <v>8700</v>
      </c>
      <c r="D9" s="26">
        <v>295</v>
      </c>
      <c r="E9" s="26">
        <v>2566500</v>
      </c>
      <c r="F9" s="26">
        <v>6416.25</v>
      </c>
      <c r="G9" s="26">
        <v>2256750</v>
      </c>
      <c r="H9" s="26">
        <v>-309750</v>
      </c>
      <c r="I9" s="27">
        <f t="shared" ref="I9:I17" si="0">수익률(E9,F9,G9)</f>
        <v>-0.12288244904978929</v>
      </c>
    </row>
    <row r="10" spans="1:9">
      <c r="A10" s="16" t="s">
        <v>84</v>
      </c>
      <c r="B10" s="16" t="s">
        <v>85</v>
      </c>
      <c r="C10" s="26">
        <v>9900</v>
      </c>
      <c r="D10" s="26">
        <v>10</v>
      </c>
      <c r="E10" s="26">
        <v>99000</v>
      </c>
      <c r="F10" s="26">
        <v>247.5</v>
      </c>
      <c r="G10" s="26">
        <v>77000</v>
      </c>
      <c r="H10" s="26">
        <v>-22000</v>
      </c>
      <c r="I10" s="27">
        <f t="shared" si="0"/>
        <v>-0.22416181767802712</v>
      </c>
    </row>
    <row r="11" spans="1:9">
      <c r="A11" s="16" t="s">
        <v>86</v>
      </c>
      <c r="B11" s="16" t="s">
        <v>85</v>
      </c>
      <c r="C11" s="26">
        <v>23000</v>
      </c>
      <c r="D11" s="26">
        <v>500</v>
      </c>
      <c r="E11" s="26">
        <v>11500000</v>
      </c>
      <c r="F11" s="26">
        <v>28750</v>
      </c>
      <c r="G11" s="26">
        <v>12500000</v>
      </c>
      <c r="H11" s="26">
        <v>1000000</v>
      </c>
      <c r="I11" s="27">
        <f t="shared" si="0"/>
        <v>8.4245906971701201E-2</v>
      </c>
    </row>
    <row r="12" spans="1:9">
      <c r="A12" s="16" t="s">
        <v>87</v>
      </c>
      <c r="B12" s="16" t="s">
        <v>88</v>
      </c>
      <c r="C12" s="26">
        <v>125000</v>
      </c>
      <c r="D12" s="26">
        <v>30</v>
      </c>
      <c r="E12" s="26">
        <v>3750000</v>
      </c>
      <c r="F12" s="26">
        <v>9375</v>
      </c>
      <c r="G12" s="26">
        <v>2670000</v>
      </c>
      <c r="H12" s="26">
        <v>-1080000</v>
      </c>
      <c r="I12" s="27">
        <f t="shared" si="0"/>
        <v>-0.28977556109725688</v>
      </c>
    </row>
    <row r="13" spans="1:9">
      <c r="A13" s="16" t="s">
        <v>89</v>
      </c>
      <c r="B13" s="16" t="s">
        <v>85</v>
      </c>
      <c r="C13" s="26">
        <v>6600</v>
      </c>
      <c r="D13" s="26">
        <v>120</v>
      </c>
      <c r="E13" s="26">
        <v>792000</v>
      </c>
      <c r="F13" s="26">
        <v>1980</v>
      </c>
      <c r="G13" s="26">
        <v>1440000</v>
      </c>
      <c r="H13" s="26">
        <v>648000</v>
      </c>
      <c r="I13" s="27">
        <f t="shared" si="0"/>
        <v>0.81364769893448208</v>
      </c>
    </row>
    <row r="14" spans="1:9">
      <c r="A14" s="16" t="s">
        <v>90</v>
      </c>
      <c r="B14" s="16" t="s">
        <v>88</v>
      </c>
      <c r="C14" s="26">
        <v>11000</v>
      </c>
      <c r="D14" s="26">
        <v>50</v>
      </c>
      <c r="E14" s="26">
        <v>550000</v>
      </c>
      <c r="F14" s="26">
        <v>1375</v>
      </c>
      <c r="G14" s="26">
        <v>675000</v>
      </c>
      <c r="H14" s="26">
        <v>125000</v>
      </c>
      <c r="I14" s="27">
        <f t="shared" si="0"/>
        <v>0.22421219678077531</v>
      </c>
    </row>
    <row r="15" spans="1:9">
      <c r="A15" s="16" t="s">
        <v>91</v>
      </c>
      <c r="B15" s="16" t="s">
        <v>88</v>
      </c>
      <c r="C15" s="26">
        <v>20000</v>
      </c>
      <c r="D15" s="26">
        <v>200</v>
      </c>
      <c r="E15" s="26">
        <v>4000000</v>
      </c>
      <c r="F15" s="26">
        <v>10000</v>
      </c>
      <c r="G15" s="26">
        <v>4700000</v>
      </c>
      <c r="H15" s="26">
        <v>700000</v>
      </c>
      <c r="I15" s="27">
        <f t="shared" si="0"/>
        <v>0.17206982543640903</v>
      </c>
    </row>
    <row r="16" spans="1:9">
      <c r="A16" s="16" t="s">
        <v>92</v>
      </c>
      <c r="B16" s="16" t="s">
        <v>85</v>
      </c>
      <c r="C16" s="26">
        <v>25500</v>
      </c>
      <c r="D16" s="26">
        <v>50</v>
      </c>
      <c r="E16" s="26">
        <v>1275000</v>
      </c>
      <c r="F16" s="26">
        <v>3187.5</v>
      </c>
      <c r="G16" s="26">
        <v>1350000</v>
      </c>
      <c r="H16" s="26">
        <v>75000</v>
      </c>
      <c r="I16" s="27">
        <f t="shared" si="0"/>
        <v>5.6183071732433643E-2</v>
      </c>
    </row>
    <row r="17" spans="1:10">
      <c r="A17" s="16" t="s">
        <v>93</v>
      </c>
      <c r="B17" s="16" t="s">
        <v>85</v>
      </c>
      <c r="C17" s="26">
        <v>7200</v>
      </c>
      <c r="D17" s="26">
        <v>20</v>
      </c>
      <c r="E17" s="26">
        <v>144000</v>
      </c>
      <c r="F17" s="26">
        <v>360</v>
      </c>
      <c r="G17" s="26">
        <v>126000</v>
      </c>
      <c r="H17" s="26">
        <v>-18000</v>
      </c>
      <c r="I17" s="27">
        <f t="shared" si="0"/>
        <v>-0.12718204488778051</v>
      </c>
    </row>
    <row r="20" spans="1:10">
      <c r="A20" s="28" t="s">
        <v>94</v>
      </c>
      <c r="B20" s="29"/>
      <c r="C20" s="29"/>
      <c r="D20" s="30" t="s">
        <v>95</v>
      </c>
    </row>
    <row r="21" spans="1:10">
      <c r="A21" s="31" t="s">
        <v>96</v>
      </c>
      <c r="B21" s="31" t="s">
        <v>97</v>
      </c>
      <c r="C21" s="31" t="s">
        <v>98</v>
      </c>
      <c r="D21" s="31" t="s">
        <v>99</v>
      </c>
      <c r="E21" s="31" t="s">
        <v>100</v>
      </c>
      <c r="F21" s="25" t="s">
        <v>101</v>
      </c>
    </row>
    <row r="22" spans="1:10">
      <c r="A22" s="31" t="s">
        <v>102</v>
      </c>
      <c r="B22" s="32">
        <v>350</v>
      </c>
      <c r="C22" s="32">
        <v>320</v>
      </c>
      <c r="D22" s="32">
        <v>30</v>
      </c>
      <c r="E22" s="17">
        <f t="shared" ref="E22:E29" si="1">RANK(C22,$C$22:$C$29)</f>
        <v>3</v>
      </c>
      <c r="F22" s="17" t="str">
        <f>IF(AND(C22&gt;AVERAGE($C$22:$C$29),ISBLANK(D22)),"우수지점","일반")</f>
        <v>일반</v>
      </c>
      <c r="H22" s="21" t="s">
        <v>103</v>
      </c>
    </row>
    <row r="23" spans="1:10">
      <c r="A23" s="31" t="s">
        <v>104</v>
      </c>
      <c r="B23" s="32">
        <v>400</v>
      </c>
      <c r="C23" s="32">
        <v>380</v>
      </c>
      <c r="D23" s="32"/>
      <c r="E23" s="17">
        <f t="shared" si="1"/>
        <v>2</v>
      </c>
      <c r="F23" s="17" t="str">
        <f t="shared" ref="F23:F29" si="2">IF(AND(C23&gt;AVERAGE($C$22:$C$29),ISBLANK(D23)),"우수지점","일반")</f>
        <v>우수지점</v>
      </c>
      <c r="H23" s="33">
        <f>SUMIF(D22:D29,"",C22:C29)/COUNTIF(D22:D29,"")</f>
        <v>280</v>
      </c>
    </row>
    <row r="24" spans="1:10">
      <c r="A24" s="31" t="s">
        <v>105</v>
      </c>
      <c r="B24" s="32">
        <v>450</v>
      </c>
      <c r="C24" s="32">
        <v>420</v>
      </c>
      <c r="D24" s="32">
        <v>30</v>
      </c>
      <c r="E24" s="17">
        <f t="shared" si="1"/>
        <v>1</v>
      </c>
      <c r="F24" s="17" t="str">
        <f t="shared" si="2"/>
        <v>일반</v>
      </c>
    </row>
    <row r="25" spans="1:10">
      <c r="A25" s="31" t="s">
        <v>106</v>
      </c>
      <c r="B25" s="32">
        <v>300</v>
      </c>
      <c r="C25" s="32">
        <v>290</v>
      </c>
      <c r="D25" s="32">
        <v>10</v>
      </c>
      <c r="E25" s="17">
        <f t="shared" si="1"/>
        <v>4</v>
      </c>
      <c r="F25" s="17" t="str">
        <f t="shared" si="2"/>
        <v>일반</v>
      </c>
    </row>
    <row r="26" spans="1:10">
      <c r="A26" s="31" t="s">
        <v>107</v>
      </c>
      <c r="B26" s="32">
        <v>200</v>
      </c>
      <c r="C26" s="32">
        <v>175</v>
      </c>
      <c r="D26" s="32">
        <v>25</v>
      </c>
      <c r="E26" s="17">
        <f t="shared" si="1"/>
        <v>8</v>
      </c>
      <c r="F26" s="17" t="str">
        <f t="shared" si="2"/>
        <v>일반</v>
      </c>
      <c r="H26" s="1" t="s">
        <v>108</v>
      </c>
    </row>
    <row r="27" spans="1:10">
      <c r="A27" s="31" t="s">
        <v>109</v>
      </c>
      <c r="B27" s="32">
        <v>250</v>
      </c>
      <c r="C27" s="32">
        <v>230</v>
      </c>
      <c r="D27" s="32"/>
      <c r="E27" s="17">
        <f t="shared" si="1"/>
        <v>5</v>
      </c>
      <c r="F27" s="17" t="str">
        <f t="shared" si="2"/>
        <v>일반</v>
      </c>
      <c r="H27" s="21" t="s">
        <v>96</v>
      </c>
      <c r="I27" s="16" t="str">
        <f>DGET(A21:F29,1,J27:J28)</f>
        <v>대구</v>
      </c>
      <c r="J27" s="1" t="s">
        <v>110</v>
      </c>
    </row>
    <row r="28" spans="1:10">
      <c r="A28" s="31" t="s">
        <v>111</v>
      </c>
      <c r="B28" s="32">
        <v>250</v>
      </c>
      <c r="C28" s="32">
        <v>220</v>
      </c>
      <c r="D28" s="32">
        <v>30</v>
      </c>
      <c r="E28" s="17">
        <f t="shared" si="1"/>
        <v>7</v>
      </c>
      <c r="F28" s="17" t="str">
        <f t="shared" si="2"/>
        <v>일반</v>
      </c>
      <c r="H28" s="21" t="s">
        <v>98</v>
      </c>
      <c r="I28" s="16">
        <f>DGET(A21:F29,3,J27:J28)</f>
        <v>420</v>
      </c>
      <c r="J28" s="28">
        <v>1</v>
      </c>
    </row>
    <row r="29" spans="1:10">
      <c r="A29" s="31" t="s">
        <v>112</v>
      </c>
      <c r="B29" s="32">
        <v>250</v>
      </c>
      <c r="C29" s="32">
        <v>230</v>
      </c>
      <c r="D29" s="32"/>
      <c r="E29" s="17">
        <f t="shared" si="1"/>
        <v>5</v>
      </c>
      <c r="F29" s="17" t="str">
        <f t="shared" si="2"/>
        <v>일반</v>
      </c>
      <c r="H29" s="21" t="s">
        <v>99</v>
      </c>
      <c r="I29" s="16">
        <f>DGET(A21:F29,4,J27:J28)</f>
        <v>30</v>
      </c>
    </row>
    <row r="30" spans="1:10">
      <c r="A30" s="28"/>
      <c r="B30" s="28"/>
      <c r="C30" s="28"/>
      <c r="D30" s="28"/>
    </row>
    <row r="31" spans="1:10">
      <c r="A31" s="34" t="s">
        <v>113</v>
      </c>
      <c r="B31" s="28"/>
      <c r="C31" s="28"/>
      <c r="D31" s="28"/>
    </row>
    <row r="32" spans="1:10">
      <c r="A32" s="35" t="s">
        <v>114</v>
      </c>
      <c r="B32" s="35" t="s">
        <v>115</v>
      </c>
      <c r="C32" s="35" t="s">
        <v>116</v>
      </c>
      <c r="D32" s="35" t="s">
        <v>117</v>
      </c>
      <c r="E32" s="35" t="s">
        <v>118</v>
      </c>
      <c r="F32" s="35" t="s">
        <v>119</v>
      </c>
      <c r="G32" s="16" t="s">
        <v>9</v>
      </c>
      <c r="H32" s="16" t="s">
        <v>120</v>
      </c>
      <c r="I32" s="16" t="s">
        <v>121</v>
      </c>
    </row>
    <row r="33" spans="1:9">
      <c r="A33" s="16" t="s">
        <v>122</v>
      </c>
      <c r="B33" s="16" t="s">
        <v>123</v>
      </c>
      <c r="C33" s="16" t="s">
        <v>109</v>
      </c>
      <c r="D33" s="16" t="s">
        <v>124</v>
      </c>
      <c r="E33" s="36" t="s">
        <v>125</v>
      </c>
      <c r="F33" s="37">
        <v>25042</v>
      </c>
      <c r="G33" s="38">
        <v>1300000</v>
      </c>
      <c r="H33" s="22">
        <f t="shared" ref="H33:H39" si="3">G33*80%</f>
        <v>1040000</v>
      </c>
      <c r="I33" s="22">
        <f t="shared" ref="I33:I39" si="4">G33+H33</f>
        <v>2340000</v>
      </c>
    </row>
    <row r="34" spans="1:9">
      <c r="A34" s="16" t="s">
        <v>126</v>
      </c>
      <c r="B34" s="16" t="s">
        <v>127</v>
      </c>
      <c r="C34" s="16" t="s">
        <v>109</v>
      </c>
      <c r="D34" s="16" t="s">
        <v>128</v>
      </c>
      <c r="E34" s="36" t="s">
        <v>125</v>
      </c>
      <c r="F34" s="37">
        <v>26323</v>
      </c>
      <c r="G34" s="38">
        <v>900000</v>
      </c>
      <c r="H34" s="22">
        <f t="shared" si="3"/>
        <v>720000</v>
      </c>
      <c r="I34" s="22">
        <f t="shared" si="4"/>
        <v>1620000</v>
      </c>
    </row>
    <row r="35" spans="1:9">
      <c r="A35" s="16" t="s">
        <v>129</v>
      </c>
      <c r="B35" s="16" t="s">
        <v>130</v>
      </c>
      <c r="C35" s="16" t="s">
        <v>131</v>
      </c>
      <c r="D35" s="16" t="s">
        <v>132</v>
      </c>
      <c r="E35" s="36" t="s">
        <v>133</v>
      </c>
      <c r="F35" s="37">
        <v>27718</v>
      </c>
      <c r="G35" s="38">
        <v>1200000</v>
      </c>
      <c r="H35" s="22">
        <f t="shared" si="3"/>
        <v>960000</v>
      </c>
      <c r="I35" s="22">
        <f t="shared" si="4"/>
        <v>2160000</v>
      </c>
    </row>
    <row r="36" spans="1:9">
      <c r="A36" s="16" t="s">
        <v>134</v>
      </c>
      <c r="B36" s="16" t="s">
        <v>135</v>
      </c>
      <c r="C36" s="16" t="s">
        <v>131</v>
      </c>
      <c r="D36" s="16" t="s">
        <v>136</v>
      </c>
      <c r="E36" s="36" t="s">
        <v>125</v>
      </c>
      <c r="F36" s="37">
        <v>28489</v>
      </c>
      <c r="G36" s="38">
        <v>850000</v>
      </c>
      <c r="H36" s="22">
        <f t="shared" si="3"/>
        <v>680000</v>
      </c>
      <c r="I36" s="22">
        <f t="shared" si="4"/>
        <v>1530000</v>
      </c>
    </row>
    <row r="37" spans="1:9">
      <c r="A37" s="16" t="s">
        <v>137</v>
      </c>
      <c r="B37" s="16" t="s">
        <v>138</v>
      </c>
      <c r="C37" s="16" t="s">
        <v>109</v>
      </c>
      <c r="D37" s="16" t="s">
        <v>139</v>
      </c>
      <c r="E37" s="36" t="s">
        <v>125</v>
      </c>
      <c r="F37" s="37">
        <v>28994</v>
      </c>
      <c r="G37" s="38">
        <v>1450000</v>
      </c>
      <c r="H37" s="22">
        <f t="shared" si="3"/>
        <v>1160000</v>
      </c>
      <c r="I37" s="22">
        <f t="shared" si="4"/>
        <v>2610000</v>
      </c>
    </row>
    <row r="38" spans="1:9">
      <c r="A38" s="16" t="s">
        <v>140</v>
      </c>
      <c r="B38" s="16" t="s">
        <v>141</v>
      </c>
      <c r="C38" s="16" t="s">
        <v>131</v>
      </c>
      <c r="D38" s="16" t="s">
        <v>142</v>
      </c>
      <c r="E38" s="36" t="s">
        <v>133</v>
      </c>
      <c r="F38" s="37">
        <v>29408</v>
      </c>
      <c r="G38" s="38">
        <v>900000</v>
      </c>
      <c r="H38" s="22">
        <f t="shared" si="3"/>
        <v>720000</v>
      </c>
      <c r="I38" s="22">
        <f t="shared" si="4"/>
        <v>1620000</v>
      </c>
    </row>
    <row r="39" spans="1:9">
      <c r="A39" s="16" t="s">
        <v>143</v>
      </c>
      <c r="B39" s="16" t="s">
        <v>144</v>
      </c>
      <c r="C39" s="16" t="s">
        <v>109</v>
      </c>
      <c r="D39" s="16" t="s">
        <v>145</v>
      </c>
      <c r="E39" s="36" t="s">
        <v>133</v>
      </c>
      <c r="F39" s="37">
        <v>30209</v>
      </c>
      <c r="G39" s="38">
        <v>2350000</v>
      </c>
      <c r="H39" s="22">
        <f t="shared" si="3"/>
        <v>1880000</v>
      </c>
      <c r="I39" s="22">
        <f t="shared" si="4"/>
        <v>4230000</v>
      </c>
    </row>
    <row r="41" spans="1:9">
      <c r="A41" s="39" t="s">
        <v>146</v>
      </c>
    </row>
    <row r="42" spans="1:9">
      <c r="A42" s="70" t="s">
        <v>116</v>
      </c>
      <c r="B42" s="71" t="s">
        <v>118</v>
      </c>
      <c r="C42" s="71"/>
    </row>
    <row r="43" spans="1:9">
      <c r="A43" s="70"/>
      <c r="B43" s="40" t="s">
        <v>125</v>
      </c>
      <c r="C43" s="40" t="s">
        <v>133</v>
      </c>
    </row>
    <row r="44" spans="1:9">
      <c r="A44" s="16" t="s">
        <v>109</v>
      </c>
      <c r="B44" s="41">
        <f t="array" ref="B44">COUNT(IF(($C$33:$C$39=$A44)*($E$33:$E$39=B$43),1))</f>
        <v>3</v>
      </c>
      <c r="C44" s="41">
        <f t="array" ref="C44">COUNT(IF(($C$33:$C$39=$A44)*($E$33:$E$39=C$43),1))</f>
        <v>1</v>
      </c>
    </row>
    <row r="45" spans="1:9">
      <c r="A45" s="16" t="s">
        <v>131</v>
      </c>
      <c r="B45" s="41">
        <f t="array" ref="B45">COUNT(IF(($C$33:$C$39=$A45)*($E$33:$E$39=B$43),1))</f>
        <v>1</v>
      </c>
      <c r="C45" s="41">
        <f t="array" ref="C45">COUNT(IF(($C$33:$C$39=$A45)*($E$33:$E$39=C$43),1))</f>
        <v>2</v>
      </c>
    </row>
  </sheetData>
  <mergeCells count="2">
    <mergeCell ref="A42:A43"/>
    <mergeCell ref="B42:C42"/>
  </mergeCells>
  <phoneticPr fontId="3" type="noConversion"/>
  <conditionalFormatting sqref="A41:A42 B43:C43 B42 A33:E39">
    <cfRule type="expression" dxfId="0" priority="1" stopIfTrue="1">
      <formula>$F33=100000</formula>
    </cfRule>
  </conditionalFormatting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0"/>
  <sheetViews>
    <sheetView workbookViewId="0"/>
  </sheetViews>
  <sheetFormatPr defaultRowHeight="16.5"/>
  <cols>
    <col min="1" max="1" width="10.25" style="1" customWidth="1"/>
    <col min="2" max="2" width="9" style="1"/>
    <col min="3" max="3" width="16.125" style="1" customWidth="1"/>
    <col min="4" max="6" width="9" style="1"/>
    <col min="7" max="7" width="16.125" style="1" customWidth="1"/>
    <col min="8" max="8" width="9.875" style="1" customWidth="1"/>
    <col min="9" max="9" width="15" style="1" customWidth="1"/>
    <col min="10" max="10" width="9" style="1"/>
    <col min="11" max="11" width="15.125" style="1" customWidth="1"/>
    <col min="12" max="13" width="14.875" style="1" customWidth="1"/>
    <col min="14" max="14" width="17" style="1" bestFit="1" customWidth="1"/>
    <col min="15" max="16384" width="9" style="1"/>
  </cols>
  <sheetData>
    <row r="1" spans="1:14">
      <c r="A1" s="51" t="s">
        <v>221</v>
      </c>
      <c r="B1" s="52" t="s">
        <v>222</v>
      </c>
      <c r="C1" s="52" t="s">
        <v>223</v>
      </c>
      <c r="D1" s="52" t="s">
        <v>179</v>
      </c>
      <c r="E1" s="52" t="s">
        <v>224</v>
      </c>
      <c r="F1" s="52" t="s">
        <v>225</v>
      </c>
      <c r="G1" s="52" t="s">
        <v>226</v>
      </c>
      <c r="H1" s="52" t="s">
        <v>227</v>
      </c>
      <c r="I1" s="53" t="s">
        <v>31</v>
      </c>
    </row>
    <row r="2" spans="1:14">
      <c r="A2" s="46">
        <v>1</v>
      </c>
      <c r="B2" s="47">
        <v>1</v>
      </c>
      <c r="C2" s="48" t="s">
        <v>228</v>
      </c>
      <c r="D2" s="48" t="s">
        <v>229</v>
      </c>
      <c r="E2" s="47">
        <v>500</v>
      </c>
      <c r="F2" s="49">
        <v>17600</v>
      </c>
      <c r="G2" s="49">
        <v>8000000</v>
      </c>
      <c r="H2" s="49">
        <v>800000</v>
      </c>
      <c r="I2" s="50">
        <v>8800000</v>
      </c>
    </row>
    <row r="3" spans="1:14">
      <c r="A3" s="46">
        <v>1</v>
      </c>
      <c r="B3" s="47">
        <v>2</v>
      </c>
      <c r="C3" s="48" t="s">
        <v>230</v>
      </c>
      <c r="D3" s="48" t="s">
        <v>184</v>
      </c>
      <c r="E3" s="47">
        <v>500</v>
      </c>
      <c r="F3" s="49">
        <v>8800</v>
      </c>
      <c r="G3" s="49">
        <v>4000000</v>
      </c>
      <c r="H3" s="49">
        <v>400000</v>
      </c>
      <c r="I3" s="50">
        <v>4400000</v>
      </c>
      <c r="K3" s="45" t="s">
        <v>247</v>
      </c>
      <c r="L3" s="45" t="s">
        <v>223</v>
      </c>
      <c r="M3" s="45" t="s">
        <v>242</v>
      </c>
      <c r="N3"/>
    </row>
    <row r="4" spans="1:14">
      <c r="A4" s="46">
        <v>2</v>
      </c>
      <c r="B4" s="47">
        <v>1</v>
      </c>
      <c r="C4" s="48" t="s">
        <v>230</v>
      </c>
      <c r="D4" s="48" t="s">
        <v>190</v>
      </c>
      <c r="E4" s="47">
        <v>500</v>
      </c>
      <c r="F4" s="49">
        <v>12500</v>
      </c>
      <c r="G4" s="49">
        <v>5681818</v>
      </c>
      <c r="H4" s="49">
        <v>568182</v>
      </c>
      <c r="I4" s="50">
        <v>6250000</v>
      </c>
      <c r="K4" t="s">
        <v>249</v>
      </c>
      <c r="L4" t="s">
        <v>234</v>
      </c>
      <c r="M4" t="s">
        <v>243</v>
      </c>
      <c r="N4" s="59">
        <v>121.36363636363636</v>
      </c>
    </row>
    <row r="5" spans="1:14">
      <c r="A5" s="46">
        <v>2</v>
      </c>
      <c r="B5" s="47">
        <v>2</v>
      </c>
      <c r="C5" s="48" t="s">
        <v>230</v>
      </c>
      <c r="D5" s="48" t="s">
        <v>231</v>
      </c>
      <c r="E5" s="47">
        <v>100</v>
      </c>
      <c r="F5" s="49">
        <v>17600</v>
      </c>
      <c r="G5" s="49">
        <v>1600000</v>
      </c>
      <c r="H5" s="49">
        <v>160000</v>
      </c>
      <c r="I5" s="50">
        <v>1760000</v>
      </c>
      <c r="K5"/>
      <c r="L5"/>
      <c r="M5" t="s">
        <v>245</v>
      </c>
      <c r="N5" s="60">
        <v>1204950.4545454546</v>
      </c>
    </row>
    <row r="6" spans="1:14">
      <c r="A6" s="46">
        <v>2</v>
      </c>
      <c r="B6" s="47">
        <v>3</v>
      </c>
      <c r="C6" s="48" t="s">
        <v>230</v>
      </c>
      <c r="D6" s="48" t="s">
        <v>184</v>
      </c>
      <c r="E6" s="47">
        <v>290</v>
      </c>
      <c r="F6" s="49">
        <v>8800</v>
      </c>
      <c r="G6" s="49">
        <v>2320000</v>
      </c>
      <c r="H6" s="49">
        <v>232000</v>
      </c>
      <c r="I6" s="50">
        <v>2552000</v>
      </c>
      <c r="K6"/>
      <c r="L6" t="s">
        <v>240</v>
      </c>
      <c r="M6" t="s">
        <v>243</v>
      </c>
      <c r="N6" s="59">
        <v>30</v>
      </c>
    </row>
    <row r="7" spans="1:14">
      <c r="A7" s="46">
        <v>4</v>
      </c>
      <c r="B7" s="47">
        <v>1</v>
      </c>
      <c r="C7" s="48" t="s">
        <v>232</v>
      </c>
      <c r="D7" s="48" t="s">
        <v>229</v>
      </c>
      <c r="E7" s="47">
        <v>10</v>
      </c>
      <c r="F7" s="49">
        <v>16000</v>
      </c>
      <c r="G7" s="49">
        <v>145455</v>
      </c>
      <c r="H7" s="49">
        <v>14545</v>
      </c>
      <c r="I7" s="50">
        <v>160000</v>
      </c>
      <c r="K7"/>
      <c r="L7"/>
      <c r="M7" t="s">
        <v>245</v>
      </c>
      <c r="N7" s="60">
        <v>436364</v>
      </c>
    </row>
    <row r="8" spans="1:14">
      <c r="A8" s="46">
        <v>5</v>
      </c>
      <c r="B8" s="47">
        <v>1</v>
      </c>
      <c r="C8" s="48" t="s">
        <v>233</v>
      </c>
      <c r="D8" s="48" t="s">
        <v>191</v>
      </c>
      <c r="E8" s="47">
        <v>100</v>
      </c>
      <c r="F8" s="49">
        <v>12500</v>
      </c>
      <c r="G8" s="49">
        <v>1136364</v>
      </c>
      <c r="H8" s="49">
        <v>113636</v>
      </c>
      <c r="I8" s="50">
        <v>1250000</v>
      </c>
      <c r="K8"/>
      <c r="L8" t="s">
        <v>239</v>
      </c>
      <c r="M8" t="s">
        <v>243</v>
      </c>
      <c r="N8" s="59">
        <v>6</v>
      </c>
    </row>
    <row r="9" spans="1:14">
      <c r="A9" s="46">
        <v>5</v>
      </c>
      <c r="B9" s="47">
        <v>2</v>
      </c>
      <c r="C9" s="48" t="s">
        <v>234</v>
      </c>
      <c r="D9" s="48" t="s">
        <v>189</v>
      </c>
      <c r="E9" s="47">
        <v>648</v>
      </c>
      <c r="F9" s="49">
        <v>8800</v>
      </c>
      <c r="G9" s="49">
        <v>5184000</v>
      </c>
      <c r="H9" s="49">
        <v>518400</v>
      </c>
      <c r="I9" s="50">
        <v>5702400</v>
      </c>
      <c r="K9"/>
      <c r="L9"/>
      <c r="M9" t="s">
        <v>245</v>
      </c>
      <c r="N9" s="60">
        <v>87273</v>
      </c>
    </row>
    <row r="10" spans="1:14">
      <c r="A10" s="46">
        <v>6</v>
      </c>
      <c r="B10" s="47">
        <v>1</v>
      </c>
      <c r="C10" s="48" t="s">
        <v>230</v>
      </c>
      <c r="D10" s="48" t="s">
        <v>188</v>
      </c>
      <c r="E10" s="47">
        <v>50</v>
      </c>
      <c r="F10" s="49">
        <v>12500</v>
      </c>
      <c r="G10" s="49">
        <v>568182</v>
      </c>
      <c r="H10" s="49">
        <v>56818</v>
      </c>
      <c r="I10" s="50">
        <v>625000</v>
      </c>
      <c r="K10"/>
      <c r="L10" t="s">
        <v>232</v>
      </c>
      <c r="M10" t="s">
        <v>243</v>
      </c>
      <c r="N10" s="59">
        <v>6.666666666666667</v>
      </c>
    </row>
    <row r="11" spans="1:14">
      <c r="A11" s="46">
        <v>6</v>
      </c>
      <c r="B11" s="47">
        <v>2</v>
      </c>
      <c r="C11" s="48" t="s">
        <v>234</v>
      </c>
      <c r="D11" s="48" t="s">
        <v>231</v>
      </c>
      <c r="E11" s="47">
        <v>50</v>
      </c>
      <c r="F11" s="49">
        <v>14000</v>
      </c>
      <c r="G11" s="49">
        <v>636364</v>
      </c>
      <c r="H11" s="49">
        <v>63636</v>
      </c>
      <c r="I11" s="50">
        <v>700000</v>
      </c>
      <c r="K11"/>
      <c r="L11"/>
      <c r="M11" t="s">
        <v>245</v>
      </c>
      <c r="N11" s="60">
        <v>98485</v>
      </c>
    </row>
    <row r="12" spans="1:14">
      <c r="A12" s="46">
        <v>6</v>
      </c>
      <c r="B12" s="47">
        <v>3</v>
      </c>
      <c r="C12" s="48" t="s">
        <v>235</v>
      </c>
      <c r="D12" s="48" t="s">
        <v>188</v>
      </c>
      <c r="E12" s="47">
        <v>300</v>
      </c>
      <c r="F12" s="49">
        <v>12500</v>
      </c>
      <c r="G12" s="49">
        <v>3409091</v>
      </c>
      <c r="H12" s="49">
        <v>340909</v>
      </c>
      <c r="I12" s="50">
        <v>3750000</v>
      </c>
      <c r="K12"/>
      <c r="L12" t="s">
        <v>238</v>
      </c>
      <c r="M12" t="s">
        <v>243</v>
      </c>
      <c r="N12" s="59">
        <v>187.4</v>
      </c>
    </row>
    <row r="13" spans="1:14">
      <c r="A13" s="46">
        <v>7</v>
      </c>
      <c r="B13" s="47">
        <v>1</v>
      </c>
      <c r="C13" s="48" t="s">
        <v>236</v>
      </c>
      <c r="D13" s="48" t="s">
        <v>190</v>
      </c>
      <c r="E13" s="47">
        <v>50</v>
      </c>
      <c r="F13" s="49">
        <v>12500</v>
      </c>
      <c r="G13" s="49">
        <v>568182</v>
      </c>
      <c r="H13" s="49">
        <v>56818</v>
      </c>
      <c r="I13" s="50">
        <v>625000</v>
      </c>
      <c r="K13"/>
      <c r="L13"/>
      <c r="M13" t="s">
        <v>245</v>
      </c>
      <c r="N13" s="60">
        <v>2311745.6</v>
      </c>
    </row>
    <row r="14" spans="1:14">
      <c r="A14" s="46">
        <v>8</v>
      </c>
      <c r="B14" s="47">
        <v>1</v>
      </c>
      <c r="C14" s="48" t="s">
        <v>237</v>
      </c>
      <c r="D14" s="48" t="s">
        <v>187</v>
      </c>
      <c r="E14" s="47">
        <v>50</v>
      </c>
      <c r="F14" s="49">
        <v>88000</v>
      </c>
      <c r="G14" s="49">
        <v>559091</v>
      </c>
      <c r="H14" s="49">
        <v>55909</v>
      </c>
      <c r="I14" s="50">
        <v>4400000</v>
      </c>
      <c r="K14" t="s">
        <v>248</v>
      </c>
      <c r="L14" t="s">
        <v>235</v>
      </c>
      <c r="M14" t="s">
        <v>243</v>
      </c>
      <c r="N14" s="59">
        <v>174.875</v>
      </c>
    </row>
    <row r="15" spans="1:14">
      <c r="A15" s="46">
        <v>8</v>
      </c>
      <c r="B15" s="47">
        <v>2</v>
      </c>
      <c r="C15" s="48" t="s">
        <v>238</v>
      </c>
      <c r="D15" s="48" t="s">
        <v>188</v>
      </c>
      <c r="E15" s="47">
        <v>0</v>
      </c>
      <c r="F15" s="49">
        <v>24000</v>
      </c>
      <c r="G15" s="49">
        <v>327273</v>
      </c>
      <c r="H15" s="49">
        <v>-87273</v>
      </c>
      <c r="I15" s="50">
        <v>0</v>
      </c>
      <c r="K15"/>
      <c r="L15"/>
      <c r="M15" t="s">
        <v>245</v>
      </c>
      <c r="N15" s="60">
        <v>1987215.75</v>
      </c>
    </row>
    <row r="16" spans="1:14">
      <c r="A16" s="46">
        <v>9</v>
      </c>
      <c r="B16" s="47">
        <v>1</v>
      </c>
      <c r="C16" s="48" t="s">
        <v>235</v>
      </c>
      <c r="D16" s="48" t="s">
        <v>229</v>
      </c>
      <c r="E16" s="47">
        <v>100</v>
      </c>
      <c r="F16" s="49">
        <v>12500</v>
      </c>
      <c r="G16" s="49">
        <v>1136364</v>
      </c>
      <c r="H16" s="49">
        <v>113636</v>
      </c>
      <c r="I16" s="50">
        <v>1250000</v>
      </c>
      <c r="K16"/>
      <c r="L16" t="s">
        <v>228</v>
      </c>
      <c r="M16" t="s">
        <v>243</v>
      </c>
      <c r="N16" s="59">
        <v>500</v>
      </c>
    </row>
    <row r="17" spans="1:14">
      <c r="A17" s="46">
        <v>9</v>
      </c>
      <c r="B17" s="47">
        <v>2</v>
      </c>
      <c r="C17" s="48" t="s">
        <v>234</v>
      </c>
      <c r="D17" s="48" t="s">
        <v>190</v>
      </c>
      <c r="E17" s="47">
        <v>200</v>
      </c>
      <c r="F17" s="49">
        <v>12500</v>
      </c>
      <c r="G17" s="49">
        <v>2272727</v>
      </c>
      <c r="H17" s="49">
        <v>227273</v>
      </c>
      <c r="I17" s="50">
        <v>2500000</v>
      </c>
      <c r="K17"/>
      <c r="L17"/>
      <c r="M17" t="s">
        <v>245</v>
      </c>
      <c r="N17" s="60">
        <v>8000000</v>
      </c>
    </row>
    <row r="18" spans="1:14">
      <c r="A18" s="46">
        <v>9</v>
      </c>
      <c r="B18" s="47">
        <v>3</v>
      </c>
      <c r="C18" s="48" t="s">
        <v>230</v>
      </c>
      <c r="D18" s="48" t="s">
        <v>188</v>
      </c>
      <c r="E18" s="47">
        <v>300</v>
      </c>
      <c r="F18" s="49">
        <v>8800</v>
      </c>
      <c r="G18" s="49">
        <v>2400000</v>
      </c>
      <c r="H18" s="49">
        <v>240000</v>
      </c>
      <c r="I18" s="50">
        <v>2640000</v>
      </c>
      <c r="K18"/>
      <c r="L18" t="s">
        <v>241</v>
      </c>
      <c r="M18" t="s">
        <v>243</v>
      </c>
      <c r="N18" s="59">
        <v>200</v>
      </c>
    </row>
    <row r="19" spans="1:14">
      <c r="A19" s="46">
        <v>9</v>
      </c>
      <c r="B19" s="47">
        <v>4</v>
      </c>
      <c r="C19" s="48" t="s">
        <v>230</v>
      </c>
      <c r="D19" s="48" t="s">
        <v>189</v>
      </c>
      <c r="E19" s="47">
        <v>200</v>
      </c>
      <c r="F19" s="49">
        <v>17600</v>
      </c>
      <c r="G19" s="49">
        <v>3200000</v>
      </c>
      <c r="H19" s="49">
        <v>320000</v>
      </c>
      <c r="I19" s="50">
        <v>3520000</v>
      </c>
      <c r="K19"/>
      <c r="L19"/>
      <c r="M19" t="s">
        <v>245</v>
      </c>
      <c r="N19" s="60">
        <v>1454545</v>
      </c>
    </row>
    <row r="20" spans="1:14">
      <c r="A20" s="46">
        <v>10</v>
      </c>
      <c r="B20" s="47">
        <v>1</v>
      </c>
      <c r="C20" s="48" t="s">
        <v>236</v>
      </c>
      <c r="D20" s="48" t="s">
        <v>229</v>
      </c>
      <c r="E20" s="47">
        <v>200</v>
      </c>
      <c r="F20" s="49">
        <v>12500</v>
      </c>
      <c r="G20" s="49">
        <v>2272727</v>
      </c>
      <c r="H20" s="49">
        <v>227273</v>
      </c>
      <c r="I20" s="50">
        <v>2500000</v>
      </c>
      <c r="K20"/>
      <c r="L20" t="s">
        <v>237</v>
      </c>
      <c r="M20" t="s">
        <v>243</v>
      </c>
      <c r="N20" s="59">
        <v>84</v>
      </c>
    </row>
    <row r="21" spans="1:14">
      <c r="A21" s="46">
        <v>10</v>
      </c>
      <c r="B21" s="47">
        <v>2</v>
      </c>
      <c r="C21" s="48" t="s">
        <v>234</v>
      </c>
      <c r="D21" s="48" t="s">
        <v>191</v>
      </c>
      <c r="E21" s="47">
        <v>50</v>
      </c>
      <c r="F21" s="49">
        <v>12500</v>
      </c>
      <c r="G21" s="49">
        <v>568182</v>
      </c>
      <c r="H21" s="49">
        <v>56818</v>
      </c>
      <c r="I21" s="50">
        <v>625000</v>
      </c>
      <c r="K21"/>
      <c r="L21"/>
      <c r="M21" t="s">
        <v>245</v>
      </c>
      <c r="N21" s="60">
        <v>955519.57142857148</v>
      </c>
    </row>
    <row r="22" spans="1:14">
      <c r="A22" s="46">
        <v>10</v>
      </c>
      <c r="B22" s="47">
        <v>3</v>
      </c>
      <c r="C22" s="48" t="s">
        <v>236</v>
      </c>
      <c r="D22" s="48" t="s">
        <v>188</v>
      </c>
      <c r="E22" s="47">
        <v>-3</v>
      </c>
      <c r="F22" s="49">
        <v>12500</v>
      </c>
      <c r="G22" s="49">
        <v>-34091</v>
      </c>
      <c r="H22" s="49">
        <v>-3409</v>
      </c>
      <c r="I22" s="50">
        <v>-37500</v>
      </c>
      <c r="K22"/>
      <c r="L22" t="s">
        <v>236</v>
      </c>
      <c r="M22" t="s">
        <v>243</v>
      </c>
      <c r="N22" s="59">
        <v>88.4</v>
      </c>
    </row>
    <row r="23" spans="1:14">
      <c r="A23" s="46">
        <v>11</v>
      </c>
      <c r="B23" s="47">
        <v>1</v>
      </c>
      <c r="C23" s="48" t="s">
        <v>237</v>
      </c>
      <c r="D23" s="48" t="s">
        <v>229</v>
      </c>
      <c r="E23" s="47">
        <v>135</v>
      </c>
      <c r="F23" s="49">
        <v>12500</v>
      </c>
      <c r="G23" s="49">
        <v>1534091</v>
      </c>
      <c r="H23" s="49">
        <v>153409</v>
      </c>
      <c r="I23" s="50">
        <v>1687500</v>
      </c>
      <c r="K23"/>
      <c r="L23"/>
      <c r="M23" t="s">
        <v>245</v>
      </c>
      <c r="N23" s="60">
        <v>1005272.8</v>
      </c>
    </row>
    <row r="24" spans="1:14">
      <c r="A24" s="46">
        <v>11</v>
      </c>
      <c r="B24" s="47">
        <v>2</v>
      </c>
      <c r="C24" s="48" t="s">
        <v>234</v>
      </c>
      <c r="D24" s="48" t="s">
        <v>231</v>
      </c>
      <c r="E24" s="47">
        <v>50</v>
      </c>
      <c r="F24" s="49">
        <v>14000</v>
      </c>
      <c r="G24" s="49">
        <v>636364</v>
      </c>
      <c r="H24" s="49">
        <v>63636</v>
      </c>
      <c r="I24" s="50">
        <v>700000</v>
      </c>
      <c r="K24"/>
      <c r="L24" t="s">
        <v>230</v>
      </c>
      <c r="M24" t="s">
        <v>243</v>
      </c>
      <c r="N24" s="59">
        <v>277.14285714285717</v>
      </c>
    </row>
    <row r="25" spans="1:14">
      <c r="A25" s="46">
        <v>11</v>
      </c>
      <c r="B25" s="47">
        <v>3</v>
      </c>
      <c r="C25" s="48" t="s">
        <v>238</v>
      </c>
      <c r="D25" s="48" t="s">
        <v>190</v>
      </c>
      <c r="E25" s="47">
        <v>200</v>
      </c>
      <c r="F25" s="49">
        <v>12300</v>
      </c>
      <c r="G25" s="49">
        <v>2236364</v>
      </c>
      <c r="H25" s="49">
        <v>223636</v>
      </c>
      <c r="I25" s="50">
        <v>2460000</v>
      </c>
      <c r="K25"/>
      <c r="L25"/>
      <c r="M25" t="s">
        <v>245</v>
      </c>
      <c r="N25" s="60">
        <v>2824285.7142857141</v>
      </c>
    </row>
    <row r="26" spans="1:14">
      <c r="A26" s="46">
        <v>11</v>
      </c>
      <c r="B26" s="47">
        <v>4</v>
      </c>
      <c r="C26" s="48" t="s">
        <v>234</v>
      </c>
      <c r="D26" s="48" t="s">
        <v>188</v>
      </c>
      <c r="E26" s="47">
        <v>20</v>
      </c>
      <c r="F26" s="49">
        <v>16000</v>
      </c>
      <c r="G26" s="49">
        <v>290909</v>
      </c>
      <c r="H26" s="49">
        <v>29091</v>
      </c>
      <c r="I26" s="50">
        <v>320000</v>
      </c>
      <c r="K26"/>
      <c r="L26" t="s">
        <v>233</v>
      </c>
      <c r="M26" t="s">
        <v>243</v>
      </c>
      <c r="N26" s="59">
        <v>56</v>
      </c>
    </row>
    <row r="27" spans="1:14">
      <c r="A27" s="46">
        <v>12</v>
      </c>
      <c r="B27" s="47">
        <v>1</v>
      </c>
      <c r="C27" s="48" t="s">
        <v>235</v>
      </c>
      <c r="D27" s="48" t="s">
        <v>184</v>
      </c>
      <c r="E27" s="47">
        <v>250</v>
      </c>
      <c r="F27" s="49">
        <v>12500</v>
      </c>
      <c r="G27" s="49">
        <v>2840909</v>
      </c>
      <c r="H27" s="49">
        <v>284091</v>
      </c>
      <c r="I27" s="50">
        <v>3125000</v>
      </c>
      <c r="K27"/>
      <c r="L27"/>
      <c r="M27" t="s">
        <v>245</v>
      </c>
      <c r="N27" s="60">
        <v>655454.5</v>
      </c>
    </row>
    <row r="28" spans="1:14">
      <c r="A28" s="46">
        <v>12</v>
      </c>
      <c r="B28" s="47">
        <v>2</v>
      </c>
      <c r="C28" s="48" t="s">
        <v>234</v>
      </c>
      <c r="D28" s="48" t="s">
        <v>229</v>
      </c>
      <c r="E28" s="47">
        <v>50</v>
      </c>
      <c r="F28" s="49">
        <v>12500</v>
      </c>
      <c r="G28" s="49">
        <v>568182</v>
      </c>
      <c r="H28" s="49">
        <v>56818</v>
      </c>
      <c r="I28" s="50">
        <v>625000</v>
      </c>
      <c r="K28" t="s">
        <v>244</v>
      </c>
      <c r="L28"/>
      <c r="M28"/>
      <c r="N28" s="59">
        <v>138.25423728813558</v>
      </c>
    </row>
    <row r="29" spans="1:14">
      <c r="A29" s="46">
        <v>12</v>
      </c>
      <c r="B29" s="47">
        <v>3</v>
      </c>
      <c r="C29" s="48" t="s">
        <v>235</v>
      </c>
      <c r="D29" s="48" t="s">
        <v>187</v>
      </c>
      <c r="E29" s="47">
        <v>-1</v>
      </c>
      <c r="F29" s="49">
        <v>12500</v>
      </c>
      <c r="G29" s="49">
        <v>-11364</v>
      </c>
      <c r="H29" s="49">
        <v>-1136</v>
      </c>
      <c r="I29" s="50">
        <v>-12500</v>
      </c>
      <c r="K29" t="s">
        <v>246</v>
      </c>
      <c r="L29"/>
      <c r="M29"/>
      <c r="N29" s="60">
        <v>1531332.8474576271</v>
      </c>
    </row>
    <row r="30" spans="1:14">
      <c r="A30" s="46">
        <v>13</v>
      </c>
      <c r="B30" s="47">
        <v>1</v>
      </c>
      <c r="C30" s="48" t="s">
        <v>236</v>
      </c>
      <c r="D30" s="48" t="s">
        <v>191</v>
      </c>
      <c r="E30" s="47">
        <v>100</v>
      </c>
      <c r="F30" s="49">
        <v>12500</v>
      </c>
      <c r="G30" s="49">
        <v>1136364</v>
      </c>
      <c r="H30" s="49">
        <v>113636</v>
      </c>
      <c r="I30" s="50">
        <v>1250000</v>
      </c>
      <c r="K30"/>
      <c r="L30"/>
    </row>
    <row r="31" spans="1:14">
      <c r="A31" s="46">
        <v>14</v>
      </c>
      <c r="B31" s="47">
        <v>2</v>
      </c>
      <c r="C31" s="48" t="s">
        <v>234</v>
      </c>
      <c r="D31" s="48" t="s">
        <v>231</v>
      </c>
      <c r="E31" s="47">
        <v>50</v>
      </c>
      <c r="F31" s="49">
        <v>12500</v>
      </c>
      <c r="G31" s="49">
        <v>568182</v>
      </c>
      <c r="H31" s="49">
        <v>56818</v>
      </c>
      <c r="I31" s="50">
        <v>625000</v>
      </c>
      <c r="K31"/>
      <c r="L31"/>
    </row>
    <row r="32" spans="1:14">
      <c r="A32" s="46">
        <v>15</v>
      </c>
      <c r="B32" s="47">
        <v>1</v>
      </c>
      <c r="C32" s="48" t="s">
        <v>236</v>
      </c>
      <c r="D32" s="48" t="s">
        <v>187</v>
      </c>
      <c r="E32" s="47">
        <v>7</v>
      </c>
      <c r="F32" s="49">
        <v>12000</v>
      </c>
      <c r="G32" s="49">
        <v>76364</v>
      </c>
      <c r="H32" s="49">
        <v>7636</v>
      </c>
      <c r="I32" s="50">
        <v>84000</v>
      </c>
      <c r="K32"/>
      <c r="L32"/>
    </row>
    <row r="33" spans="1:12">
      <c r="A33" s="46">
        <v>15</v>
      </c>
      <c r="B33" s="47">
        <v>2</v>
      </c>
      <c r="C33" s="48" t="s">
        <v>236</v>
      </c>
      <c r="D33" s="48" t="s">
        <v>188</v>
      </c>
      <c r="E33" s="47">
        <v>1</v>
      </c>
      <c r="F33" s="49">
        <v>24000</v>
      </c>
      <c r="G33" s="49">
        <v>21818</v>
      </c>
      <c r="H33" s="49">
        <v>2182</v>
      </c>
      <c r="I33" s="50">
        <v>24000</v>
      </c>
      <c r="K33"/>
      <c r="L33"/>
    </row>
    <row r="34" spans="1:12">
      <c r="A34" s="46">
        <v>16</v>
      </c>
      <c r="B34" s="47">
        <v>1</v>
      </c>
      <c r="C34" s="48" t="s">
        <v>236</v>
      </c>
      <c r="D34" s="48" t="s">
        <v>191</v>
      </c>
      <c r="E34" s="47">
        <v>335</v>
      </c>
      <c r="F34" s="49">
        <v>12500</v>
      </c>
      <c r="G34" s="49">
        <v>3806818</v>
      </c>
      <c r="H34" s="49">
        <v>380682</v>
      </c>
      <c r="I34" s="50">
        <v>4187500</v>
      </c>
      <c r="K34"/>
      <c r="L34"/>
    </row>
    <row r="35" spans="1:12">
      <c r="A35" s="46">
        <v>16</v>
      </c>
      <c r="B35" s="47">
        <v>2</v>
      </c>
      <c r="C35" s="48" t="s">
        <v>238</v>
      </c>
      <c r="D35" s="48" t="s">
        <v>229</v>
      </c>
      <c r="E35" s="47">
        <v>237</v>
      </c>
      <c r="F35" s="49">
        <v>15800</v>
      </c>
      <c r="G35" s="49">
        <v>3404182</v>
      </c>
      <c r="H35" s="49">
        <v>340418</v>
      </c>
      <c r="I35" s="50">
        <v>3744600</v>
      </c>
      <c r="K35"/>
      <c r="L35"/>
    </row>
    <row r="36" spans="1:12">
      <c r="A36" s="46">
        <v>17</v>
      </c>
      <c r="B36" s="47">
        <v>1</v>
      </c>
      <c r="C36" s="48" t="s">
        <v>237</v>
      </c>
      <c r="D36" s="48" t="s">
        <v>188</v>
      </c>
      <c r="E36" s="47">
        <v>200</v>
      </c>
      <c r="F36" s="49">
        <v>12500</v>
      </c>
      <c r="G36" s="49">
        <v>2272727</v>
      </c>
      <c r="H36" s="49">
        <v>227273</v>
      </c>
      <c r="I36" s="50">
        <v>2500000</v>
      </c>
      <c r="K36"/>
      <c r="L36"/>
    </row>
    <row r="37" spans="1:12">
      <c r="A37" s="46">
        <v>17</v>
      </c>
      <c r="B37" s="47">
        <v>2</v>
      </c>
      <c r="C37" s="48" t="s">
        <v>234</v>
      </c>
      <c r="D37" s="48" t="s">
        <v>191</v>
      </c>
      <c r="E37" s="47">
        <v>-3</v>
      </c>
      <c r="F37" s="49">
        <v>12500</v>
      </c>
      <c r="G37" s="49">
        <v>-34091</v>
      </c>
      <c r="H37" s="49">
        <v>-3409</v>
      </c>
      <c r="I37" s="50">
        <v>-37500</v>
      </c>
      <c r="K37"/>
      <c r="L37"/>
    </row>
    <row r="38" spans="1:12">
      <c r="A38" s="46">
        <v>17</v>
      </c>
      <c r="B38" s="47">
        <v>3</v>
      </c>
      <c r="C38" s="48" t="s">
        <v>237</v>
      </c>
      <c r="D38" s="48" t="s">
        <v>231</v>
      </c>
      <c r="E38" s="47">
        <v>-1</v>
      </c>
      <c r="F38" s="49">
        <v>16000</v>
      </c>
      <c r="G38" s="49">
        <v>-14545</v>
      </c>
      <c r="H38" s="49">
        <v>-1455</v>
      </c>
      <c r="I38" s="50">
        <v>-16000</v>
      </c>
      <c r="K38"/>
      <c r="L38"/>
    </row>
    <row r="39" spans="1:12">
      <c r="A39" s="46">
        <v>18</v>
      </c>
      <c r="B39" s="47">
        <v>1</v>
      </c>
      <c r="C39" s="48" t="s">
        <v>235</v>
      </c>
      <c r="D39" s="48" t="s">
        <v>187</v>
      </c>
      <c r="E39" s="47">
        <v>200</v>
      </c>
      <c r="F39" s="49">
        <v>12500</v>
      </c>
      <c r="G39" s="49">
        <v>2272727</v>
      </c>
      <c r="H39" s="49">
        <v>227273</v>
      </c>
      <c r="I39" s="50">
        <v>2500000</v>
      </c>
      <c r="K39"/>
      <c r="L39"/>
    </row>
    <row r="40" spans="1:12">
      <c r="A40" s="46">
        <v>18</v>
      </c>
      <c r="B40" s="47">
        <v>2</v>
      </c>
      <c r="C40" s="48" t="s">
        <v>232</v>
      </c>
      <c r="D40" s="48" t="s">
        <v>189</v>
      </c>
      <c r="E40" s="47">
        <v>5</v>
      </c>
      <c r="F40" s="49">
        <v>16500</v>
      </c>
      <c r="G40" s="49">
        <v>75000</v>
      </c>
      <c r="H40" s="49">
        <v>7500</v>
      </c>
      <c r="I40" s="50">
        <v>82500</v>
      </c>
      <c r="K40"/>
      <c r="L40"/>
    </row>
    <row r="41" spans="1:12">
      <c r="A41" s="46">
        <v>19</v>
      </c>
      <c r="B41" s="47">
        <v>1</v>
      </c>
      <c r="C41" s="48" t="s">
        <v>236</v>
      </c>
      <c r="D41" s="48" t="s">
        <v>184</v>
      </c>
      <c r="E41" s="47">
        <v>-6</v>
      </c>
      <c r="F41" s="49">
        <v>12500</v>
      </c>
      <c r="G41" s="49">
        <v>-68182</v>
      </c>
      <c r="H41" s="49">
        <v>-6818</v>
      </c>
      <c r="I41" s="50">
        <v>-75000</v>
      </c>
      <c r="K41"/>
      <c r="L41"/>
    </row>
    <row r="42" spans="1:12">
      <c r="A42" s="46">
        <v>19</v>
      </c>
      <c r="B42" s="47">
        <v>2</v>
      </c>
      <c r="C42" s="48" t="s">
        <v>239</v>
      </c>
      <c r="D42" s="48" t="s">
        <v>231</v>
      </c>
      <c r="E42" s="47">
        <v>6</v>
      </c>
      <c r="F42" s="49">
        <v>16000</v>
      </c>
      <c r="G42" s="49">
        <v>87273</v>
      </c>
      <c r="H42" s="49">
        <v>8727</v>
      </c>
      <c r="I42" s="50">
        <v>96000</v>
      </c>
    </row>
    <row r="43" spans="1:12">
      <c r="A43" s="46">
        <v>20</v>
      </c>
      <c r="B43" s="47">
        <v>1</v>
      </c>
      <c r="C43" s="48" t="s">
        <v>237</v>
      </c>
      <c r="D43" s="48" t="s">
        <v>187</v>
      </c>
      <c r="E43" s="47">
        <v>-2</v>
      </c>
      <c r="F43" s="49">
        <v>12500</v>
      </c>
      <c r="G43" s="49">
        <v>-22727</v>
      </c>
      <c r="H43" s="49">
        <v>-2273</v>
      </c>
      <c r="I43" s="50">
        <v>-25000</v>
      </c>
    </row>
    <row r="44" spans="1:12">
      <c r="A44" s="46">
        <v>21</v>
      </c>
      <c r="B44" s="47">
        <v>1</v>
      </c>
      <c r="C44" s="48" t="s">
        <v>235</v>
      </c>
      <c r="D44" s="48" t="s">
        <v>190</v>
      </c>
      <c r="E44" s="47">
        <v>150</v>
      </c>
      <c r="F44" s="49">
        <v>12500</v>
      </c>
      <c r="G44" s="49">
        <v>1704545</v>
      </c>
      <c r="H44" s="49">
        <v>170455</v>
      </c>
      <c r="I44" s="50">
        <v>1875000</v>
      </c>
    </row>
    <row r="45" spans="1:12">
      <c r="A45" s="46">
        <v>21</v>
      </c>
      <c r="B45" s="47">
        <v>2</v>
      </c>
      <c r="C45" s="48" t="s">
        <v>238</v>
      </c>
      <c r="D45" s="48" t="s">
        <v>229</v>
      </c>
      <c r="E45" s="47">
        <v>200</v>
      </c>
      <c r="F45" s="49">
        <v>12300</v>
      </c>
      <c r="G45" s="49">
        <v>2236364</v>
      </c>
      <c r="H45" s="49">
        <v>223636</v>
      </c>
      <c r="I45" s="50">
        <v>2460000</v>
      </c>
    </row>
    <row r="46" spans="1:12">
      <c r="A46" s="46">
        <v>21</v>
      </c>
      <c r="B46" s="47">
        <v>3</v>
      </c>
      <c r="C46" s="48" t="s">
        <v>233</v>
      </c>
      <c r="D46" s="48" t="s">
        <v>189</v>
      </c>
      <c r="E46" s="47">
        <v>12</v>
      </c>
      <c r="F46" s="49">
        <v>16000</v>
      </c>
      <c r="G46" s="49">
        <v>174545</v>
      </c>
      <c r="H46" s="49">
        <v>17455</v>
      </c>
      <c r="I46" s="50">
        <v>192000</v>
      </c>
    </row>
    <row r="47" spans="1:12">
      <c r="A47" s="46">
        <v>22</v>
      </c>
      <c r="B47" s="47">
        <v>1</v>
      </c>
      <c r="C47" s="48" t="s">
        <v>232</v>
      </c>
      <c r="D47" s="48" t="s">
        <v>189</v>
      </c>
      <c r="E47" s="47">
        <v>5</v>
      </c>
      <c r="F47" s="49">
        <v>16500</v>
      </c>
      <c r="G47" s="49">
        <v>75000</v>
      </c>
      <c r="H47" s="49">
        <v>7500</v>
      </c>
      <c r="I47" s="50">
        <v>82500</v>
      </c>
    </row>
    <row r="48" spans="1:12">
      <c r="A48" s="46">
        <v>23</v>
      </c>
      <c r="B48" s="47">
        <v>1</v>
      </c>
      <c r="C48" s="48" t="s">
        <v>240</v>
      </c>
      <c r="D48" s="48" t="s">
        <v>229</v>
      </c>
      <c r="E48" s="47">
        <v>30</v>
      </c>
      <c r="F48" s="49">
        <v>16000</v>
      </c>
      <c r="G48" s="49">
        <v>436364</v>
      </c>
      <c r="H48" s="49">
        <v>43636</v>
      </c>
      <c r="I48" s="50">
        <v>480000</v>
      </c>
    </row>
    <row r="49" spans="1:9">
      <c r="A49" s="46">
        <v>23</v>
      </c>
      <c r="B49" s="47">
        <v>2</v>
      </c>
      <c r="C49" s="48" t="s">
        <v>237</v>
      </c>
      <c r="D49" s="48" t="s">
        <v>184</v>
      </c>
      <c r="E49" s="47">
        <v>6</v>
      </c>
      <c r="F49" s="49">
        <v>16000</v>
      </c>
      <c r="G49" s="49">
        <v>87273</v>
      </c>
      <c r="H49" s="49">
        <v>8727</v>
      </c>
      <c r="I49" s="50">
        <v>96000</v>
      </c>
    </row>
    <row r="50" spans="1:9">
      <c r="A50" s="46">
        <v>24</v>
      </c>
      <c r="B50" s="47">
        <v>1</v>
      </c>
      <c r="C50" s="48" t="s">
        <v>235</v>
      </c>
      <c r="D50" s="48" t="s">
        <v>191</v>
      </c>
      <c r="E50" s="47">
        <v>200</v>
      </c>
      <c r="F50" s="49">
        <v>12500</v>
      </c>
      <c r="G50" s="49">
        <v>2272727</v>
      </c>
      <c r="H50" s="49">
        <v>227273</v>
      </c>
      <c r="I50" s="50">
        <v>2500000</v>
      </c>
    </row>
    <row r="51" spans="1:9">
      <c r="A51" s="46">
        <v>25</v>
      </c>
      <c r="B51" s="47">
        <v>1</v>
      </c>
      <c r="C51" s="48" t="s">
        <v>238</v>
      </c>
      <c r="D51" s="48" t="s">
        <v>187</v>
      </c>
      <c r="E51" s="47">
        <v>300</v>
      </c>
      <c r="F51" s="49">
        <v>12300</v>
      </c>
      <c r="G51" s="49">
        <v>3354545</v>
      </c>
      <c r="H51" s="49">
        <v>335455</v>
      </c>
      <c r="I51" s="50">
        <v>3690000</v>
      </c>
    </row>
    <row r="52" spans="1:9">
      <c r="A52" s="46">
        <v>26</v>
      </c>
      <c r="B52" s="47">
        <v>1</v>
      </c>
      <c r="C52" s="48" t="s">
        <v>241</v>
      </c>
      <c r="D52" s="48" t="s">
        <v>188</v>
      </c>
      <c r="E52" s="47">
        <v>200</v>
      </c>
      <c r="F52" s="49">
        <v>8000</v>
      </c>
      <c r="G52" s="49">
        <v>1454545</v>
      </c>
      <c r="H52" s="49">
        <v>145455</v>
      </c>
      <c r="I52" s="50">
        <v>1600000</v>
      </c>
    </row>
    <row r="53" spans="1:9">
      <c r="A53" s="46">
        <v>26</v>
      </c>
      <c r="B53" s="47">
        <v>2</v>
      </c>
      <c r="C53" s="48" t="s">
        <v>239</v>
      </c>
      <c r="D53" s="48" t="s">
        <v>189</v>
      </c>
      <c r="E53" s="47">
        <v>6</v>
      </c>
      <c r="F53" s="49">
        <v>16000</v>
      </c>
      <c r="G53" s="49">
        <v>87273</v>
      </c>
      <c r="H53" s="49">
        <v>8727</v>
      </c>
      <c r="I53" s="50">
        <v>96000</v>
      </c>
    </row>
    <row r="54" spans="1:9">
      <c r="A54" s="46">
        <v>27</v>
      </c>
      <c r="B54" s="47">
        <v>1</v>
      </c>
      <c r="C54" s="48" t="s">
        <v>235</v>
      </c>
      <c r="D54" s="48" t="s">
        <v>191</v>
      </c>
      <c r="E54" s="47">
        <v>200</v>
      </c>
      <c r="F54" s="49">
        <v>12500</v>
      </c>
      <c r="G54" s="49">
        <v>2272727</v>
      </c>
      <c r="H54" s="49">
        <v>227273</v>
      </c>
      <c r="I54" s="50">
        <v>2500000</v>
      </c>
    </row>
    <row r="55" spans="1:9">
      <c r="A55" s="46">
        <v>28</v>
      </c>
      <c r="B55" s="47">
        <v>1</v>
      </c>
      <c r="C55" s="48" t="s">
        <v>236</v>
      </c>
      <c r="D55" s="48" t="s">
        <v>184</v>
      </c>
      <c r="E55" s="47">
        <v>100</v>
      </c>
      <c r="F55" s="49">
        <v>12500</v>
      </c>
      <c r="G55" s="49">
        <v>1136364</v>
      </c>
      <c r="H55" s="49">
        <v>113636</v>
      </c>
      <c r="I55" s="50">
        <v>1250000</v>
      </c>
    </row>
    <row r="56" spans="1:9">
      <c r="A56" s="46">
        <v>28</v>
      </c>
      <c r="B56" s="47">
        <v>2</v>
      </c>
      <c r="C56" s="48" t="s">
        <v>234</v>
      </c>
      <c r="D56" s="48" t="s">
        <v>190</v>
      </c>
      <c r="E56" s="47">
        <v>200</v>
      </c>
      <c r="F56" s="49">
        <v>12500</v>
      </c>
      <c r="G56" s="49">
        <v>2272727</v>
      </c>
      <c r="H56" s="49">
        <v>227273</v>
      </c>
      <c r="I56" s="50">
        <v>2500000</v>
      </c>
    </row>
    <row r="57" spans="1:9">
      <c r="A57" s="46">
        <v>28</v>
      </c>
      <c r="B57" s="47">
        <v>3</v>
      </c>
      <c r="C57" s="48" t="s">
        <v>236</v>
      </c>
      <c r="D57" s="48" t="s">
        <v>187</v>
      </c>
      <c r="E57" s="47">
        <v>100</v>
      </c>
      <c r="F57" s="49">
        <v>12500</v>
      </c>
      <c r="G57" s="49">
        <v>1136364</v>
      </c>
      <c r="H57" s="49">
        <v>113636</v>
      </c>
      <c r="I57" s="50">
        <v>1250000</v>
      </c>
    </row>
    <row r="58" spans="1:9">
      <c r="A58" s="46">
        <v>29</v>
      </c>
      <c r="B58" s="47">
        <v>1</v>
      </c>
      <c r="C58" s="48" t="s">
        <v>237</v>
      </c>
      <c r="D58" s="48" t="s">
        <v>229</v>
      </c>
      <c r="E58" s="47">
        <v>200</v>
      </c>
      <c r="F58" s="49">
        <v>12500</v>
      </c>
      <c r="G58" s="49">
        <v>2272727</v>
      </c>
      <c r="H58" s="49">
        <v>227273</v>
      </c>
      <c r="I58" s="50">
        <v>2500000</v>
      </c>
    </row>
    <row r="59" spans="1:9">
      <c r="A59" s="46">
        <v>30</v>
      </c>
      <c r="B59" s="47">
        <v>1</v>
      </c>
      <c r="C59" s="48" t="s">
        <v>241</v>
      </c>
      <c r="D59" s="48" t="s">
        <v>190</v>
      </c>
      <c r="E59" s="47">
        <v>200</v>
      </c>
      <c r="F59" s="49">
        <v>8000</v>
      </c>
      <c r="G59" s="49">
        <v>1454545</v>
      </c>
      <c r="H59" s="49">
        <v>145455</v>
      </c>
      <c r="I59" s="50">
        <v>1600000</v>
      </c>
    </row>
    <row r="60" spans="1:9">
      <c r="A60" s="54">
        <v>30</v>
      </c>
      <c r="B60" s="55">
        <v>2</v>
      </c>
      <c r="C60" s="56" t="s">
        <v>234</v>
      </c>
      <c r="D60" s="56" t="s">
        <v>187</v>
      </c>
      <c r="E60" s="55">
        <v>20</v>
      </c>
      <c r="F60" s="57">
        <v>16000</v>
      </c>
      <c r="G60" s="57">
        <v>290909</v>
      </c>
      <c r="H60" s="57">
        <v>29091</v>
      </c>
      <c r="I60" s="58">
        <v>320000</v>
      </c>
    </row>
  </sheetData>
  <phoneticPr fontId="3" type="noConversion"/>
  <pageMargins left="0.75" right="0.75" top="1" bottom="1" header="0.5" footer="0.5"/>
  <pageSetup paperSize="9" orientation="portrait" verticalDpi="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filterMode="1"/>
  <dimension ref="A1:I17"/>
  <sheetViews>
    <sheetView workbookViewId="0">
      <selection sqref="A1:I1"/>
    </sheetView>
  </sheetViews>
  <sheetFormatPr defaultRowHeight="16.5"/>
  <cols>
    <col min="1" max="1" width="9.25" style="43" bestFit="1" customWidth="1"/>
    <col min="2" max="3" width="7.375" style="43" bestFit="1" customWidth="1"/>
    <col min="4" max="4" width="5.5" style="43" bestFit="1" customWidth="1"/>
    <col min="5" max="5" width="9.25" style="1" bestFit="1" customWidth="1"/>
    <col min="6" max="6" width="14.375" style="1" bestFit="1" customWidth="1"/>
    <col min="7" max="7" width="13" style="1" bestFit="1" customWidth="1"/>
    <col min="8" max="8" width="11.125" style="1" bestFit="1" customWidth="1"/>
    <col min="9" max="9" width="13" style="1" bestFit="1" customWidth="1"/>
    <col min="10" max="10" width="4" style="1" customWidth="1"/>
    <col min="11" max="16384" width="9" style="1"/>
  </cols>
  <sheetData>
    <row r="1" spans="1:9" ht="20.25">
      <c r="A1" s="68" t="s">
        <v>147</v>
      </c>
      <c r="B1" s="68"/>
      <c r="C1" s="68"/>
      <c r="D1" s="68"/>
      <c r="E1" s="68"/>
      <c r="F1" s="68"/>
      <c r="G1" s="68"/>
      <c r="H1" s="68"/>
      <c r="I1" s="68"/>
    </row>
    <row r="2" spans="1:9" s="42" customFormat="1">
      <c r="A2" s="23" t="s">
        <v>148</v>
      </c>
      <c r="B2" s="23" t="s">
        <v>149</v>
      </c>
      <c r="C2" s="23" t="s">
        <v>150</v>
      </c>
      <c r="D2" s="23" t="s">
        <v>151</v>
      </c>
      <c r="E2" s="23" t="s">
        <v>152</v>
      </c>
      <c r="F2" s="23" t="s">
        <v>153</v>
      </c>
      <c r="G2" s="23" t="s">
        <v>154</v>
      </c>
      <c r="H2" s="23" t="s">
        <v>155</v>
      </c>
      <c r="I2" s="23" t="s">
        <v>156</v>
      </c>
    </row>
    <row r="3" spans="1:9">
      <c r="A3" s="16" t="s">
        <v>157</v>
      </c>
      <c r="B3" s="16" t="s">
        <v>158</v>
      </c>
      <c r="C3" s="16" t="s">
        <v>22</v>
      </c>
      <c r="D3" s="16" t="s">
        <v>24</v>
      </c>
      <c r="E3" s="17">
        <v>16</v>
      </c>
      <c r="F3" s="22">
        <v>1266666.6666663333</v>
      </c>
      <c r="G3" s="22">
        <v>480000</v>
      </c>
      <c r="H3" s="22">
        <v>208000</v>
      </c>
      <c r="I3" s="22">
        <f>F3+G3+H3</f>
        <v>1954666.6666663333</v>
      </c>
    </row>
    <row r="4" spans="1:9">
      <c r="A4" s="16" t="s">
        <v>159</v>
      </c>
      <c r="B4" s="16" t="s">
        <v>160</v>
      </c>
      <c r="C4" s="16" t="s">
        <v>161</v>
      </c>
      <c r="D4" s="16" t="s">
        <v>20</v>
      </c>
      <c r="E4" s="17">
        <v>9</v>
      </c>
      <c r="F4" s="22">
        <v>1250000</v>
      </c>
      <c r="G4" s="22">
        <v>375000</v>
      </c>
      <c r="H4" s="22">
        <v>62500</v>
      </c>
      <c r="I4" s="22">
        <f t="shared" ref="I4:I11" si="0">F4+G4+H4</f>
        <v>1687500</v>
      </c>
    </row>
    <row r="5" spans="1:9" hidden="1">
      <c r="A5" s="16" t="s">
        <v>162</v>
      </c>
      <c r="B5" s="16" t="s">
        <v>163</v>
      </c>
      <c r="C5" s="16" t="s">
        <v>22</v>
      </c>
      <c r="D5" s="16" t="s">
        <v>16</v>
      </c>
      <c r="E5" s="17">
        <v>4</v>
      </c>
      <c r="F5" s="22">
        <v>666666.66666633333</v>
      </c>
      <c r="G5" s="22">
        <v>200000</v>
      </c>
      <c r="H5" s="22">
        <v>20000</v>
      </c>
      <c r="I5" s="22">
        <f t="shared" si="0"/>
        <v>886666.66666633333</v>
      </c>
    </row>
    <row r="6" spans="1:9">
      <c r="A6" s="16" t="s">
        <v>164</v>
      </c>
      <c r="B6" s="16" t="s">
        <v>165</v>
      </c>
      <c r="C6" s="16" t="s">
        <v>166</v>
      </c>
      <c r="D6" s="16" t="s">
        <v>24</v>
      </c>
      <c r="E6" s="17">
        <v>12</v>
      </c>
      <c r="F6" s="22">
        <v>1400000</v>
      </c>
      <c r="G6" s="22">
        <v>420000</v>
      </c>
      <c r="H6" s="22">
        <v>112000</v>
      </c>
      <c r="I6" s="22">
        <f t="shared" si="0"/>
        <v>1932000</v>
      </c>
    </row>
    <row r="7" spans="1:9" hidden="1">
      <c r="A7" s="16" t="s">
        <v>167</v>
      </c>
      <c r="B7" s="16" t="s">
        <v>168</v>
      </c>
      <c r="C7" s="16" t="s">
        <v>161</v>
      </c>
      <c r="D7" s="16" t="s">
        <v>16</v>
      </c>
      <c r="E7" s="17">
        <v>3</v>
      </c>
      <c r="F7" s="22">
        <v>950000</v>
      </c>
      <c r="G7" s="22">
        <v>190000</v>
      </c>
      <c r="H7" s="22">
        <v>19000</v>
      </c>
      <c r="I7" s="22">
        <f t="shared" si="0"/>
        <v>1159000</v>
      </c>
    </row>
    <row r="8" spans="1:9" hidden="1">
      <c r="A8" s="16" t="s">
        <v>169</v>
      </c>
      <c r="B8" s="16" t="s">
        <v>170</v>
      </c>
      <c r="C8" s="16" t="s">
        <v>166</v>
      </c>
      <c r="D8" s="16" t="s">
        <v>16</v>
      </c>
      <c r="E8" s="17">
        <v>4</v>
      </c>
      <c r="F8" s="22">
        <v>1000000</v>
      </c>
      <c r="G8" s="22">
        <v>200000</v>
      </c>
      <c r="H8" s="22">
        <v>20000</v>
      </c>
      <c r="I8" s="22">
        <f t="shared" si="0"/>
        <v>1220000</v>
      </c>
    </row>
    <row r="9" spans="1:9">
      <c r="A9" s="16" t="s">
        <v>171</v>
      </c>
      <c r="B9" s="16" t="s">
        <v>172</v>
      </c>
      <c r="C9" s="16" t="s">
        <v>22</v>
      </c>
      <c r="D9" s="16" t="s">
        <v>20</v>
      </c>
      <c r="E9" s="17">
        <v>8</v>
      </c>
      <c r="F9" s="22">
        <v>866666.66666633333</v>
      </c>
      <c r="G9" s="22">
        <v>360000</v>
      </c>
      <c r="H9" s="22">
        <v>60000</v>
      </c>
      <c r="I9" s="22">
        <f t="shared" si="0"/>
        <v>1286666.6666663333</v>
      </c>
    </row>
    <row r="10" spans="1:9">
      <c r="A10" s="16" t="s">
        <v>173</v>
      </c>
      <c r="B10" s="16" t="s">
        <v>174</v>
      </c>
      <c r="C10" s="16" t="s">
        <v>166</v>
      </c>
      <c r="D10" s="16" t="s">
        <v>20</v>
      </c>
      <c r="E10" s="17">
        <v>9</v>
      </c>
      <c r="F10" s="22">
        <v>1250000</v>
      </c>
      <c r="G10" s="22">
        <v>375000</v>
      </c>
      <c r="H10" s="22">
        <v>62500</v>
      </c>
      <c r="I10" s="22">
        <f t="shared" si="0"/>
        <v>1687500</v>
      </c>
    </row>
    <row r="11" spans="1:9">
      <c r="A11" s="16" t="s">
        <v>175</v>
      </c>
      <c r="B11" s="16" t="s">
        <v>176</v>
      </c>
      <c r="C11" s="16" t="s">
        <v>161</v>
      </c>
      <c r="D11" s="16" t="s">
        <v>24</v>
      </c>
      <c r="E11" s="17">
        <v>11</v>
      </c>
      <c r="F11" s="22">
        <v>1350000</v>
      </c>
      <c r="G11" s="22">
        <v>405000</v>
      </c>
      <c r="H11" s="22">
        <v>108000</v>
      </c>
      <c r="I11" s="22">
        <f t="shared" si="0"/>
        <v>1863000</v>
      </c>
    </row>
    <row r="16" spans="1:9">
      <c r="A16" s="1"/>
      <c r="B16" s="1"/>
      <c r="C16" s="1"/>
      <c r="D16" s="1"/>
    </row>
    <row r="17" spans="1:4">
      <c r="A17" s="1"/>
      <c r="B17" s="1"/>
      <c r="C17" s="1"/>
      <c r="D17" s="1"/>
    </row>
  </sheetData>
  <autoFilter ref="A2:I11">
    <filterColumn colId="3">
      <filters>
        <filter val="과장"/>
        <filter val="부장"/>
      </filters>
    </filterColumn>
  </autoFilter>
  <mergeCells count="1">
    <mergeCell ref="A1:I1"/>
  </mergeCells>
  <phoneticPr fontId="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지급액">
                <anchor moveWithCells="1" siz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간부보기">
                <anchor moveWithCells="1" siz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workbookViewId="0">
      <selection sqref="A1:F1"/>
    </sheetView>
  </sheetViews>
  <sheetFormatPr defaultRowHeight="16.5"/>
  <cols>
    <col min="1" max="1" width="9.25" style="1" bestFit="1" customWidth="1"/>
    <col min="2" max="2" width="7.375" style="1" bestFit="1" customWidth="1"/>
    <col min="3" max="6" width="9.25" style="1" bestFit="1" customWidth="1"/>
    <col min="7" max="16384" width="9" style="1"/>
  </cols>
  <sheetData>
    <row r="1" spans="1:6">
      <c r="A1" s="72" t="s">
        <v>177</v>
      </c>
      <c r="B1" s="72"/>
      <c r="C1" s="72"/>
      <c r="D1" s="72"/>
      <c r="E1" s="72"/>
      <c r="F1" s="72"/>
    </row>
    <row r="2" spans="1:6">
      <c r="A2" s="17" t="s">
        <v>178</v>
      </c>
      <c r="B2" s="17" t="s">
        <v>179</v>
      </c>
      <c r="C2" s="17" t="s">
        <v>180</v>
      </c>
      <c r="D2" s="17" t="s">
        <v>181</v>
      </c>
      <c r="E2" s="17" t="s">
        <v>182</v>
      </c>
      <c r="F2" s="17" t="s">
        <v>183</v>
      </c>
    </row>
    <row r="3" spans="1:6">
      <c r="A3" s="17">
        <v>1</v>
      </c>
      <c r="B3" s="17" t="s">
        <v>184</v>
      </c>
      <c r="C3" s="17">
        <v>1</v>
      </c>
      <c r="D3" s="17">
        <v>6</v>
      </c>
      <c r="E3" s="17">
        <v>16000</v>
      </c>
      <c r="F3" s="17">
        <v>20800</v>
      </c>
    </row>
    <row r="4" spans="1:6">
      <c r="A4" s="17">
        <v>2</v>
      </c>
      <c r="B4" s="17" t="s">
        <v>185</v>
      </c>
      <c r="C4" s="17">
        <v>3</v>
      </c>
      <c r="D4" s="17">
        <v>31</v>
      </c>
      <c r="E4" s="17">
        <v>55032</v>
      </c>
      <c r="F4" s="17">
        <v>429251</v>
      </c>
    </row>
    <row r="5" spans="1:6">
      <c r="A5" s="17">
        <v>3</v>
      </c>
      <c r="B5" s="17" t="s">
        <v>186</v>
      </c>
      <c r="C5" s="17">
        <v>2</v>
      </c>
      <c r="D5" s="17">
        <v>14</v>
      </c>
      <c r="E5" s="17">
        <v>44142</v>
      </c>
      <c r="F5" s="17">
        <v>141257</v>
      </c>
    </row>
    <row r="6" spans="1:6">
      <c r="A6" s="17">
        <v>4</v>
      </c>
      <c r="B6" s="17" t="s">
        <v>187</v>
      </c>
      <c r="C6" s="17">
        <v>3</v>
      </c>
      <c r="D6" s="17">
        <v>72</v>
      </c>
      <c r="E6" s="17">
        <v>12337</v>
      </c>
      <c r="F6" s="17">
        <v>247983</v>
      </c>
    </row>
    <row r="7" spans="1:6">
      <c r="A7" s="17">
        <v>5</v>
      </c>
      <c r="B7" s="17" t="s">
        <v>188</v>
      </c>
      <c r="C7" s="17">
        <v>3</v>
      </c>
      <c r="D7" s="17">
        <v>45</v>
      </c>
      <c r="E7" s="17">
        <v>10355</v>
      </c>
      <c r="F7" s="17">
        <v>124266</v>
      </c>
    </row>
    <row r="8" spans="1:6">
      <c r="A8" s="17">
        <v>6</v>
      </c>
      <c r="B8" s="17" t="s">
        <v>189</v>
      </c>
      <c r="C8" s="17">
        <v>4</v>
      </c>
      <c r="D8" s="17">
        <v>38</v>
      </c>
      <c r="E8" s="17">
        <v>16131</v>
      </c>
      <c r="F8" s="17">
        <v>151636</v>
      </c>
    </row>
    <row r="9" spans="1:6">
      <c r="A9" s="17">
        <v>7</v>
      </c>
      <c r="B9" s="17" t="s">
        <v>190</v>
      </c>
      <c r="C9" s="17">
        <v>1</v>
      </c>
      <c r="D9" s="17">
        <v>15</v>
      </c>
      <c r="E9" s="17">
        <v>12500</v>
      </c>
      <c r="F9" s="17">
        <v>50000</v>
      </c>
    </row>
    <row r="10" spans="1:6">
      <c r="A10" s="17">
        <v>8</v>
      </c>
      <c r="B10" s="17" t="s">
        <v>191</v>
      </c>
      <c r="C10" s="17">
        <v>2</v>
      </c>
      <c r="D10" s="17">
        <v>47</v>
      </c>
      <c r="E10" s="17">
        <v>12500</v>
      </c>
      <c r="F10" s="17">
        <v>163750</v>
      </c>
    </row>
  </sheetData>
  <mergeCells count="1">
    <mergeCell ref="A1:F1"/>
  </mergeCells>
  <phoneticPr fontId="3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5"/>
  <sheetViews>
    <sheetView workbookViewId="0"/>
  </sheetViews>
  <sheetFormatPr defaultRowHeight="16.5"/>
  <cols>
    <col min="1" max="1" width="4.25" style="1" customWidth="1"/>
    <col min="2" max="2" width="11.75" style="1" customWidth="1"/>
    <col min="3" max="4" width="11.75" style="1" bestFit="1" customWidth="1"/>
    <col min="5" max="5" width="12.5" style="1" bestFit="1" customWidth="1"/>
    <col min="6" max="16384" width="9" style="1"/>
  </cols>
  <sheetData>
    <row r="1" spans="2:8">
      <c r="B1" s="1" t="s">
        <v>192</v>
      </c>
    </row>
    <row r="3" spans="2:8">
      <c r="B3" s="44" t="s">
        <v>193</v>
      </c>
      <c r="C3" s="44" t="s">
        <v>194</v>
      </c>
      <c r="D3" s="44" t="s">
        <v>195</v>
      </c>
      <c r="E3" s="44" t="s">
        <v>196</v>
      </c>
      <c r="H3" s="44"/>
    </row>
    <row r="4" spans="2:8">
      <c r="B4" s="1" t="s">
        <v>197</v>
      </c>
      <c r="C4" s="1">
        <v>3</v>
      </c>
      <c r="D4" s="1">
        <v>6</v>
      </c>
      <c r="E4" s="1">
        <v>9</v>
      </c>
    </row>
    <row r="5" spans="2:8">
      <c r="B5" s="1" t="s">
        <v>198</v>
      </c>
      <c r="C5" s="1">
        <v>3</v>
      </c>
      <c r="D5" s="1">
        <v>4</v>
      </c>
      <c r="E5" s="1">
        <v>7</v>
      </c>
    </row>
  </sheetData>
  <phoneticPr fontId="3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2</xdr:col>
                <xdr:colOff>742950</xdr:colOff>
                <xdr:row>0</xdr:row>
                <xdr:rowOff>57150</xdr:rowOff>
              </from>
              <to>
                <xdr:col>3</xdr:col>
                <xdr:colOff>866775</xdr:colOff>
                <xdr:row>1</xdr:row>
                <xdr:rowOff>152400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'기본작업-3'!Print_Area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2018-08-21T11:16:37Z</cp:lastPrinted>
  <dcterms:created xsi:type="dcterms:W3CDTF">2017-08-29T13:23:40Z</dcterms:created>
  <dcterms:modified xsi:type="dcterms:W3CDTF">2018-08-29T06:30:53Z</dcterms:modified>
</cp:coreProperties>
</file>