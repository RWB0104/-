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hidePivotFieldList="1" defaultThemeVersion="124226"/>
  <workbookProtection lockWindows="1"/>
  <bookViews>
    <workbookView xWindow="225" yWindow="180" windowWidth="24210" windowHeight="12960" activeTab="4"/>
  </bookViews>
  <sheets>
    <sheet name="기본작업-1" sheetId="1" r:id="rId1"/>
    <sheet name="기본작업-2" sheetId="2" r:id="rId2"/>
    <sheet name="기본작업-3" sheetId="9" r:id="rId3"/>
    <sheet name="계산작업" sheetId="3" r:id="rId4"/>
    <sheet name="분석작업-1" sheetId="4" r:id="rId5"/>
    <sheet name="분석작업-2" sheetId="5" r:id="rId6"/>
    <sheet name="Chart1" sheetId="11" r:id="rId7"/>
    <sheet name="기타작업-1" sheetId="7" r:id="rId8"/>
    <sheet name="기타작업-2" sheetId="8" r:id="rId9"/>
  </sheets>
  <functionGroups builtInGroupCount="17"/>
  <definedNames>
    <definedName name="_xlnm._FilterDatabase" localSheetId="1" hidden="1">'기본작업-2'!$A$17:$I$26</definedName>
    <definedName name="_xlnm._FilterDatabase" localSheetId="2" hidden="1">'기본작업-3'!#REF!</definedName>
    <definedName name="_xlnm.Criteria" localSheetId="1">'기본작업-2'!$A$29:$A$30</definedName>
    <definedName name="_xlnm.Criteria" localSheetId="2">'기본작업-3'!#REF!</definedName>
    <definedName name="_xlnm.Extract" localSheetId="1">'기본작업-2'!$A$33:$I$33</definedName>
    <definedName name="_xlnm.Extract" localSheetId="2">'기본작업-3'!#REF!</definedName>
    <definedName name="MS_Access_Database_Query" localSheetId="1" hidden="1">'기본작업-2'!#REF!</definedName>
    <definedName name="MS_Access_Database_Query" localSheetId="2" hidden="1">'기본작업-3'!#REF!</definedName>
  </definedNames>
  <calcPr calcId="145621"/>
  <pivotCaches>
    <pivotCache cacheId="21" r:id="rId10"/>
  </pivotCaches>
</workbook>
</file>

<file path=xl/calcChain.xml><?xml version="1.0" encoding="utf-8"?>
<calcChain xmlns="http://schemas.openxmlformats.org/spreadsheetml/2006/main">
  <c r="F11" i="9" l="1"/>
  <c r="E11" i="9"/>
  <c r="F10" i="9"/>
  <c r="E10" i="9"/>
  <c r="F9" i="9"/>
  <c r="E9" i="9"/>
  <c r="F8" i="9"/>
  <c r="E8" i="9"/>
  <c r="F7" i="9"/>
  <c r="E7" i="9"/>
  <c r="F6" i="9"/>
  <c r="E6" i="9"/>
  <c r="F5" i="9"/>
  <c r="E5" i="9"/>
  <c r="F4" i="9"/>
  <c r="E4" i="9"/>
  <c r="G15" i="5" l="1"/>
  <c r="G14" i="5"/>
  <c r="G8" i="5"/>
  <c r="G5" i="5"/>
  <c r="G40" i="3" l="1"/>
  <c r="G39" i="3"/>
  <c r="G38" i="3"/>
  <c r="G37" i="3"/>
  <c r="G36" i="3"/>
  <c r="G35" i="3"/>
  <c r="G34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H13" i="3" a="1"/>
  <c r="H13" i="3" s="1"/>
  <c r="E13" i="3"/>
  <c r="F13" i="3" s="1" a="1"/>
  <c r="C9" i="3" a="1"/>
  <c r="C9" i="3" s="1"/>
  <c r="C8" i="3" a="1"/>
  <c r="C8" i="3" s="1"/>
  <c r="C7" i="3" a="1"/>
  <c r="C7" i="3" s="1"/>
  <c r="A30" i="2"/>
  <c r="D11" i="2"/>
  <c r="E11" i="2" s="1"/>
  <c r="F11" i="2" s="1"/>
  <c r="G11" i="2" s="1"/>
  <c r="E10" i="2"/>
  <c r="F10" i="2" s="1"/>
  <c r="G10" i="2" s="1"/>
  <c r="D10" i="2"/>
  <c r="D9" i="2"/>
  <c r="E9" i="2" s="1"/>
  <c r="F9" i="2" s="1"/>
  <c r="G9" i="2" s="1"/>
  <c r="E8" i="2"/>
  <c r="F8" i="2" s="1"/>
  <c r="G8" i="2" s="1"/>
  <c r="D8" i="2"/>
  <c r="D7" i="2"/>
  <c r="E7" i="2" s="1"/>
  <c r="F7" i="2" s="1"/>
  <c r="G7" i="2" s="1"/>
  <c r="E6" i="2"/>
  <c r="F6" i="2" s="1"/>
  <c r="G6" i="2" s="1"/>
  <c r="D6" i="2"/>
  <c r="D5" i="2"/>
  <c r="E5" i="2" s="1"/>
  <c r="F5" i="2" s="1"/>
  <c r="G5" i="2" s="1"/>
  <c r="E4" i="2"/>
  <c r="F4" i="2" s="1"/>
  <c r="G4" i="2" s="1"/>
  <c r="D4" i="2"/>
  <c r="E39" i="3"/>
  <c r="E38" i="3"/>
  <c r="E34" i="3"/>
  <c r="E40" i="3"/>
  <c r="E36" i="3"/>
  <c r="E35" i="3"/>
  <c r="E37" i="3"/>
  <c r="F28" i="3" l="1"/>
  <c r="G28" i="3" s="1"/>
  <c r="F24" i="3"/>
  <c r="G24" i="3" s="1"/>
  <c r="F20" i="3"/>
  <c r="G20" i="3" s="1"/>
  <c r="F16" i="3"/>
  <c r="G16" i="3" s="1"/>
  <c r="F27" i="3"/>
  <c r="G27" i="3" s="1"/>
  <c r="F23" i="3"/>
  <c r="G23" i="3" s="1"/>
  <c r="F19" i="3"/>
  <c r="G19" i="3" s="1"/>
  <c r="F15" i="3"/>
  <c r="G15" i="3" s="1"/>
  <c r="F30" i="3"/>
  <c r="G30" i="3" s="1"/>
  <c r="F26" i="3"/>
  <c r="G26" i="3" s="1"/>
  <c r="F22" i="3"/>
  <c r="G22" i="3" s="1"/>
  <c r="F18" i="3"/>
  <c r="G18" i="3" s="1"/>
  <c r="F14" i="3"/>
  <c r="G14" i="3" s="1"/>
  <c r="F29" i="3"/>
  <c r="G29" i="3" s="1"/>
  <c r="F25" i="3"/>
  <c r="G25" i="3" s="1"/>
  <c r="F21" i="3"/>
  <c r="G21" i="3" s="1"/>
  <c r="F17" i="3"/>
  <c r="G17" i="3" s="1"/>
  <c r="F13" i="3"/>
  <c r="G13" i="3" s="1"/>
</calcChain>
</file>

<file path=xl/connections.xml><?xml version="1.0" encoding="utf-8"?>
<connections xmlns="http://schemas.openxmlformats.org/spreadsheetml/2006/main">
  <connection id="1" name="MS Access Database_Query" type="1" refreshedVersion="4">
    <dbPr connection="DSN=MS Access Database;DBQ=C:\길벗컴활1급(2010)\01 엑셀\03 기본모의고사\가전판매내역.accdb;DefaultDir=C:\길벗컴활1급(2010)\01 엑셀\03 기본모의고사;DriverId=25;FIL=MS Access;MaxBufferSize=2048;PageTimeout=5;" command="SELECT 제품.제품명, 제품.분류코드, 판매현황.주문날짜, 판매현황.수량, 판매현황.판매금액_x000d__x000a_FROM `C:\길벗컴활1급(2010)\01 엑셀\03 기본모의고사\가전판매내역.accdb`.제품 제품, `C:\길벗컴활1급(2010)\01 엑셀\03 기본모의고사\가전판매내역.accdb`.판매현황 판매현황_x000d__x000a_WHERE 제품.모델명 = 판매현황.모델명"/>
  </connection>
</connections>
</file>

<file path=xl/sharedStrings.xml><?xml version="1.0" encoding="utf-8"?>
<sst xmlns="http://schemas.openxmlformats.org/spreadsheetml/2006/main" count="434" uniqueCount="237">
  <si>
    <t>등급별 판매량</t>
    <phoneticPr fontId="5" type="noConversion"/>
  </si>
  <si>
    <t>제품코드</t>
  </si>
  <si>
    <t>제품명</t>
  </si>
  <si>
    <t>판매량</t>
  </si>
  <si>
    <t>단가</t>
  </si>
  <si>
    <t>할인율</t>
  </si>
  <si>
    <t>총매출</t>
  </si>
  <si>
    <t>등급</t>
  </si>
  <si>
    <t>AUD-A</t>
  </si>
  <si>
    <t>AUD</t>
  </si>
  <si>
    <t>고급형</t>
  </si>
  <si>
    <t>AUD-B</t>
  </si>
  <si>
    <t>AUD-C</t>
  </si>
  <si>
    <t>TV-B</t>
  </si>
  <si>
    <t>TV</t>
  </si>
  <si>
    <t>TV-C</t>
  </si>
  <si>
    <t>VCR-A</t>
  </si>
  <si>
    <t>VCR</t>
  </si>
  <si>
    <t>[표1]</t>
    <phoneticPr fontId="5" type="noConversion"/>
  </si>
  <si>
    <t>급여 분석 현황</t>
    <phoneticPr fontId="5" type="noConversion"/>
  </si>
  <si>
    <t>성명</t>
    <phoneticPr fontId="5" type="noConversion"/>
  </si>
  <si>
    <t>직위</t>
    <phoneticPr fontId="5" type="noConversion"/>
  </si>
  <si>
    <t>기본급</t>
    <phoneticPr fontId="5" type="noConversion"/>
  </si>
  <si>
    <t>상여금</t>
    <phoneticPr fontId="5" type="noConversion"/>
  </si>
  <si>
    <t>급여계</t>
    <phoneticPr fontId="5" type="noConversion"/>
  </si>
  <si>
    <t>공제계</t>
    <phoneticPr fontId="5" type="noConversion"/>
  </si>
  <si>
    <t>실수령액</t>
    <phoneticPr fontId="5" type="noConversion"/>
  </si>
  <si>
    <t>이지형</t>
    <phoneticPr fontId="5" type="noConversion"/>
  </si>
  <si>
    <t>부장</t>
    <phoneticPr fontId="5" type="noConversion"/>
  </si>
  <si>
    <t>나현희</t>
    <phoneticPr fontId="5" type="noConversion"/>
  </si>
  <si>
    <t>대리</t>
    <phoneticPr fontId="5" type="noConversion"/>
  </si>
  <si>
    <t>오지명</t>
    <phoneticPr fontId="5" type="noConversion"/>
  </si>
  <si>
    <t>부장</t>
    <phoneticPr fontId="5" type="noConversion"/>
  </si>
  <si>
    <t>차이슬</t>
    <phoneticPr fontId="5" type="noConversion"/>
  </si>
  <si>
    <t>과장</t>
    <phoneticPr fontId="5" type="noConversion"/>
  </si>
  <si>
    <t>정금호</t>
    <phoneticPr fontId="5" type="noConversion"/>
  </si>
  <si>
    <t>백주영</t>
    <phoneticPr fontId="5" type="noConversion"/>
  </si>
  <si>
    <t>사원</t>
    <phoneticPr fontId="5" type="noConversion"/>
  </si>
  <si>
    <t>하지연</t>
    <phoneticPr fontId="5" type="noConversion"/>
  </si>
  <si>
    <t>피호성</t>
    <phoneticPr fontId="5" type="noConversion"/>
  </si>
  <si>
    <t>[표2]</t>
    <phoneticPr fontId="5" type="noConversion"/>
  </si>
  <si>
    <t>1분기 맥주 판매량</t>
    <phoneticPr fontId="5" type="noConversion"/>
  </si>
  <si>
    <t>월별</t>
    <phoneticPr fontId="5" type="noConversion"/>
  </si>
  <si>
    <t>품명</t>
  </si>
  <si>
    <t>전월이월</t>
  </si>
  <si>
    <t>매입수량</t>
  </si>
  <si>
    <t>매입금액</t>
  </si>
  <si>
    <t>매출수량</t>
  </si>
  <si>
    <t>매출금액</t>
  </si>
  <si>
    <t>차월이월</t>
  </si>
  <si>
    <t>매출이익</t>
  </si>
  <si>
    <t>1월</t>
    <phoneticPr fontId="5" type="noConversion"/>
  </si>
  <si>
    <t>라거</t>
  </si>
  <si>
    <t>2월</t>
    <phoneticPr fontId="5" type="noConversion"/>
  </si>
  <si>
    <t>3월</t>
    <phoneticPr fontId="5" type="noConversion"/>
  </si>
  <si>
    <t>1월</t>
    <phoneticPr fontId="5" type="noConversion"/>
  </si>
  <si>
    <t>카스</t>
  </si>
  <si>
    <t>하이트</t>
  </si>
  <si>
    <t>조건</t>
    <phoneticPr fontId="4" type="noConversion"/>
  </si>
  <si>
    <t>월별</t>
    <phoneticPr fontId="5" type="noConversion"/>
  </si>
  <si>
    <t>[표1]</t>
    <phoneticPr fontId="5" type="noConversion"/>
  </si>
  <si>
    <t>기준표</t>
    <phoneticPr fontId="5" type="noConversion"/>
  </si>
  <si>
    <t>상품</t>
    <phoneticPr fontId="5" type="noConversion"/>
  </si>
  <si>
    <t>마우스</t>
    <phoneticPr fontId="5" type="noConversion"/>
  </si>
  <si>
    <t>메인보드</t>
    <phoneticPr fontId="5" type="noConversion"/>
  </si>
  <si>
    <t>모뎀</t>
    <phoneticPr fontId="5" type="noConversion"/>
  </si>
  <si>
    <t>키보드</t>
    <phoneticPr fontId="5" type="noConversion"/>
  </si>
  <si>
    <t>프린터</t>
    <phoneticPr fontId="5" type="noConversion"/>
  </si>
  <si>
    <t>하드디스크</t>
    <phoneticPr fontId="5" type="noConversion"/>
  </si>
  <si>
    <t>단가</t>
    <phoneticPr fontId="5" type="noConversion"/>
  </si>
  <si>
    <t>[표2]</t>
    <phoneticPr fontId="5" type="noConversion"/>
  </si>
  <si>
    <t>대리점</t>
    <phoneticPr fontId="5" type="noConversion"/>
  </si>
  <si>
    <t>세율</t>
    <phoneticPr fontId="5" type="noConversion"/>
  </si>
  <si>
    <t>수량 중간값</t>
    <phoneticPr fontId="5" type="noConversion"/>
  </si>
  <si>
    <t>영등포</t>
    <phoneticPr fontId="5" type="noConversion"/>
  </si>
  <si>
    <t>용산</t>
    <phoneticPr fontId="5" type="noConversion"/>
  </si>
  <si>
    <t>명동</t>
    <phoneticPr fontId="5" type="noConversion"/>
  </si>
  <si>
    <t>[표3]</t>
    <phoneticPr fontId="5" type="noConversion"/>
  </si>
  <si>
    <t>대리점</t>
    <phoneticPr fontId="5" type="noConversion"/>
  </si>
  <si>
    <t>주문일자</t>
    <phoneticPr fontId="5" type="noConversion"/>
  </si>
  <si>
    <t>상품명</t>
    <phoneticPr fontId="5" type="noConversion"/>
  </si>
  <si>
    <t>수량</t>
    <phoneticPr fontId="5" type="noConversion"/>
  </si>
  <si>
    <t>단가</t>
    <phoneticPr fontId="5" type="noConversion"/>
  </si>
  <si>
    <t>금액</t>
    <phoneticPr fontId="5" type="noConversion"/>
  </si>
  <si>
    <t>주문금액</t>
    <phoneticPr fontId="5" type="noConversion"/>
  </si>
  <si>
    <t>용산 대리점</t>
    <phoneticPr fontId="5" type="noConversion"/>
  </si>
  <si>
    <t>영등포</t>
    <phoneticPr fontId="5" type="noConversion"/>
  </si>
  <si>
    <t>마우스</t>
    <phoneticPr fontId="5" type="noConversion"/>
  </si>
  <si>
    <t>메인보드</t>
    <phoneticPr fontId="5" type="noConversion"/>
  </si>
  <si>
    <t>모뎀</t>
    <phoneticPr fontId="5" type="noConversion"/>
  </si>
  <si>
    <t>하드디스크</t>
    <phoneticPr fontId="5" type="noConversion"/>
  </si>
  <si>
    <t>키보드</t>
    <phoneticPr fontId="5" type="noConversion"/>
  </si>
  <si>
    <t>프린터</t>
    <phoneticPr fontId="5" type="noConversion"/>
  </si>
  <si>
    <t>[표4]</t>
    <phoneticPr fontId="5" type="noConversion"/>
  </si>
  <si>
    <t>매출 현황</t>
    <phoneticPr fontId="5" type="noConversion"/>
  </si>
  <si>
    <t>품목</t>
    <phoneticPr fontId="5" type="noConversion"/>
  </si>
  <si>
    <t>지점</t>
    <phoneticPr fontId="5" type="noConversion"/>
  </si>
  <si>
    <t>작년</t>
    <phoneticPr fontId="5" type="noConversion"/>
  </si>
  <si>
    <t>올해</t>
    <phoneticPr fontId="5" type="noConversion"/>
  </si>
  <si>
    <t>매출성장평가</t>
    <phoneticPr fontId="5" type="noConversion"/>
  </si>
  <si>
    <t>매출계획</t>
    <phoneticPr fontId="5" type="noConversion"/>
  </si>
  <si>
    <t>보너스 유무</t>
    <phoneticPr fontId="5" type="noConversion"/>
  </si>
  <si>
    <t>컴퓨터</t>
    <phoneticPr fontId="5" type="noConversion"/>
  </si>
  <si>
    <t>중부</t>
    <phoneticPr fontId="5" type="noConversion"/>
  </si>
  <si>
    <t>남부</t>
    <phoneticPr fontId="5" type="noConversion"/>
  </si>
  <si>
    <t>소프트웨어</t>
    <phoneticPr fontId="5" type="noConversion"/>
  </si>
  <si>
    <t>동부</t>
    <phoneticPr fontId="5" type="noConversion"/>
  </si>
  <si>
    <t>남부</t>
    <phoneticPr fontId="5" type="noConversion"/>
  </si>
  <si>
    <t>반도체</t>
    <phoneticPr fontId="5" type="noConversion"/>
  </si>
  <si>
    <t>중부</t>
    <phoneticPr fontId="5" type="noConversion"/>
  </si>
  <si>
    <t>CD-R</t>
    <phoneticPr fontId="5" type="noConversion"/>
  </si>
  <si>
    <t>분류코드</t>
  </si>
  <si>
    <t>소형가전</t>
  </si>
  <si>
    <t>다리미</t>
  </si>
  <si>
    <t>면도기</t>
  </si>
  <si>
    <t>전동치솔</t>
  </si>
  <si>
    <t>평균 : 수량</t>
  </si>
  <si>
    <t>평균 : 판매금액</t>
  </si>
  <si>
    <t>전체 평균 : 수량</t>
  </si>
  <si>
    <t>전체 평균 : 판매금액</t>
  </si>
  <si>
    <t>보수 지급 현황</t>
    <phoneticPr fontId="5" type="noConversion"/>
  </si>
  <si>
    <t>성명</t>
    <phoneticPr fontId="5" type="noConversion"/>
  </si>
  <si>
    <t>팀명</t>
    <phoneticPr fontId="5" type="noConversion"/>
  </si>
  <si>
    <t>직위</t>
    <phoneticPr fontId="5" type="noConversion"/>
  </si>
  <si>
    <t>근무년수</t>
    <phoneticPr fontId="5" type="noConversion"/>
  </si>
  <si>
    <t>연봉</t>
    <phoneticPr fontId="5" type="noConversion"/>
  </si>
  <si>
    <t>성과급</t>
    <phoneticPr fontId="5" type="noConversion"/>
  </si>
  <si>
    <t>지급액</t>
    <phoneticPr fontId="5" type="noConversion"/>
  </si>
  <si>
    <t>지급월</t>
    <phoneticPr fontId="5" type="noConversion"/>
  </si>
  <si>
    <t>비고</t>
    <phoneticPr fontId="5" type="noConversion"/>
  </si>
  <si>
    <t>도지연</t>
    <phoneticPr fontId="5" type="noConversion"/>
  </si>
  <si>
    <t>3팀</t>
    <phoneticPr fontId="5" type="noConversion"/>
  </si>
  <si>
    <t>과장</t>
    <phoneticPr fontId="5" type="noConversion"/>
  </si>
  <si>
    <t>FEB</t>
    <phoneticPr fontId="5" type="noConversion"/>
  </si>
  <si>
    <t>기타</t>
    <phoneticPr fontId="5" type="noConversion"/>
  </si>
  <si>
    <t>이세돌</t>
    <phoneticPr fontId="5" type="noConversion"/>
  </si>
  <si>
    <t>2팀</t>
    <phoneticPr fontId="5" type="noConversion"/>
  </si>
  <si>
    <t>JUN</t>
    <phoneticPr fontId="5" type="noConversion"/>
  </si>
  <si>
    <t>과장 최대값</t>
  </si>
  <si>
    <t>강구철</t>
    <phoneticPr fontId="5" type="noConversion"/>
  </si>
  <si>
    <t>1팀</t>
    <phoneticPr fontId="5" type="noConversion"/>
  </si>
  <si>
    <t>부장</t>
    <phoneticPr fontId="5" type="noConversion"/>
  </si>
  <si>
    <t>JAN</t>
    <phoneticPr fontId="5" type="noConversion"/>
  </si>
  <si>
    <t>장기근속</t>
    <phoneticPr fontId="5" type="noConversion"/>
  </si>
  <si>
    <t>한석봉</t>
    <phoneticPr fontId="5" type="noConversion"/>
  </si>
  <si>
    <t>MAY</t>
    <phoneticPr fontId="5" type="noConversion"/>
  </si>
  <si>
    <t>부장 최대값</t>
  </si>
  <si>
    <t>안수영</t>
    <phoneticPr fontId="5" type="noConversion"/>
  </si>
  <si>
    <t>사원</t>
    <phoneticPr fontId="5" type="noConversion"/>
  </si>
  <si>
    <t>MAR</t>
    <phoneticPr fontId="5" type="noConversion"/>
  </si>
  <si>
    <t>김인철</t>
    <phoneticPr fontId="5" type="noConversion"/>
  </si>
  <si>
    <t>APR</t>
    <phoneticPr fontId="5" type="noConversion"/>
  </si>
  <si>
    <t>유창혁</t>
    <phoneticPr fontId="5" type="noConversion"/>
  </si>
  <si>
    <t>JUL</t>
    <phoneticPr fontId="5" type="noConversion"/>
  </si>
  <si>
    <t>서도연</t>
    <phoneticPr fontId="5" type="noConversion"/>
  </si>
  <si>
    <t>AUG</t>
    <phoneticPr fontId="5" type="noConversion"/>
  </si>
  <si>
    <t>장인철</t>
    <phoneticPr fontId="5" type="noConversion"/>
  </si>
  <si>
    <t>SEP</t>
    <phoneticPr fontId="5" type="noConversion"/>
  </si>
  <si>
    <t>사원 최대값</t>
  </si>
  <si>
    <t>전체 최대값</t>
  </si>
  <si>
    <t>성적분석</t>
    <phoneticPr fontId="5" type="noConversion"/>
  </si>
  <si>
    <t>학번</t>
    <phoneticPr fontId="5" type="noConversion"/>
  </si>
  <si>
    <t>이름</t>
    <phoneticPr fontId="5" type="noConversion"/>
  </si>
  <si>
    <t>학과</t>
    <phoneticPr fontId="5" type="noConversion"/>
  </si>
  <si>
    <t>과제</t>
    <phoneticPr fontId="5" type="noConversion"/>
  </si>
  <si>
    <t>중간</t>
    <phoneticPr fontId="5" type="noConversion"/>
  </si>
  <si>
    <t>기말</t>
    <phoneticPr fontId="5" type="noConversion"/>
  </si>
  <si>
    <t>023001</t>
    <phoneticPr fontId="5" type="noConversion"/>
  </si>
  <si>
    <t>홍길동</t>
    <phoneticPr fontId="5" type="noConversion"/>
  </si>
  <si>
    <t>경영</t>
    <phoneticPr fontId="5" type="noConversion"/>
  </si>
  <si>
    <t>023003</t>
    <phoneticPr fontId="5" type="noConversion"/>
  </si>
  <si>
    <t>강감찬</t>
    <phoneticPr fontId="5" type="noConversion"/>
  </si>
  <si>
    <t>993030</t>
    <phoneticPr fontId="5" type="noConversion"/>
  </si>
  <si>
    <t>성삼문</t>
    <phoneticPr fontId="5" type="noConversion"/>
  </si>
  <si>
    <t>993014</t>
    <phoneticPr fontId="5" type="noConversion"/>
  </si>
  <si>
    <t>정약용</t>
    <phoneticPr fontId="5" type="noConversion"/>
  </si>
  <si>
    <t>992020</t>
    <phoneticPr fontId="5" type="noConversion"/>
  </si>
  <si>
    <t>이순신</t>
    <phoneticPr fontId="5" type="noConversion"/>
  </si>
  <si>
    <t>전산</t>
    <phoneticPr fontId="5" type="noConversion"/>
  </si>
  <si>
    <t>982030</t>
    <phoneticPr fontId="5" type="noConversion"/>
  </si>
  <si>
    <t>이율곡</t>
    <phoneticPr fontId="5" type="noConversion"/>
  </si>
  <si>
    <t>레코드 판매량</t>
    <phoneticPr fontId="5" type="noConversion"/>
  </si>
  <si>
    <t>판매일자</t>
    <phoneticPr fontId="5" type="noConversion"/>
  </si>
  <si>
    <t>음악종류</t>
    <phoneticPr fontId="5" type="noConversion"/>
  </si>
  <si>
    <t>판매수량</t>
    <phoneticPr fontId="5" type="noConversion"/>
  </si>
  <si>
    <t>판매단가</t>
    <phoneticPr fontId="5" type="noConversion"/>
  </si>
  <si>
    <t>판매액</t>
    <phoneticPr fontId="5" type="noConversion"/>
  </si>
  <si>
    <t>할인금액</t>
    <phoneticPr fontId="5" type="noConversion"/>
  </si>
  <si>
    <t>가곡</t>
  </si>
  <si>
    <t>팝송</t>
    <phoneticPr fontId="5" type="noConversion"/>
  </si>
  <si>
    <t>째즈</t>
  </si>
  <si>
    <t>가요</t>
    <phoneticPr fontId="5" type="noConversion"/>
  </si>
  <si>
    <t>동요</t>
  </si>
  <si>
    <t>가곡</t>
    <phoneticPr fontId="5" type="noConversion"/>
  </si>
  <si>
    <t>가요</t>
  </si>
  <si>
    <t>10</t>
  </si>
  <si>
    <t>1200</t>
  </si>
  <si>
    <t>째즈</t>
    <phoneticPr fontId="5" type="noConversion"/>
  </si>
  <si>
    <t>녹즙기</t>
  </si>
  <si>
    <t>주방가전</t>
  </si>
  <si>
    <t>전기밥솥</t>
  </si>
  <si>
    <t>쥬서기</t>
  </si>
  <si>
    <t>튀김기</t>
  </si>
  <si>
    <t>압력밥솥</t>
  </si>
  <si>
    <t>커피메이커</t>
  </si>
  <si>
    <t>가스오픈</t>
  </si>
  <si>
    <t>생활가전</t>
  </si>
  <si>
    <t>가습기</t>
  </si>
  <si>
    <t>김치냉장고</t>
  </si>
  <si>
    <t>냉장고</t>
  </si>
  <si>
    <t>식기세척기</t>
  </si>
  <si>
    <t>수량</t>
  </si>
  <si>
    <t>판매금액</t>
  </si>
  <si>
    <t>[표1] 여행 상품</t>
    <phoneticPr fontId="4" type="noConversion"/>
  </si>
  <si>
    <t>지역</t>
  </si>
  <si>
    <t>구분</t>
  </si>
  <si>
    <t>출발일</t>
  </si>
  <si>
    <t>금액</t>
    <phoneticPr fontId="4" type="noConversion"/>
  </si>
  <si>
    <t>순위</t>
  </si>
  <si>
    <t>출발표시</t>
  </si>
  <si>
    <t>제주</t>
  </si>
  <si>
    <t>국내</t>
  </si>
  <si>
    <t>강원도</t>
  </si>
  <si>
    <t>일본</t>
  </si>
  <si>
    <t>해외</t>
  </si>
  <si>
    <t>중국</t>
  </si>
  <si>
    <t>남해</t>
  </si>
  <si>
    <t>목포</t>
  </si>
  <si>
    <t>울릉도</t>
  </si>
  <si>
    <t>태국</t>
  </si>
  <si>
    <t>주문시간</t>
  </si>
  <si>
    <t>주문시간</t>
    <phoneticPr fontId="4" type="noConversion"/>
  </si>
  <si>
    <t>값</t>
  </si>
  <si>
    <t>주문시간2</t>
  </si>
  <si>
    <t>오전</t>
  </si>
  <si>
    <t>오후</t>
  </si>
  <si>
    <t>컴활1급실기합격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</si>
</sst>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0_ "/>
    <numFmt numFmtId="177" formatCode="mm\-dd"/>
    <numFmt numFmtId="178" formatCode="_-&quot;₩&quot;* #,##0.0_-;\-&quot;₩&quot;* #,##0.0_-;_-&quot;₩&quot;* &quot;-&quot;_-;_-@_-"/>
    <numFmt numFmtId="179" formatCode="0.0%"/>
    <numFmt numFmtId="180" formatCode="h:mm;@"/>
  </numFmts>
  <fonts count="17"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4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6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5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indexed="8"/>
      <name val="맑은 고딕"/>
      <family val="3"/>
      <charset val="129"/>
    </font>
    <font>
      <sz val="12"/>
      <color indexed="8"/>
      <name val="굴림"/>
      <family val="3"/>
      <charset val="129"/>
    </font>
    <font>
      <b/>
      <sz val="11"/>
      <color theme="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2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22"/>
      </left>
      <right/>
      <top style="thin">
        <color indexed="8"/>
      </top>
      <bottom/>
      <diagonal/>
    </border>
    <border>
      <left style="thin">
        <color indexed="22"/>
      </left>
      <right style="thin">
        <color indexed="22"/>
      </right>
      <top style="thin">
        <color indexed="8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</borders>
  <cellStyleXfs count="6">
    <xf numFmtId="0" fontId="0" fillId="0" borderId="0">
      <alignment vertical="center"/>
    </xf>
    <xf numFmtId="0" fontId="2" fillId="0" borderId="0"/>
    <xf numFmtId="41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0" fontId="15" fillId="0" borderId="0"/>
  </cellStyleXfs>
  <cellXfs count="94">
    <xf numFmtId="0" fontId="0" fillId="0" borderId="0" xfId="0">
      <alignment vertical="center"/>
    </xf>
    <xf numFmtId="0" fontId="3" fillId="0" borderId="0" xfId="1" applyFont="1" applyFill="1" applyBorder="1"/>
    <xf numFmtId="0" fontId="3" fillId="0" borderId="0" xfId="1" applyFont="1"/>
    <xf numFmtId="0" fontId="3" fillId="0" borderId="1" xfId="1" applyFont="1" applyBorder="1" applyAlignment="1">
      <alignment horizontal="center"/>
    </xf>
    <xf numFmtId="3" fontId="3" fillId="0" borderId="1" xfId="1" applyNumberFormat="1" applyFont="1" applyBorder="1" applyAlignment="1">
      <alignment horizontal="center"/>
    </xf>
    <xf numFmtId="3" fontId="3" fillId="0" borderId="1" xfId="1" applyNumberFormat="1" applyFont="1" applyBorder="1"/>
    <xf numFmtId="41" fontId="3" fillId="0" borderId="1" xfId="2" applyFont="1" applyBorder="1"/>
    <xf numFmtId="0" fontId="3" fillId="0" borderId="0" xfId="1" applyFont="1" applyBorder="1" applyAlignment="1">
      <alignment horizontal="center"/>
    </xf>
    <xf numFmtId="3" fontId="3" fillId="0" borderId="0" xfId="1" applyNumberFormat="1" applyFont="1" applyBorder="1" applyAlignment="1">
      <alignment horizontal="center"/>
    </xf>
    <xf numFmtId="3" fontId="3" fillId="0" borderId="0" xfId="1" applyNumberFormat="1" applyFont="1" applyBorder="1"/>
    <xf numFmtId="41" fontId="3" fillId="0" borderId="0" xfId="2" applyFont="1" applyBorder="1"/>
    <xf numFmtId="41" fontId="3" fillId="0" borderId="1" xfId="2" applyFont="1" applyBorder="1" applyAlignment="1">
      <alignment horizontal="center" vertical="center"/>
    </xf>
    <xf numFmtId="176" fontId="3" fillId="0" borderId="1" xfId="1" applyNumberFormat="1" applyFont="1" applyBorder="1" applyAlignment="1">
      <alignment horizontal="right"/>
    </xf>
    <xf numFmtId="41" fontId="3" fillId="0" borderId="1" xfId="1" applyNumberFormat="1" applyFont="1" applyBorder="1" applyAlignment="1">
      <alignment horizontal="center"/>
    </xf>
    <xf numFmtId="41" fontId="3" fillId="0" borderId="0" xfId="2" applyFont="1" applyFill="1" applyBorder="1" applyAlignment="1">
      <alignment horizontal="center" vertical="center"/>
    </xf>
    <xf numFmtId="0" fontId="3" fillId="0" borderId="1" xfId="3" applyNumberFormat="1" applyFont="1" applyBorder="1"/>
    <xf numFmtId="0" fontId="3" fillId="4" borderId="1" xfId="1" applyFont="1" applyFill="1" applyBorder="1" applyAlignment="1">
      <alignment horizontal="center"/>
    </xf>
    <xf numFmtId="0" fontId="3" fillId="0" borderId="0" xfId="1" applyFont="1" applyFill="1" applyBorder="1" applyAlignment="1">
      <alignment horizontal="center"/>
    </xf>
    <xf numFmtId="9" fontId="3" fillId="0" borderId="1" xfId="1" applyNumberFormat="1" applyFont="1" applyBorder="1" applyAlignment="1">
      <alignment horizontal="center"/>
    </xf>
    <xf numFmtId="0" fontId="3" fillId="0" borderId="1" xfId="1" applyFont="1" applyBorder="1"/>
    <xf numFmtId="177" fontId="3" fillId="0" borderId="1" xfId="1" applyNumberFormat="1" applyFont="1" applyBorder="1" applyAlignment="1">
      <alignment horizontal="center"/>
    </xf>
    <xf numFmtId="42" fontId="3" fillId="0" borderId="1" xfId="4" applyNumberFormat="1" applyFont="1" applyBorder="1" applyAlignment="1">
      <alignment horizontal="right"/>
    </xf>
    <xf numFmtId="42" fontId="3" fillId="0" borderId="1" xfId="4" applyNumberFormat="1" applyFont="1" applyFill="1" applyBorder="1" applyAlignment="1">
      <alignment horizontal="right"/>
    </xf>
    <xf numFmtId="178" fontId="3" fillId="0" borderId="1" xfId="4" applyNumberFormat="1" applyFont="1" applyBorder="1"/>
    <xf numFmtId="0" fontId="3" fillId="0" borderId="1" xfId="1" applyFont="1" applyFill="1" applyBorder="1" applyAlignment="1">
      <alignment horizontal="center"/>
    </xf>
    <xf numFmtId="0" fontId="3" fillId="0" borderId="1" xfId="1" applyFont="1" applyFill="1" applyBorder="1"/>
    <xf numFmtId="178" fontId="3" fillId="0" borderId="2" xfId="4" applyNumberFormat="1" applyFont="1" applyBorder="1"/>
    <xf numFmtId="0" fontId="3" fillId="0" borderId="0" xfId="1" applyFont="1" applyFill="1" applyBorder="1" applyAlignment="1">
      <alignment horizontal="left"/>
    </xf>
    <xf numFmtId="0" fontId="3" fillId="0" borderId="1" xfId="1" applyFont="1" applyBorder="1" applyAlignment="1">
      <alignment horizontal="center" vertical="center"/>
    </xf>
    <xf numFmtId="0" fontId="3" fillId="4" borderId="1" xfId="1" applyFont="1" applyFill="1" applyBorder="1" applyAlignment="1">
      <alignment horizontal="center" vertical="center"/>
    </xf>
    <xf numFmtId="41" fontId="3" fillId="0" borderId="1" xfId="2" applyFont="1" applyBorder="1" applyAlignment="1">
      <alignment vertical="center"/>
    </xf>
    <xf numFmtId="179" fontId="3" fillId="0" borderId="1" xfId="3" applyNumberFormat="1" applyFont="1" applyBorder="1" applyAlignment="1">
      <alignment horizontal="center"/>
    </xf>
    <xf numFmtId="0" fontId="3" fillId="0" borderId="0" xfId="1" applyFont="1" applyBorder="1" applyAlignment="1">
      <alignment horizontal="center" vertical="center"/>
    </xf>
    <xf numFmtId="41" fontId="3" fillId="0" borderId="0" xfId="2" applyFont="1" applyBorder="1" applyAlignment="1">
      <alignment vertical="center"/>
    </xf>
    <xf numFmtId="0" fontId="3" fillId="0" borderId="0" xfId="1" applyFont="1" applyFill="1"/>
    <xf numFmtId="0" fontId="0" fillId="0" borderId="0" xfId="0" applyNumberFormat="1">
      <alignment vertical="center"/>
    </xf>
    <xf numFmtId="41" fontId="0" fillId="0" borderId="0" xfId="0" applyNumberFormat="1">
      <alignment vertical="center"/>
    </xf>
    <xf numFmtId="41" fontId="3" fillId="0" borderId="1" xfId="2" applyFont="1" applyBorder="1" applyAlignment="1">
      <alignment horizontal="center"/>
    </xf>
    <xf numFmtId="42" fontId="3" fillId="0" borderId="1" xfId="4" applyFont="1" applyBorder="1" applyAlignment="1">
      <alignment horizontal="center"/>
    </xf>
    <xf numFmtId="0" fontId="7" fillId="0" borderId="1" xfId="1" applyFont="1" applyBorder="1" applyAlignment="1">
      <alignment horizontal="center"/>
    </xf>
    <xf numFmtId="0" fontId="7" fillId="0" borderId="0" xfId="1" applyFont="1" applyBorder="1" applyAlignment="1">
      <alignment horizontal="center"/>
    </xf>
    <xf numFmtId="41" fontId="3" fillId="0" borderId="0" xfId="2" applyFont="1" applyBorder="1" applyAlignment="1">
      <alignment horizontal="center"/>
    </xf>
    <xf numFmtId="42" fontId="3" fillId="0" borderId="0" xfId="4" applyFont="1" applyBorder="1" applyAlignment="1">
      <alignment horizontal="center"/>
    </xf>
    <xf numFmtId="0" fontId="10" fillId="0" borderId="1" xfId="1" applyFont="1" applyBorder="1" applyAlignment="1">
      <alignment horizontal="center"/>
    </xf>
    <xf numFmtId="0" fontId="11" fillId="0" borderId="1" xfId="1" quotePrefix="1" applyFont="1" applyBorder="1" applyAlignment="1">
      <alignment horizontal="center"/>
    </xf>
    <xf numFmtId="0" fontId="11" fillId="0" borderId="1" xfId="1" applyFont="1" applyBorder="1" applyAlignment="1">
      <alignment horizontal="center"/>
    </xf>
    <xf numFmtId="0" fontId="12" fillId="0" borderId="0" xfId="1" applyFont="1"/>
    <xf numFmtId="0" fontId="7" fillId="0" borderId="0" xfId="1" applyFont="1" applyAlignment="1">
      <alignment horizontal="center"/>
    </xf>
    <xf numFmtId="14" fontId="3" fillId="0" borderId="0" xfId="1" applyNumberFormat="1" applyFont="1" applyAlignment="1">
      <alignment horizontal="right"/>
    </xf>
    <xf numFmtId="0" fontId="3" fillId="0" borderId="0" xfId="1" applyFont="1" applyAlignment="1">
      <alignment horizontal="right"/>
    </xf>
    <xf numFmtId="3" fontId="13" fillId="0" borderId="0" xfId="2" applyNumberFormat="1" applyFont="1" applyAlignment="1">
      <alignment horizontal="right"/>
    </xf>
    <xf numFmtId="0" fontId="13" fillId="0" borderId="0" xfId="2" applyNumberFormat="1" applyFont="1" applyAlignment="1">
      <alignment horizontal="right"/>
    </xf>
    <xf numFmtId="3" fontId="3" fillId="0" borderId="0" xfId="1" applyNumberFormat="1" applyFont="1" applyAlignment="1">
      <alignment horizontal="right"/>
    </xf>
    <xf numFmtId="0" fontId="3" fillId="0" borderId="0" xfId="1" applyNumberFormat="1" applyFont="1" applyAlignment="1">
      <alignment horizontal="right"/>
    </xf>
    <xf numFmtId="0" fontId="0" fillId="0" borderId="5" xfId="0" applyFont="1" applyBorder="1">
      <alignment vertical="center"/>
    </xf>
    <xf numFmtId="0" fontId="0" fillId="0" borderId="6" xfId="0" applyFont="1" applyBorder="1">
      <alignment vertical="center"/>
    </xf>
    <xf numFmtId="0" fontId="0" fillId="0" borderId="7" xfId="0" applyFont="1" applyBorder="1">
      <alignment vertical="center"/>
    </xf>
    <xf numFmtId="0" fontId="1" fillId="2" borderId="8" xfId="0" applyFont="1" applyFill="1" applyBorder="1">
      <alignment vertical="center"/>
    </xf>
    <xf numFmtId="0" fontId="1" fillId="2" borderId="4" xfId="0" applyFont="1" applyFill="1" applyBorder="1">
      <alignment vertical="center"/>
    </xf>
    <xf numFmtId="0" fontId="1" fillId="2" borderId="9" xfId="0" applyFont="1" applyFill="1" applyBorder="1">
      <alignment vertical="center"/>
    </xf>
    <xf numFmtId="0" fontId="0" fillId="3" borderId="8" xfId="0" applyFont="1" applyFill="1" applyBorder="1">
      <alignment vertical="center"/>
    </xf>
    <xf numFmtId="0" fontId="0" fillId="3" borderId="4" xfId="0" applyFont="1" applyFill="1" applyBorder="1">
      <alignment vertical="center"/>
    </xf>
    <xf numFmtId="0" fontId="0" fillId="3" borderId="9" xfId="0" applyFont="1" applyFill="1" applyBorder="1">
      <alignment vertical="center"/>
    </xf>
    <xf numFmtId="0" fontId="0" fillId="0" borderId="8" xfId="0" applyFont="1" applyBorder="1">
      <alignment vertical="center"/>
    </xf>
    <xf numFmtId="0" fontId="0" fillId="0" borderId="4" xfId="0" applyFont="1" applyBorder="1">
      <alignment vertical="center"/>
    </xf>
    <xf numFmtId="0" fontId="0" fillId="0" borderId="9" xfId="0" applyFont="1" applyBorder="1">
      <alignment vertical="center"/>
    </xf>
    <xf numFmtId="0" fontId="14" fillId="0" borderId="10" xfId="5" applyNumberFormat="1" applyFont="1" applyBorder="1" applyAlignment="1">
      <alignment horizontal="right" wrapText="1"/>
    </xf>
    <xf numFmtId="0" fontId="16" fillId="2" borderId="12" xfId="5" applyNumberFormat="1" applyFont="1" applyFill="1" applyBorder="1" applyAlignment="1">
      <alignment horizontal="center"/>
    </xf>
    <xf numFmtId="0" fontId="16" fillId="2" borderId="13" xfId="5" applyNumberFormat="1" applyFont="1" applyFill="1" applyBorder="1" applyAlignment="1">
      <alignment horizontal="center"/>
    </xf>
    <xf numFmtId="0" fontId="14" fillId="0" borderId="16" xfId="5" applyNumberFormat="1" applyFont="1" applyBorder="1" applyAlignment="1">
      <alignment wrapText="1"/>
    </xf>
    <xf numFmtId="0" fontId="14" fillId="0" borderId="11" xfId="5" applyNumberFormat="1" applyFont="1" applyBorder="1" applyAlignment="1">
      <alignment horizontal="right" wrapText="1"/>
    </xf>
    <xf numFmtId="0" fontId="14" fillId="0" borderId="17" xfId="5" applyNumberFormat="1" applyFont="1" applyBorder="1" applyAlignment="1">
      <alignment wrapText="1"/>
    </xf>
    <xf numFmtId="0" fontId="0" fillId="0" borderId="0" xfId="0" pivotButton="1">
      <alignment vertical="center"/>
    </xf>
    <xf numFmtId="0" fontId="14" fillId="0" borderId="14" xfId="5" applyNumberFormat="1" applyFont="1" applyBorder="1" applyAlignment="1">
      <alignment wrapText="1"/>
    </xf>
    <xf numFmtId="0" fontId="14" fillId="0" borderId="14" xfId="5" applyNumberFormat="1" applyFont="1" applyBorder="1" applyAlignment="1">
      <alignment horizontal="right" wrapText="1"/>
    </xf>
    <xf numFmtId="0" fontId="14" fillId="0" borderId="15" xfId="5" applyNumberFormat="1" applyFont="1" applyBorder="1" applyAlignment="1">
      <alignment horizontal="right" wrapText="1"/>
    </xf>
    <xf numFmtId="0" fontId="14" fillId="0" borderId="16" xfId="5" applyNumberFormat="1" applyFont="1" applyBorder="1" applyAlignment="1">
      <alignment horizontal="right" wrapText="1"/>
    </xf>
    <xf numFmtId="0" fontId="14" fillId="0" borderId="17" xfId="5" applyNumberFormat="1" applyFont="1" applyBorder="1" applyAlignment="1">
      <alignment horizontal="right" wrapText="1"/>
    </xf>
    <xf numFmtId="41" fontId="3" fillId="0" borderId="1" xfId="2" applyFont="1" applyBorder="1" applyProtection="1">
      <protection hidden="1"/>
    </xf>
    <xf numFmtId="3" fontId="3" fillId="0" borderId="0" xfId="1" applyNumberFormat="1" applyFont="1"/>
    <xf numFmtId="14" fontId="3" fillId="0" borderId="0" xfId="1" applyNumberFormat="1" applyFont="1"/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2" fontId="0" fillId="0" borderId="1" xfId="0" applyNumberFormat="1" applyBorder="1">
      <alignment vertical="center"/>
    </xf>
    <xf numFmtId="0" fontId="0" fillId="0" borderId="1" xfId="0" applyBorder="1" applyProtection="1">
      <alignment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180" fontId="14" fillId="0" borderId="14" xfId="5" applyNumberFormat="1" applyFont="1" applyBorder="1" applyAlignment="1">
      <alignment horizontal="center" wrapText="1"/>
    </xf>
    <xf numFmtId="180" fontId="14" fillId="0" borderId="16" xfId="5" applyNumberFormat="1" applyFont="1" applyBorder="1" applyAlignment="1">
      <alignment horizontal="center" wrapText="1"/>
    </xf>
    <xf numFmtId="180" fontId="14" fillId="0" borderId="17" xfId="5" applyNumberFormat="1" applyFont="1" applyBorder="1" applyAlignment="1">
      <alignment horizontal="center" wrapText="1"/>
    </xf>
    <xf numFmtId="180" fontId="0" fillId="0" borderId="0" xfId="0" applyNumberFormat="1">
      <alignment vertical="center"/>
    </xf>
    <xf numFmtId="0" fontId="6" fillId="0" borderId="0" xfId="1" applyFont="1" applyAlignment="1">
      <alignment horizontal="center"/>
    </xf>
    <xf numFmtId="0" fontId="7" fillId="0" borderId="3" xfId="1" applyFont="1" applyBorder="1" applyAlignment="1">
      <alignment horizontal="center"/>
    </xf>
    <xf numFmtId="0" fontId="8" fillId="0" borderId="0" xfId="1" applyFont="1" applyAlignment="1">
      <alignment horizontal="center"/>
    </xf>
    <xf numFmtId="0" fontId="9" fillId="0" borderId="0" xfId="1" applyFont="1" applyAlignment="1">
      <alignment horizontal="center"/>
    </xf>
  </cellXfs>
  <cellStyles count="6">
    <cellStyle name="백분율 2" xfId="3"/>
    <cellStyle name="쉼표 [0] 2" xfId="2"/>
    <cellStyle name="통화 [0] 2" xfId="4"/>
    <cellStyle name="표준" xfId="0" builtinId="0"/>
    <cellStyle name="표준 2" xfId="1"/>
    <cellStyle name="표준_분석작업-1" xfId="5"/>
  </cellStyles>
  <dxfs count="3">
    <dxf>
      <fill>
        <patternFill>
          <bgColor rgb="FFFFFF00"/>
        </patternFill>
      </fill>
    </dxf>
    <dxf>
      <font>
        <b val="0"/>
        <i val="0"/>
        <condense val="0"/>
        <extend val="0"/>
      </font>
    </dxf>
    <dxf>
      <font>
        <b/>
        <i val="0"/>
        <condense val="0"/>
        <extend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궁서체" panose="02030609000101010101" pitchFamily="17" charset="-127"/>
                <a:ea typeface="궁서체" panose="02030609000101010101" pitchFamily="17" charset="-127"/>
              </a:defRPr>
            </a:pPr>
            <a:r>
              <a:rPr lang="ko-KR" altLang="en-US" sz="1400">
                <a:latin typeface="궁서체" panose="02030609000101010101" pitchFamily="17" charset="-127"/>
                <a:ea typeface="궁서체" panose="02030609000101010101" pitchFamily="17" charset="-127"/>
              </a:rPr>
              <a:t>성적 분석표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'기타작업-1'!$E$3</c:f>
              <c:strCache>
                <c:ptCount val="1"/>
                <c:pt idx="0">
                  <c:v>과제</c:v>
                </c:pt>
              </c:strCache>
            </c:strRef>
          </c:tx>
          <c:invertIfNegative val="0"/>
          <c:cat>
            <c:strRef>
              <c:f>'기타작업-1'!$C$4:$C$7</c:f>
              <c:strCache>
                <c:ptCount val="4"/>
                <c:pt idx="0">
                  <c:v>홍길동</c:v>
                </c:pt>
                <c:pt idx="1">
                  <c:v>강감찬</c:v>
                </c:pt>
                <c:pt idx="2">
                  <c:v>성삼문</c:v>
                </c:pt>
                <c:pt idx="3">
                  <c:v>정약용</c:v>
                </c:pt>
              </c:strCache>
            </c:strRef>
          </c:cat>
          <c:val>
            <c:numRef>
              <c:f>'기타작업-1'!$E$4:$E$7</c:f>
              <c:numCache>
                <c:formatCode>General</c:formatCode>
                <c:ptCount val="4"/>
                <c:pt idx="0">
                  <c:v>60</c:v>
                </c:pt>
                <c:pt idx="1">
                  <c:v>50</c:v>
                </c:pt>
                <c:pt idx="2">
                  <c:v>60</c:v>
                </c:pt>
                <c:pt idx="3">
                  <c:v>90</c:v>
                </c:pt>
              </c:numCache>
            </c:numRef>
          </c:val>
        </c:ser>
        <c:ser>
          <c:idx val="1"/>
          <c:order val="1"/>
          <c:tx>
            <c:strRef>
              <c:f>'기타작업-1'!$F$3</c:f>
              <c:strCache>
                <c:ptCount val="1"/>
                <c:pt idx="0">
                  <c:v>중간</c:v>
                </c:pt>
              </c:strCache>
            </c:strRef>
          </c:tx>
          <c:invertIfNegative val="0"/>
          <c:cat>
            <c:strRef>
              <c:f>'기타작업-1'!$C$4:$C$7</c:f>
              <c:strCache>
                <c:ptCount val="4"/>
                <c:pt idx="0">
                  <c:v>홍길동</c:v>
                </c:pt>
                <c:pt idx="1">
                  <c:v>강감찬</c:v>
                </c:pt>
                <c:pt idx="2">
                  <c:v>성삼문</c:v>
                </c:pt>
                <c:pt idx="3">
                  <c:v>정약용</c:v>
                </c:pt>
              </c:strCache>
            </c:strRef>
          </c:cat>
          <c:val>
            <c:numRef>
              <c:f>'기타작업-1'!$F$4:$F$7</c:f>
              <c:numCache>
                <c:formatCode>General</c:formatCode>
                <c:ptCount val="4"/>
                <c:pt idx="0">
                  <c:v>60</c:v>
                </c:pt>
                <c:pt idx="1">
                  <c:v>70</c:v>
                </c:pt>
                <c:pt idx="2">
                  <c:v>100</c:v>
                </c:pt>
                <c:pt idx="3">
                  <c:v>90</c:v>
                </c:pt>
              </c:numCache>
            </c:numRef>
          </c:val>
        </c:ser>
        <c:ser>
          <c:idx val="2"/>
          <c:order val="2"/>
          <c:tx>
            <c:strRef>
              <c:f>'기타작업-1'!$G$3</c:f>
              <c:strCache>
                <c:ptCount val="1"/>
                <c:pt idx="0">
                  <c:v>기말</c:v>
                </c:pt>
              </c:strCache>
            </c:strRef>
          </c:tx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trendline>
            <c:trendlineType val="movingAvg"/>
            <c:period val="2"/>
            <c:dispRSqr val="0"/>
            <c:dispEq val="0"/>
          </c:trendline>
          <c:cat>
            <c:strRef>
              <c:f>'기타작업-1'!$C$4:$C$7</c:f>
              <c:strCache>
                <c:ptCount val="4"/>
                <c:pt idx="0">
                  <c:v>홍길동</c:v>
                </c:pt>
                <c:pt idx="1">
                  <c:v>강감찬</c:v>
                </c:pt>
                <c:pt idx="2">
                  <c:v>성삼문</c:v>
                </c:pt>
                <c:pt idx="3">
                  <c:v>정약용</c:v>
                </c:pt>
              </c:strCache>
            </c:strRef>
          </c:cat>
          <c:val>
            <c:numRef>
              <c:f>'기타작업-1'!$G$4:$G$7</c:f>
              <c:numCache>
                <c:formatCode>General</c:formatCode>
                <c:ptCount val="4"/>
                <c:pt idx="0">
                  <c:v>90</c:v>
                </c:pt>
                <c:pt idx="1">
                  <c:v>90</c:v>
                </c:pt>
                <c:pt idx="2">
                  <c:v>100</c:v>
                </c:pt>
                <c:pt idx="3">
                  <c:v>80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50"/>
        <c:axId val="374342656"/>
        <c:axId val="209351744"/>
      </c:barChart>
      <c:catAx>
        <c:axId val="3743426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ko-KR" altLang="en-US"/>
                  <a:t>이름</a:t>
                </a:r>
              </a:p>
            </c:rich>
          </c:tx>
          <c:overlay val="0"/>
        </c:title>
        <c:majorTickMark val="out"/>
        <c:minorTickMark val="none"/>
        <c:tickLblPos val="nextTo"/>
        <c:crossAx val="209351744"/>
        <c:crosses val="autoZero"/>
        <c:auto val="1"/>
        <c:lblAlgn val="ctr"/>
        <c:lblOffset val="100"/>
        <c:noMultiLvlLbl val="0"/>
      </c:catAx>
      <c:valAx>
        <c:axId val="2093517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ko-KR" altLang="en-US"/>
                  <a:t>점수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4342656"/>
        <c:crosses val="autoZero"/>
        <c:crossBetween val="between"/>
      </c:valAx>
      <c:spPr>
        <a:solidFill>
          <a:srgbClr val="FFC000"/>
        </a:solidFill>
      </c:spPr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차트1"/>
  <sheetViews>
    <sheetView workbookViewId="0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5</xdr:row>
      <xdr:rowOff>0</xdr:rowOff>
    </xdr:from>
    <xdr:to>
      <xdr:col>10</xdr:col>
      <xdr:colOff>0</xdr:colOff>
      <xdr:row>7</xdr:row>
      <xdr:rowOff>0</xdr:rowOff>
    </xdr:to>
    <xdr:sp macro="[0]!부분합제거" textlink="">
      <xdr:nvSpPr>
        <xdr:cNvPr id="2" name="빗면 1"/>
        <xdr:cNvSpPr/>
      </xdr:nvSpPr>
      <xdr:spPr>
        <a:xfrm>
          <a:off x="5648325" y="1171575"/>
          <a:ext cx="828675" cy="4191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ko-KR" altLang="en-US" sz="1100"/>
            <a:t>제거</a:t>
          </a:r>
        </a:p>
      </xdr:txBody>
    </xdr:sp>
    <xdr:clientData/>
  </xdr:twoCellAnchor>
  <xdr:twoCellAnchor>
    <xdr:from>
      <xdr:col>9</xdr:col>
      <xdr:colOff>0</xdr:colOff>
      <xdr:row>2</xdr:row>
      <xdr:rowOff>0</xdr:rowOff>
    </xdr:from>
    <xdr:to>
      <xdr:col>10</xdr:col>
      <xdr:colOff>0</xdr:colOff>
      <xdr:row>4</xdr:row>
      <xdr:rowOff>0</xdr:rowOff>
    </xdr:to>
    <xdr:sp macro="[0]!직위별최대값" textlink="">
      <xdr:nvSpPr>
        <xdr:cNvPr id="3" name="빗면 2"/>
        <xdr:cNvSpPr/>
      </xdr:nvSpPr>
      <xdr:spPr>
        <a:xfrm>
          <a:off x="5648325" y="542925"/>
          <a:ext cx="828675" cy="4191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ko-KR" altLang="en-US" sz="1100"/>
            <a:t>최대값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7537" cy="6077519"/>
    <xdr:graphicFrame macro="">
      <xdr:nvGraphicFramePr>
        <xdr:cNvPr id="2" name="차트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0</xdr:row>
          <xdr:rowOff>209550</xdr:rowOff>
        </xdr:from>
        <xdr:to>
          <xdr:col>8</xdr:col>
          <xdr:colOff>457200</xdr:colOff>
          <xdr:row>2</xdr:row>
          <xdr:rowOff>66675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김우경" refreshedDate="43711.697305092595" createdVersion="4" refreshedVersion="4" minRefreshableVersion="3" recordCount="44">
  <cacheSource type="worksheet">
    <worksheetSource ref="A1:E45" sheet="분석작업-1"/>
  </cacheSource>
  <cacheFields count="6">
    <cacheField name="제품명" numFmtId="0">
      <sharedItems count="14">
        <s v="식기세척기"/>
        <s v="냉장고"/>
        <s v="튀김기"/>
        <s v="전기밥솥"/>
        <s v="전동치솔"/>
        <s v="김치냉장고"/>
        <s v="쥬서기"/>
        <s v="다리미"/>
        <s v="면도기"/>
        <s v="가스오픈"/>
        <s v="압력밥솥"/>
        <s v="커피메이커"/>
        <s v="녹즙기"/>
        <s v="가습기"/>
      </sharedItems>
    </cacheField>
    <cacheField name="분류코드" numFmtId="0">
      <sharedItems count="3">
        <s v="생활가전"/>
        <s v="주방가전"/>
        <s v="소형가전"/>
      </sharedItems>
    </cacheField>
    <cacheField name="주문시간" numFmtId="180">
      <sharedItems containsSemiMixedTypes="0" containsNonDate="0" containsDate="1" containsString="0" minDate="1899-12-30T09:30:00" maxDate="1899-12-30T17:56:00" count="42">
        <d v="1899-12-30T09:50:00"/>
        <d v="1899-12-30T09:30:00"/>
        <d v="1899-12-30T10:20:00"/>
        <d v="1899-12-30T10:27:00"/>
        <d v="1899-12-30T10:45:00"/>
        <d v="1899-12-30T10:50:00"/>
        <d v="1899-12-30T11:00:00"/>
        <d v="1899-12-30T11:05:00"/>
        <d v="1899-12-30T11:12:00"/>
        <d v="1899-12-30T11:19:00"/>
        <d v="1899-12-30T11:25:00"/>
        <d v="1899-12-30T11:26:00"/>
        <d v="1899-12-30T11:30:00"/>
        <d v="1899-12-30T11:35:00"/>
        <d v="1899-12-30T11:36:00"/>
        <d v="1899-12-30T11:40:00"/>
        <d v="1899-12-30T11:45:00"/>
        <d v="1899-12-30T11:47:00"/>
        <d v="1899-12-30T12:03:00"/>
        <d v="1899-12-30T12:15:00"/>
        <d v="1899-12-30T12:16:00"/>
        <d v="1899-12-30T12:17:00"/>
        <d v="1899-12-30T13:05:00"/>
        <d v="1899-12-30T14:10:00"/>
        <d v="1899-12-30T14:35:00"/>
        <d v="1899-12-30T15:20:00"/>
        <d v="1899-12-30T15:29:00"/>
        <d v="1899-12-30T15:33:00"/>
        <d v="1899-12-30T15:37:00"/>
        <d v="1899-12-30T16:11:00"/>
        <d v="1899-12-30T16:28:00"/>
        <d v="1899-12-30T16:35:00"/>
        <d v="1899-12-30T16:37:00"/>
        <d v="1899-12-30T16:51:00"/>
        <d v="1899-12-30T17:10:00"/>
        <d v="1899-12-30T17:17:00"/>
        <d v="1899-12-30T17:24:00"/>
        <d v="1899-12-30T17:31:00"/>
        <d v="1899-12-30T17:38:00"/>
        <d v="1899-12-30T17:42:00"/>
        <d v="1899-12-30T17:47:00"/>
        <d v="1899-12-30T17:56:00"/>
      </sharedItems>
      <fieldGroup par="5"/>
    </cacheField>
    <cacheField name="수량" numFmtId="0">
      <sharedItems containsSemiMixedTypes="0" containsString="0" containsNumber="1" containsInteger="1" minValue="1" maxValue="26"/>
    </cacheField>
    <cacheField name="판매금액" numFmtId="0">
      <sharedItems containsSemiMixedTypes="0" containsString="0" containsNumber="1" containsInteger="1" minValue="65000" maxValue="7800000"/>
    </cacheField>
    <cacheField name="주문시간2" numFmtId="0" databaseField="0">
      <fieldGroup base="2">
        <discretePr count="42"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</discretePr>
        <groupItems count="2">
          <s v="그룹1"/>
          <s v="그룹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4">
  <r>
    <x v="0"/>
    <x v="0"/>
    <x v="0"/>
    <n v="1"/>
    <n v="750000"/>
  </r>
  <r>
    <x v="0"/>
    <x v="0"/>
    <x v="1"/>
    <n v="6"/>
    <n v="98000"/>
  </r>
  <r>
    <x v="1"/>
    <x v="0"/>
    <x v="2"/>
    <n v="12"/>
    <n v="3750000"/>
  </r>
  <r>
    <x v="1"/>
    <x v="0"/>
    <x v="3"/>
    <n v="6"/>
    <n v="3900000"/>
  </r>
  <r>
    <x v="1"/>
    <x v="0"/>
    <x v="4"/>
    <n v="2"/>
    <n v="184000"/>
  </r>
  <r>
    <x v="2"/>
    <x v="1"/>
    <x v="4"/>
    <n v="7"/>
    <n v="4500000"/>
  </r>
  <r>
    <x v="3"/>
    <x v="1"/>
    <x v="5"/>
    <n v="2"/>
    <n v="7800000"/>
  </r>
  <r>
    <x v="3"/>
    <x v="1"/>
    <x v="6"/>
    <n v="5"/>
    <n v="336000"/>
  </r>
  <r>
    <x v="4"/>
    <x v="2"/>
    <x v="7"/>
    <n v="6"/>
    <n v="460000"/>
  </r>
  <r>
    <x v="4"/>
    <x v="2"/>
    <x v="8"/>
    <n v="2"/>
    <n v="300000"/>
  </r>
  <r>
    <x v="5"/>
    <x v="0"/>
    <x v="9"/>
    <n v="5"/>
    <n v="2250000"/>
  </r>
  <r>
    <x v="5"/>
    <x v="0"/>
    <x v="10"/>
    <n v="7"/>
    <n v="910000"/>
  </r>
  <r>
    <x v="6"/>
    <x v="1"/>
    <x v="11"/>
    <n v="3"/>
    <n v="280000"/>
  </r>
  <r>
    <x v="6"/>
    <x v="1"/>
    <x v="12"/>
    <n v="8"/>
    <n v="70000"/>
  </r>
  <r>
    <x v="6"/>
    <x v="1"/>
    <x v="13"/>
    <n v="8"/>
    <n v="65000"/>
  </r>
  <r>
    <x v="6"/>
    <x v="1"/>
    <x v="14"/>
    <n v="15"/>
    <n v="1344000"/>
  </r>
  <r>
    <x v="6"/>
    <x v="1"/>
    <x v="15"/>
    <n v="26"/>
    <n v="540000"/>
  </r>
  <r>
    <x v="6"/>
    <x v="1"/>
    <x v="16"/>
    <n v="2"/>
    <n v="357000"/>
  </r>
  <r>
    <x v="6"/>
    <x v="1"/>
    <x v="17"/>
    <n v="8"/>
    <n v="1000000"/>
  </r>
  <r>
    <x v="2"/>
    <x v="1"/>
    <x v="18"/>
    <n v="9"/>
    <n v="672000"/>
  </r>
  <r>
    <x v="2"/>
    <x v="1"/>
    <x v="19"/>
    <n v="5"/>
    <n v="5600000"/>
  </r>
  <r>
    <x v="2"/>
    <x v="1"/>
    <x v="19"/>
    <n v="6"/>
    <n v="280000"/>
  </r>
  <r>
    <x v="2"/>
    <x v="1"/>
    <x v="20"/>
    <n v="20"/>
    <n v="180000"/>
  </r>
  <r>
    <x v="2"/>
    <x v="1"/>
    <x v="21"/>
    <n v="7"/>
    <n v="720000"/>
  </r>
  <r>
    <x v="7"/>
    <x v="2"/>
    <x v="22"/>
    <n v="1"/>
    <n v="2560000"/>
  </r>
  <r>
    <x v="8"/>
    <x v="2"/>
    <x v="23"/>
    <n v="12"/>
    <n v="585000"/>
  </r>
  <r>
    <x v="9"/>
    <x v="0"/>
    <x v="24"/>
    <n v="6"/>
    <n v="1300000"/>
  </r>
  <r>
    <x v="9"/>
    <x v="0"/>
    <x v="25"/>
    <n v="1"/>
    <n v="896000"/>
  </r>
  <r>
    <x v="10"/>
    <x v="1"/>
    <x v="26"/>
    <n v="8"/>
    <n v="270000"/>
  </r>
  <r>
    <x v="11"/>
    <x v="1"/>
    <x v="27"/>
    <n v="6"/>
    <n v="280000"/>
  </r>
  <r>
    <x v="11"/>
    <x v="1"/>
    <x v="28"/>
    <n v="2"/>
    <n v="896000"/>
  </r>
  <r>
    <x v="11"/>
    <x v="1"/>
    <x v="29"/>
    <n v="3"/>
    <n v="450000"/>
  </r>
  <r>
    <x v="11"/>
    <x v="1"/>
    <x v="30"/>
    <n v="5"/>
    <n v="952000"/>
  </r>
  <r>
    <x v="11"/>
    <x v="1"/>
    <x v="31"/>
    <n v="8"/>
    <n v="238000"/>
  </r>
  <r>
    <x v="12"/>
    <x v="1"/>
    <x v="32"/>
    <n v="8"/>
    <n v="300000"/>
  </r>
  <r>
    <x v="12"/>
    <x v="1"/>
    <x v="33"/>
    <n v="7"/>
    <n v="4000000"/>
  </r>
  <r>
    <x v="12"/>
    <x v="1"/>
    <x v="34"/>
    <n v="3"/>
    <n v="768000"/>
  </r>
  <r>
    <x v="7"/>
    <x v="2"/>
    <x v="35"/>
    <n v="2"/>
    <n v="300000"/>
  </r>
  <r>
    <x v="13"/>
    <x v="0"/>
    <x v="36"/>
    <n v="7"/>
    <n v="1152000"/>
  </r>
  <r>
    <x v="13"/>
    <x v="0"/>
    <x v="37"/>
    <n v="7"/>
    <n v="240000"/>
  </r>
  <r>
    <x v="13"/>
    <x v="0"/>
    <x v="38"/>
    <n v="6"/>
    <n v="350000"/>
  </r>
  <r>
    <x v="13"/>
    <x v="0"/>
    <x v="39"/>
    <n v="5"/>
    <n v="350000"/>
  </r>
  <r>
    <x v="13"/>
    <x v="0"/>
    <x v="40"/>
    <n v="4"/>
    <n v="250000"/>
  </r>
  <r>
    <x v="13"/>
    <x v="0"/>
    <x v="41"/>
    <n v="20"/>
    <n v="20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2" cacheId="21" dataOnRows="1" applyNumberFormats="0" applyBorderFormats="0" applyFontFormats="0" applyPatternFormats="0" applyAlignmentFormats="0" applyWidthHeightFormats="1" dataCaption="값" updatedVersion="4" minRefreshableVersion="3" showDrill="0" useAutoFormatting="1" colGrandTotals="0" itemPrintTitles="1" createdVersion="4" indent="0" compact="0" outline="1" outlineData="1" compactData="0" multipleFieldFilters="0">
  <location ref="G3:L23" firstHeaderRow="1" firstDataRow="2" firstDataCol="3" rowPageCount="1" colPageCount="1"/>
  <pivotFields count="6">
    <pivotField axis="axisCol" compact="0" showAll="0">
      <items count="15">
        <item x="9"/>
        <item x="13"/>
        <item x="5"/>
        <item x="1"/>
        <item x="12"/>
        <item x="7"/>
        <item x="8"/>
        <item x="0"/>
        <item x="10"/>
        <item x="3"/>
        <item x="4"/>
        <item x="6"/>
        <item x="11"/>
        <item x="2"/>
        <item t="default"/>
      </items>
    </pivotField>
    <pivotField axis="axisPage" compact="0" showAll="0">
      <items count="4">
        <item x="0"/>
        <item x="2"/>
        <item x="1"/>
        <item t="default"/>
      </items>
    </pivotField>
    <pivotField axis="axisRow" compact="0" numFmtId="180" showAll="0">
      <items count="43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t="default"/>
      </items>
    </pivotField>
    <pivotField dataField="1" compact="0" showAll="0"/>
    <pivotField dataField="1" compact="0" showAll="0"/>
    <pivotField axis="axisRow" compact="0" showAll="0" defaultSubtotal="0">
      <items count="2">
        <item n="오전" x="0"/>
        <item n="오후" x="1"/>
      </items>
    </pivotField>
  </pivotFields>
  <rowFields count="3">
    <field x="5"/>
    <field x="2"/>
    <field x="-2"/>
  </rowFields>
  <rowItems count="19">
    <i>
      <x/>
    </i>
    <i r="1">
      <x v="7"/>
    </i>
    <i r="2">
      <x/>
    </i>
    <i r="2" i="1">
      <x v="1"/>
    </i>
    <i r="1">
      <x v="8"/>
    </i>
    <i r="2">
      <x/>
    </i>
    <i r="2" i="1">
      <x v="1"/>
    </i>
    <i>
      <x v="1"/>
    </i>
    <i r="1">
      <x v="22"/>
    </i>
    <i r="2">
      <x/>
    </i>
    <i r="2" i="1">
      <x v="1"/>
    </i>
    <i r="1">
      <x v="23"/>
    </i>
    <i r="2">
      <x/>
    </i>
    <i r="2" i="1">
      <x v="1"/>
    </i>
    <i r="1">
      <x v="35"/>
    </i>
    <i r="2">
      <x/>
    </i>
    <i r="2" i="1">
      <x v="1"/>
    </i>
    <i t="grand">
      <x/>
    </i>
    <i t="grand" i="1">
      <x/>
    </i>
  </rowItems>
  <colFields count="1">
    <field x="0"/>
  </colFields>
  <colItems count="3">
    <i>
      <x v="5"/>
    </i>
    <i>
      <x v="6"/>
    </i>
    <i>
      <x v="10"/>
    </i>
  </colItems>
  <pageFields count="1">
    <pageField fld="1" item="1" hier="-1"/>
  </pageFields>
  <dataFields count="2">
    <dataField name="평균 : 수량" fld="3" subtotal="average" baseField="0" baseItem="0"/>
    <dataField name="평균 : 판매금액" fld="4" subtotal="average" baseField="2" baseItem="7" numFmtId="4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1"/>
  <sheetViews>
    <sheetView windowProtection="1" workbookViewId="0">
      <selection activeCell="H15" sqref="H15"/>
    </sheetView>
  </sheetViews>
  <sheetFormatPr defaultRowHeight="16.5"/>
  <cols>
    <col min="1" max="1" width="11.25" customWidth="1"/>
    <col min="2" max="3" width="9.375" customWidth="1"/>
    <col min="4" max="4" width="7.5" customWidth="1"/>
    <col min="5" max="6" width="9.375" customWidth="1"/>
    <col min="7" max="7" width="7.5" customWidth="1"/>
    <col min="8" max="8" width="9.25" bestFit="1" customWidth="1"/>
    <col min="9" max="9" width="11.125" bestFit="1" customWidth="1"/>
  </cols>
  <sheetData>
    <row r="1" spans="1:7">
      <c r="A1" s="1"/>
      <c r="B1" s="2"/>
      <c r="C1" s="2"/>
    </row>
    <row r="2" spans="1:7">
      <c r="A2" s="1"/>
      <c r="B2" s="2" t="s">
        <v>0</v>
      </c>
      <c r="C2" s="2"/>
    </row>
    <row r="3" spans="1:7">
      <c r="A3" s="57" t="s">
        <v>1</v>
      </c>
      <c r="B3" s="58" t="s">
        <v>2</v>
      </c>
      <c r="C3" s="58" t="s">
        <v>3</v>
      </c>
      <c r="D3" s="58" t="s">
        <v>4</v>
      </c>
      <c r="E3" s="58" t="s">
        <v>5</v>
      </c>
      <c r="F3" s="58" t="s">
        <v>6</v>
      </c>
      <c r="G3" s="59" t="s">
        <v>7</v>
      </c>
    </row>
    <row r="4" spans="1:7">
      <c r="A4" s="60" t="s">
        <v>8</v>
      </c>
      <c r="B4" s="61" t="s">
        <v>9</v>
      </c>
      <c r="C4" s="61">
        <v>43</v>
      </c>
      <c r="D4" s="61">
        <v>2500</v>
      </c>
      <c r="E4" s="61">
        <v>0.06</v>
      </c>
      <c r="F4" s="61">
        <v>101050</v>
      </c>
      <c r="G4" s="62" t="s">
        <v>10</v>
      </c>
    </row>
    <row r="5" spans="1:7">
      <c r="A5" s="63" t="s">
        <v>8</v>
      </c>
      <c r="B5" s="64" t="s">
        <v>9</v>
      </c>
      <c r="C5" s="64">
        <v>38</v>
      </c>
      <c r="D5" s="64">
        <v>2500</v>
      </c>
      <c r="E5" s="64">
        <v>0.06</v>
      </c>
      <c r="F5" s="64">
        <v>89300</v>
      </c>
      <c r="G5" s="65" t="s">
        <v>10</v>
      </c>
    </row>
    <row r="6" spans="1:7">
      <c r="A6" s="60" t="s">
        <v>11</v>
      </c>
      <c r="B6" s="61" t="s">
        <v>9</v>
      </c>
      <c r="C6" s="61">
        <v>49</v>
      </c>
      <c r="D6" s="61">
        <v>3000</v>
      </c>
      <c r="E6" s="61">
        <v>7.0000000000000007E-2</v>
      </c>
      <c r="F6" s="61">
        <v>136710</v>
      </c>
      <c r="G6" s="62" t="s">
        <v>10</v>
      </c>
    </row>
    <row r="7" spans="1:7">
      <c r="A7" s="63" t="s">
        <v>12</v>
      </c>
      <c r="B7" s="64" t="s">
        <v>9</v>
      </c>
      <c r="C7" s="64">
        <v>32</v>
      </c>
      <c r="D7" s="64">
        <v>3500</v>
      </c>
      <c r="E7" s="64">
        <v>0.08</v>
      </c>
      <c r="F7" s="64">
        <v>103040</v>
      </c>
      <c r="G7" s="65" t="s">
        <v>10</v>
      </c>
    </row>
    <row r="8" spans="1:7">
      <c r="A8" s="60" t="s">
        <v>13</v>
      </c>
      <c r="B8" s="61" t="s">
        <v>14</v>
      </c>
      <c r="C8" s="61">
        <v>39</v>
      </c>
      <c r="D8" s="61">
        <v>2500</v>
      </c>
      <c r="E8" s="61">
        <v>0.06</v>
      </c>
      <c r="F8" s="61">
        <v>91650</v>
      </c>
      <c r="G8" s="62" t="s">
        <v>10</v>
      </c>
    </row>
    <row r="9" spans="1:7">
      <c r="A9" s="63" t="s">
        <v>15</v>
      </c>
      <c r="B9" s="64" t="s">
        <v>14</v>
      </c>
      <c r="C9" s="64">
        <v>42</v>
      </c>
      <c r="D9" s="64">
        <v>3000</v>
      </c>
      <c r="E9" s="64">
        <v>7.0000000000000007E-2</v>
      </c>
      <c r="F9" s="64">
        <v>117180</v>
      </c>
      <c r="G9" s="65" t="s">
        <v>10</v>
      </c>
    </row>
    <row r="10" spans="1:7">
      <c r="A10" s="60" t="s">
        <v>15</v>
      </c>
      <c r="B10" s="61" t="s">
        <v>14</v>
      </c>
      <c r="C10" s="61">
        <v>31</v>
      </c>
      <c r="D10" s="61">
        <v>3000</v>
      </c>
      <c r="E10" s="61">
        <v>7.0000000000000007E-2</v>
      </c>
      <c r="F10" s="61">
        <v>86490</v>
      </c>
      <c r="G10" s="62" t="s">
        <v>10</v>
      </c>
    </row>
    <row r="11" spans="1:7">
      <c r="A11" s="54" t="s">
        <v>16</v>
      </c>
      <c r="B11" s="55" t="s">
        <v>17</v>
      </c>
      <c r="C11" s="55">
        <v>42</v>
      </c>
      <c r="D11" s="55">
        <v>1000</v>
      </c>
      <c r="E11" s="55">
        <v>0.03</v>
      </c>
      <c r="F11" s="55">
        <v>40740</v>
      </c>
      <c r="G11" s="56" t="s">
        <v>10</v>
      </c>
    </row>
  </sheetData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38"/>
  <sheetViews>
    <sheetView windowProtection="1" workbookViewId="0"/>
  </sheetViews>
  <sheetFormatPr defaultRowHeight="16.5"/>
  <cols>
    <col min="1" max="1" width="11.25" customWidth="1"/>
    <col min="2" max="2" width="9.375" customWidth="1"/>
    <col min="3" max="3" width="10.625" bestFit="1" customWidth="1"/>
    <col min="4" max="5" width="12.375" bestFit="1" customWidth="1"/>
    <col min="6" max="6" width="10.5" bestFit="1" customWidth="1"/>
    <col min="7" max="7" width="12.375" bestFit="1" customWidth="1"/>
    <col min="8" max="8" width="9.25" bestFit="1" customWidth="1"/>
    <col min="9" max="9" width="11.125" bestFit="1" customWidth="1"/>
  </cols>
  <sheetData>
    <row r="1" spans="1:9">
      <c r="A1" s="2" t="s">
        <v>18</v>
      </c>
      <c r="B1" s="2"/>
      <c r="C1" s="2"/>
      <c r="D1" s="2"/>
      <c r="E1" s="2"/>
      <c r="F1" s="2"/>
      <c r="G1" s="2"/>
      <c r="H1" s="2"/>
      <c r="I1" s="2"/>
    </row>
    <row r="2" spans="1:9" ht="20.25">
      <c r="A2" s="90" t="s">
        <v>19</v>
      </c>
      <c r="B2" s="90"/>
      <c r="C2" s="90"/>
      <c r="D2" s="90"/>
      <c r="E2" s="90"/>
      <c r="F2" s="90"/>
      <c r="G2" s="90"/>
      <c r="H2" s="2"/>
      <c r="I2" s="2"/>
    </row>
    <row r="3" spans="1:9">
      <c r="A3" s="3" t="s">
        <v>20</v>
      </c>
      <c r="B3" s="3" t="s">
        <v>21</v>
      </c>
      <c r="C3" s="3" t="s">
        <v>22</v>
      </c>
      <c r="D3" s="3" t="s">
        <v>23</v>
      </c>
      <c r="E3" s="3" t="s">
        <v>24</v>
      </c>
      <c r="F3" s="3" t="s">
        <v>25</v>
      </c>
      <c r="G3" s="3" t="s">
        <v>26</v>
      </c>
      <c r="H3" s="2"/>
      <c r="I3" s="2"/>
    </row>
    <row r="4" spans="1:9">
      <c r="A4" s="3" t="s">
        <v>27</v>
      </c>
      <c r="B4" s="4" t="s">
        <v>28</v>
      </c>
      <c r="C4" s="5">
        <v>2500000</v>
      </c>
      <c r="D4" s="78">
        <f t="shared" ref="D4:D11" si="0">C4*80%</f>
        <v>2000000</v>
      </c>
      <c r="E4" s="78">
        <f t="shared" ref="E4:E11" si="1">C4+D4</f>
        <v>4500000</v>
      </c>
      <c r="F4" s="78">
        <f t="shared" ref="F4:F11" si="2">E4*12%</f>
        <v>540000</v>
      </c>
      <c r="G4" s="78">
        <f t="shared" ref="G4:G11" si="3">E4-F4</f>
        <v>3960000</v>
      </c>
      <c r="H4" s="2"/>
      <c r="I4" s="2"/>
    </row>
    <row r="5" spans="1:9">
      <c r="A5" s="3" t="s">
        <v>29</v>
      </c>
      <c r="B5" s="4" t="s">
        <v>30</v>
      </c>
      <c r="C5" s="5">
        <v>1200000</v>
      </c>
      <c r="D5" s="78">
        <f t="shared" si="0"/>
        <v>960000</v>
      </c>
      <c r="E5" s="78">
        <f t="shared" si="1"/>
        <v>2160000</v>
      </c>
      <c r="F5" s="78">
        <f t="shared" si="2"/>
        <v>259200</v>
      </c>
      <c r="G5" s="78">
        <f t="shared" si="3"/>
        <v>1900800</v>
      </c>
      <c r="H5" s="2"/>
      <c r="I5" s="2"/>
    </row>
    <row r="6" spans="1:9">
      <c r="A6" s="3" t="s">
        <v>31</v>
      </c>
      <c r="B6" s="4" t="s">
        <v>32</v>
      </c>
      <c r="C6" s="5">
        <v>2350000</v>
      </c>
      <c r="D6" s="78">
        <f t="shared" si="0"/>
        <v>1880000</v>
      </c>
      <c r="E6" s="78">
        <f t="shared" si="1"/>
        <v>4230000</v>
      </c>
      <c r="F6" s="78">
        <f t="shared" si="2"/>
        <v>507600</v>
      </c>
      <c r="G6" s="78">
        <f t="shared" si="3"/>
        <v>3722400</v>
      </c>
      <c r="H6" s="2"/>
      <c r="I6" s="2"/>
    </row>
    <row r="7" spans="1:9">
      <c r="A7" s="3" t="s">
        <v>33</v>
      </c>
      <c r="B7" s="4" t="s">
        <v>34</v>
      </c>
      <c r="C7" s="5">
        <v>1860000</v>
      </c>
      <c r="D7" s="78">
        <f t="shared" si="0"/>
        <v>1488000</v>
      </c>
      <c r="E7" s="78">
        <f t="shared" si="1"/>
        <v>3348000</v>
      </c>
      <c r="F7" s="78">
        <f t="shared" si="2"/>
        <v>401760</v>
      </c>
      <c r="G7" s="78">
        <f t="shared" si="3"/>
        <v>2946240</v>
      </c>
      <c r="H7" s="2"/>
      <c r="I7" s="2"/>
    </row>
    <row r="8" spans="1:9">
      <c r="A8" s="3" t="s">
        <v>35</v>
      </c>
      <c r="B8" s="4" t="s">
        <v>30</v>
      </c>
      <c r="C8" s="5">
        <v>1350000</v>
      </c>
      <c r="D8" s="78">
        <f t="shared" si="0"/>
        <v>1080000</v>
      </c>
      <c r="E8" s="78">
        <f t="shared" si="1"/>
        <v>2430000</v>
      </c>
      <c r="F8" s="78">
        <f t="shared" si="2"/>
        <v>291600</v>
      </c>
      <c r="G8" s="78">
        <f t="shared" si="3"/>
        <v>2138400</v>
      </c>
      <c r="H8" s="2"/>
      <c r="I8" s="2"/>
    </row>
    <row r="9" spans="1:9">
      <c r="A9" s="3" t="s">
        <v>36</v>
      </c>
      <c r="B9" s="4" t="s">
        <v>37</v>
      </c>
      <c r="C9" s="5">
        <v>900000</v>
      </c>
      <c r="D9" s="78">
        <f t="shared" si="0"/>
        <v>720000</v>
      </c>
      <c r="E9" s="78">
        <f t="shared" si="1"/>
        <v>1620000</v>
      </c>
      <c r="F9" s="78">
        <f t="shared" si="2"/>
        <v>194400</v>
      </c>
      <c r="G9" s="78">
        <f t="shared" si="3"/>
        <v>1425600</v>
      </c>
      <c r="H9" s="2"/>
      <c r="I9" s="2"/>
    </row>
    <row r="10" spans="1:9">
      <c r="A10" s="3" t="s">
        <v>38</v>
      </c>
      <c r="B10" s="4" t="s">
        <v>34</v>
      </c>
      <c r="C10" s="5">
        <v>1700000</v>
      </c>
      <c r="D10" s="78">
        <f t="shared" si="0"/>
        <v>1360000</v>
      </c>
      <c r="E10" s="78">
        <f t="shared" si="1"/>
        <v>3060000</v>
      </c>
      <c r="F10" s="78">
        <f t="shared" si="2"/>
        <v>367200</v>
      </c>
      <c r="G10" s="78">
        <f t="shared" si="3"/>
        <v>2692800</v>
      </c>
      <c r="H10" s="2"/>
      <c r="I10" s="2"/>
    </row>
    <row r="11" spans="1:9">
      <c r="A11" s="3" t="s">
        <v>39</v>
      </c>
      <c r="B11" s="4" t="s">
        <v>37</v>
      </c>
      <c r="C11" s="5">
        <v>1000000</v>
      </c>
      <c r="D11" s="78">
        <f t="shared" si="0"/>
        <v>800000</v>
      </c>
      <c r="E11" s="78">
        <f t="shared" si="1"/>
        <v>1800000</v>
      </c>
      <c r="F11" s="78">
        <f t="shared" si="2"/>
        <v>216000</v>
      </c>
      <c r="G11" s="78">
        <f t="shared" si="3"/>
        <v>1584000</v>
      </c>
      <c r="H11" s="2"/>
      <c r="I11" s="2"/>
    </row>
    <row r="12" spans="1:9">
      <c r="A12" s="7"/>
      <c r="B12" s="8"/>
      <c r="C12" s="9"/>
      <c r="D12" s="10"/>
      <c r="E12" s="10"/>
      <c r="F12" s="10"/>
      <c r="G12" s="10"/>
      <c r="H12" s="2"/>
      <c r="I12" s="2"/>
    </row>
    <row r="13" spans="1:9">
      <c r="A13" s="7"/>
      <c r="B13" s="8"/>
      <c r="C13" s="9"/>
      <c r="D13" s="10"/>
      <c r="E13" s="10"/>
      <c r="F13" s="10"/>
      <c r="G13" s="10"/>
      <c r="H13" s="2"/>
      <c r="I13" s="2"/>
    </row>
    <row r="14" spans="1:9">
      <c r="A14" s="2" t="s">
        <v>40</v>
      </c>
      <c r="B14" s="8"/>
      <c r="C14" s="9"/>
      <c r="D14" s="10"/>
      <c r="E14" s="10"/>
      <c r="F14" s="10"/>
      <c r="G14" s="10"/>
      <c r="H14" s="2"/>
      <c r="I14" s="2"/>
    </row>
    <row r="15" spans="1:9" ht="20.25">
      <c r="A15" s="90" t="s">
        <v>41</v>
      </c>
      <c r="B15" s="90"/>
      <c r="C15" s="90"/>
      <c r="D15" s="90"/>
      <c r="E15" s="90"/>
      <c r="F15" s="90"/>
      <c r="G15" s="90"/>
      <c r="H15" s="90"/>
      <c r="I15" s="90"/>
    </row>
    <row r="16" spans="1:9">
      <c r="A16" s="2"/>
      <c r="B16" s="2"/>
      <c r="C16" s="2"/>
      <c r="D16" s="2"/>
      <c r="E16" s="2"/>
      <c r="F16" s="2"/>
      <c r="G16" s="2"/>
    </row>
    <row r="17" spans="1:9">
      <c r="A17" s="3" t="s">
        <v>42</v>
      </c>
      <c r="B17" s="3" t="s">
        <v>43</v>
      </c>
      <c r="C17" s="3" t="s">
        <v>44</v>
      </c>
      <c r="D17" s="3" t="s">
        <v>45</v>
      </c>
      <c r="E17" s="3" t="s">
        <v>46</v>
      </c>
      <c r="F17" s="3" t="s">
        <v>47</v>
      </c>
      <c r="G17" s="3" t="s">
        <v>48</v>
      </c>
      <c r="H17" s="3" t="s">
        <v>49</v>
      </c>
      <c r="I17" s="3" t="s">
        <v>50</v>
      </c>
    </row>
    <row r="18" spans="1:9">
      <c r="A18" s="11" t="s">
        <v>51</v>
      </c>
      <c r="B18" s="3" t="s">
        <v>52</v>
      </c>
      <c r="C18" s="12">
        <v>55</v>
      </c>
      <c r="D18" s="6">
        <v>1150</v>
      </c>
      <c r="E18" s="6">
        <v>1196000</v>
      </c>
      <c r="F18" s="6">
        <v>1190</v>
      </c>
      <c r="G18" s="6">
        <v>1646008</v>
      </c>
      <c r="H18" s="6">
        <v>15</v>
      </c>
      <c r="I18" s="6">
        <v>408408</v>
      </c>
    </row>
    <row r="19" spans="1:9">
      <c r="A19" s="11" t="s">
        <v>53</v>
      </c>
      <c r="B19" s="3" t="s">
        <v>52</v>
      </c>
      <c r="C19" s="13">
        <v>45</v>
      </c>
      <c r="D19" s="6">
        <v>1200</v>
      </c>
      <c r="E19" s="6">
        <v>1248000</v>
      </c>
      <c r="F19" s="6">
        <v>1100</v>
      </c>
      <c r="G19" s="6">
        <v>1521520</v>
      </c>
      <c r="H19" s="6">
        <v>145</v>
      </c>
      <c r="I19" s="6">
        <v>377520</v>
      </c>
    </row>
    <row r="20" spans="1:9">
      <c r="A20" s="11" t="s">
        <v>54</v>
      </c>
      <c r="B20" s="3" t="s">
        <v>52</v>
      </c>
      <c r="C20" s="13">
        <v>135</v>
      </c>
      <c r="D20" s="6">
        <v>1080</v>
      </c>
      <c r="E20" s="6">
        <v>1123200</v>
      </c>
      <c r="F20" s="6">
        <v>1210</v>
      </c>
      <c r="G20" s="6">
        <v>1673672</v>
      </c>
      <c r="H20" s="6">
        <v>5</v>
      </c>
      <c r="I20" s="6">
        <v>415272</v>
      </c>
    </row>
    <row r="21" spans="1:9">
      <c r="A21" s="11" t="s">
        <v>55</v>
      </c>
      <c r="B21" s="3" t="s">
        <v>56</v>
      </c>
      <c r="C21" s="12">
        <v>190</v>
      </c>
      <c r="D21" s="6">
        <v>780</v>
      </c>
      <c r="E21" s="6">
        <v>858000</v>
      </c>
      <c r="F21" s="6">
        <v>800</v>
      </c>
      <c r="G21" s="6">
        <v>1170400</v>
      </c>
      <c r="H21" s="6">
        <v>170</v>
      </c>
      <c r="I21" s="6">
        <v>290400</v>
      </c>
    </row>
    <row r="22" spans="1:9">
      <c r="A22" s="11" t="s">
        <v>53</v>
      </c>
      <c r="B22" s="3" t="s">
        <v>56</v>
      </c>
      <c r="C22" s="13">
        <v>100</v>
      </c>
      <c r="D22" s="6">
        <v>660</v>
      </c>
      <c r="E22" s="6">
        <v>726000</v>
      </c>
      <c r="F22" s="6">
        <v>760</v>
      </c>
      <c r="G22" s="6">
        <v>1111880</v>
      </c>
      <c r="H22" s="6">
        <v>0</v>
      </c>
      <c r="I22" s="6">
        <v>275880</v>
      </c>
    </row>
    <row r="23" spans="1:9">
      <c r="A23" s="11" t="s">
        <v>54</v>
      </c>
      <c r="B23" s="3" t="s">
        <v>56</v>
      </c>
      <c r="C23" s="13">
        <v>2</v>
      </c>
      <c r="D23" s="6">
        <v>1300</v>
      </c>
      <c r="E23" s="6">
        <v>1430000</v>
      </c>
      <c r="F23" s="6">
        <v>1302</v>
      </c>
      <c r="G23" s="6">
        <v>1904826</v>
      </c>
      <c r="H23" s="6">
        <v>0</v>
      </c>
      <c r="I23" s="6">
        <v>472626</v>
      </c>
    </row>
    <row r="24" spans="1:9">
      <c r="A24" s="11" t="s">
        <v>55</v>
      </c>
      <c r="B24" s="3" t="s">
        <v>57</v>
      </c>
      <c r="C24" s="12">
        <v>110</v>
      </c>
      <c r="D24" s="6">
        <v>950</v>
      </c>
      <c r="E24" s="6">
        <v>997500</v>
      </c>
      <c r="F24" s="6">
        <v>960</v>
      </c>
      <c r="G24" s="6">
        <v>1340640</v>
      </c>
      <c r="H24" s="6">
        <v>100</v>
      </c>
      <c r="I24" s="6">
        <v>332640</v>
      </c>
    </row>
    <row r="25" spans="1:9">
      <c r="A25" s="11" t="s">
        <v>53</v>
      </c>
      <c r="B25" s="3" t="s">
        <v>57</v>
      </c>
      <c r="C25" s="13">
        <v>66</v>
      </c>
      <c r="D25" s="6">
        <v>750</v>
      </c>
      <c r="E25" s="6">
        <v>787500</v>
      </c>
      <c r="F25" s="6">
        <v>730</v>
      </c>
      <c r="G25" s="6">
        <v>1019445</v>
      </c>
      <c r="H25" s="6">
        <v>86</v>
      </c>
      <c r="I25" s="6">
        <v>252945</v>
      </c>
    </row>
    <row r="26" spans="1:9">
      <c r="A26" s="11" t="s">
        <v>54</v>
      </c>
      <c r="B26" s="3" t="s">
        <v>57</v>
      </c>
      <c r="C26" s="13">
        <v>77</v>
      </c>
      <c r="D26" s="6">
        <v>1200</v>
      </c>
      <c r="E26" s="6">
        <v>1260000</v>
      </c>
      <c r="F26" s="6">
        <v>1200</v>
      </c>
      <c r="G26" s="6">
        <v>1675800</v>
      </c>
      <c r="H26" s="6">
        <v>77</v>
      </c>
      <c r="I26" s="6">
        <v>415800</v>
      </c>
    </row>
    <row r="29" spans="1:9">
      <c r="A29" s="14" t="s">
        <v>58</v>
      </c>
    </row>
    <row r="30" spans="1:9">
      <c r="A30" t="b">
        <f>OR(F18&lt;=AVERAGE($F$18:$F$26),AND(C18&gt;=100,C18&lt;=150))</f>
        <v>0</v>
      </c>
    </row>
    <row r="33" spans="1:9">
      <c r="A33" s="3" t="s">
        <v>59</v>
      </c>
      <c r="B33" s="3" t="s">
        <v>43</v>
      </c>
      <c r="C33" s="3" t="s">
        <v>44</v>
      </c>
      <c r="D33" s="3" t="s">
        <v>45</v>
      </c>
      <c r="E33" s="3" t="s">
        <v>46</v>
      </c>
      <c r="F33" s="3" t="s">
        <v>47</v>
      </c>
      <c r="G33" s="3" t="s">
        <v>48</v>
      </c>
      <c r="H33" s="3" t="s">
        <v>49</v>
      </c>
      <c r="I33" s="3" t="s">
        <v>50</v>
      </c>
    </row>
    <row r="34" spans="1:9">
      <c r="A34" s="11" t="s">
        <v>54</v>
      </c>
      <c r="B34" s="3" t="s">
        <v>52</v>
      </c>
      <c r="C34" s="13">
        <v>135</v>
      </c>
      <c r="D34" s="6">
        <v>1080</v>
      </c>
      <c r="E34" s="6">
        <v>1123200</v>
      </c>
      <c r="F34" s="6">
        <v>1210</v>
      </c>
      <c r="G34" s="6">
        <v>1673672</v>
      </c>
      <c r="H34" s="6">
        <v>5</v>
      </c>
      <c r="I34" s="6">
        <v>415272</v>
      </c>
    </row>
    <row r="35" spans="1:9">
      <c r="A35" s="11" t="s">
        <v>55</v>
      </c>
      <c r="B35" s="3" t="s">
        <v>56</v>
      </c>
      <c r="C35" s="12">
        <v>190</v>
      </c>
      <c r="D35" s="6">
        <v>780</v>
      </c>
      <c r="E35" s="6">
        <v>858000</v>
      </c>
      <c r="F35" s="6">
        <v>800</v>
      </c>
      <c r="G35" s="6">
        <v>1170400</v>
      </c>
      <c r="H35" s="6">
        <v>170</v>
      </c>
      <c r="I35" s="6">
        <v>290400</v>
      </c>
    </row>
    <row r="36" spans="1:9">
      <c r="A36" s="11" t="s">
        <v>53</v>
      </c>
      <c r="B36" s="3" t="s">
        <v>56</v>
      </c>
      <c r="C36" s="13">
        <v>100</v>
      </c>
      <c r="D36" s="6">
        <v>660</v>
      </c>
      <c r="E36" s="6">
        <v>726000</v>
      </c>
      <c r="F36" s="6">
        <v>760</v>
      </c>
      <c r="G36" s="6">
        <v>1111880</v>
      </c>
      <c r="H36" s="6">
        <v>0</v>
      </c>
      <c r="I36" s="6">
        <v>275880</v>
      </c>
    </row>
    <row r="37" spans="1:9">
      <c r="A37" s="11" t="s">
        <v>55</v>
      </c>
      <c r="B37" s="3" t="s">
        <v>57</v>
      </c>
      <c r="C37" s="12">
        <v>110</v>
      </c>
      <c r="D37" s="6">
        <v>950</v>
      </c>
      <c r="E37" s="6">
        <v>997500</v>
      </c>
      <c r="F37" s="6">
        <v>960</v>
      </c>
      <c r="G37" s="6">
        <v>1340640</v>
      </c>
      <c r="H37" s="6">
        <v>100</v>
      </c>
      <c r="I37" s="6">
        <v>332640</v>
      </c>
    </row>
    <row r="38" spans="1:9">
      <c r="A38" s="11" t="s">
        <v>53</v>
      </c>
      <c r="B38" s="3" t="s">
        <v>57</v>
      </c>
      <c r="C38" s="13">
        <v>66</v>
      </c>
      <c r="D38" s="6">
        <v>750</v>
      </c>
      <c r="E38" s="6">
        <v>787500</v>
      </c>
      <c r="F38" s="6">
        <v>730</v>
      </c>
      <c r="G38" s="6">
        <v>1019445</v>
      </c>
      <c r="H38" s="6">
        <v>86</v>
      </c>
      <c r="I38" s="6">
        <v>252945</v>
      </c>
    </row>
  </sheetData>
  <sheetProtection sheet="1" objects="1" scenarios="1"/>
  <mergeCells count="2">
    <mergeCell ref="A2:G2"/>
    <mergeCell ref="A15:I15"/>
  </mergeCells>
  <phoneticPr fontId="4" type="noConversion"/>
  <conditionalFormatting sqref="B18:B26">
    <cfRule type="cellIs" dxfId="2" priority="5" stopIfTrue="1" operator="equal">
      <formula>"소계"</formula>
    </cfRule>
  </conditionalFormatting>
  <conditionalFormatting sqref="I18:I26">
    <cfRule type="cellIs" dxfId="1" priority="4" stopIfTrue="1" operator="greaterThanOrEqual">
      <formula>0</formula>
    </cfRule>
  </conditionalFormatting>
  <conditionalFormatting sqref="C3:G11">
    <cfRule type="expression" dxfId="0" priority="1">
      <formula>ISEVEN(COLUMN())</formula>
    </cfRule>
  </conditionalFormatting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F11"/>
  <sheetViews>
    <sheetView windowProtection="1" workbookViewId="0"/>
  </sheetViews>
  <sheetFormatPr defaultRowHeight="16.5"/>
  <cols>
    <col min="2" max="2" width="8" customWidth="1"/>
    <col min="3" max="3" width="11.875" customWidth="1"/>
    <col min="4" max="4" width="11.625" customWidth="1"/>
    <col min="6" max="6" width="11.875" customWidth="1"/>
  </cols>
  <sheetData>
    <row r="2" spans="1:6">
      <c r="A2" t="s">
        <v>213</v>
      </c>
    </row>
    <row r="3" spans="1:6">
      <c r="A3" s="81" t="s">
        <v>214</v>
      </c>
      <c r="B3" s="81" t="s">
        <v>215</v>
      </c>
      <c r="C3" s="81" t="s">
        <v>216</v>
      </c>
      <c r="D3" s="81" t="s">
        <v>217</v>
      </c>
      <c r="E3" s="81" t="s">
        <v>218</v>
      </c>
      <c r="F3" s="81" t="s">
        <v>219</v>
      </c>
    </row>
    <row r="4" spans="1:6">
      <c r="A4" s="81" t="s">
        <v>220</v>
      </c>
      <c r="B4" s="81" t="s">
        <v>221</v>
      </c>
      <c r="C4" s="82">
        <v>42070</v>
      </c>
      <c r="D4" s="83">
        <v>179000</v>
      </c>
      <c r="E4" s="84">
        <f>RANK(D4,$D$4:$D$11)</f>
        <v>6</v>
      </c>
      <c r="F4" s="85" t="str">
        <f t="shared" ref="F4:F11" si="0">IF(WEEKDAY(C4,2)&gt;=5,"주말출발","주중출발")</f>
        <v>주말출발</v>
      </c>
    </row>
    <row r="5" spans="1:6">
      <c r="A5" s="81" t="s">
        <v>222</v>
      </c>
      <c r="B5" s="81" t="s">
        <v>221</v>
      </c>
      <c r="C5" s="82">
        <v>42073</v>
      </c>
      <c r="D5" s="83">
        <v>159000</v>
      </c>
      <c r="E5" s="84">
        <f t="shared" ref="E5:E11" si="1">RANK(D5,$D$4:$D$11)</f>
        <v>8</v>
      </c>
      <c r="F5" s="85" t="str">
        <f t="shared" si="0"/>
        <v>주중출발</v>
      </c>
    </row>
    <row r="6" spans="1:6">
      <c r="A6" s="81" t="s">
        <v>223</v>
      </c>
      <c r="B6" s="81" t="s">
        <v>224</v>
      </c>
      <c r="C6" s="82">
        <v>42077</v>
      </c>
      <c r="D6" s="83">
        <v>459000</v>
      </c>
      <c r="E6" s="84">
        <f t="shared" si="1"/>
        <v>1</v>
      </c>
      <c r="F6" s="85" t="str">
        <f t="shared" si="0"/>
        <v>주말출발</v>
      </c>
    </row>
    <row r="7" spans="1:6">
      <c r="A7" s="81" t="s">
        <v>225</v>
      </c>
      <c r="B7" s="81" t="s">
        <v>224</v>
      </c>
      <c r="C7" s="82">
        <v>42077</v>
      </c>
      <c r="D7" s="83">
        <v>329000</v>
      </c>
      <c r="E7" s="84">
        <f t="shared" si="1"/>
        <v>2</v>
      </c>
      <c r="F7" s="85" t="str">
        <f t="shared" si="0"/>
        <v>주말출발</v>
      </c>
    </row>
    <row r="8" spans="1:6">
      <c r="A8" s="81" t="s">
        <v>226</v>
      </c>
      <c r="B8" s="81" t="s">
        <v>221</v>
      </c>
      <c r="C8" s="82">
        <v>42073</v>
      </c>
      <c r="D8" s="83">
        <v>199000</v>
      </c>
      <c r="E8" s="84">
        <f t="shared" si="1"/>
        <v>5</v>
      </c>
      <c r="F8" s="85" t="str">
        <f t="shared" si="0"/>
        <v>주중출발</v>
      </c>
    </row>
    <row r="9" spans="1:6">
      <c r="A9" s="81" t="s">
        <v>227</v>
      </c>
      <c r="B9" s="81" t="s">
        <v>221</v>
      </c>
      <c r="C9" s="82">
        <v>42080</v>
      </c>
      <c r="D9" s="83">
        <v>169000</v>
      </c>
      <c r="E9" s="84">
        <f t="shared" si="1"/>
        <v>7</v>
      </c>
      <c r="F9" s="85" t="str">
        <f t="shared" si="0"/>
        <v>주중출발</v>
      </c>
    </row>
    <row r="10" spans="1:6">
      <c r="A10" s="81" t="s">
        <v>228</v>
      </c>
      <c r="B10" s="81" t="s">
        <v>221</v>
      </c>
      <c r="C10" s="82">
        <v>42073</v>
      </c>
      <c r="D10" s="83">
        <v>239000</v>
      </c>
      <c r="E10" s="84">
        <f t="shared" si="1"/>
        <v>4</v>
      </c>
      <c r="F10" s="85" t="str">
        <f t="shared" si="0"/>
        <v>주중출발</v>
      </c>
    </row>
    <row r="11" spans="1:6">
      <c r="A11" s="81" t="s">
        <v>229</v>
      </c>
      <c r="B11" s="81" t="s">
        <v>224</v>
      </c>
      <c r="C11" s="82">
        <v>42080</v>
      </c>
      <c r="D11" s="83">
        <v>329000</v>
      </c>
      <c r="E11" s="84">
        <f t="shared" si="1"/>
        <v>2</v>
      </c>
      <c r="F11" s="85" t="str">
        <f t="shared" si="0"/>
        <v>주중출발</v>
      </c>
    </row>
  </sheetData>
  <sheetProtection sheet="1" objects="1" scenarios="1"/>
  <phoneticPr fontId="4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3"/>
  <sheetViews>
    <sheetView windowProtection="1" topLeftCell="A4" workbookViewId="0"/>
  </sheetViews>
  <sheetFormatPr defaultRowHeight="16.5"/>
  <cols>
    <col min="1" max="1" width="13.125" style="2" bestFit="1" customWidth="1"/>
    <col min="2" max="2" width="15.125" style="2" bestFit="1" customWidth="1"/>
    <col min="3" max="3" width="11.75" style="2" bestFit="1" customWidth="1"/>
    <col min="4" max="4" width="9" style="2"/>
    <col min="5" max="5" width="13.125" style="2" bestFit="1" customWidth="1"/>
    <col min="6" max="6" width="11.75" style="2" bestFit="1" customWidth="1"/>
    <col min="7" max="7" width="13.75" style="2" bestFit="1" customWidth="1"/>
    <col min="8" max="8" width="15.625" style="2" customWidth="1"/>
    <col min="9" max="9" width="12.875" style="2" customWidth="1"/>
    <col min="10" max="16384" width="9" style="2"/>
  </cols>
  <sheetData>
    <row r="1" spans="1:8">
      <c r="A1" s="2" t="s">
        <v>60</v>
      </c>
      <c r="B1" s="2" t="s">
        <v>61</v>
      </c>
    </row>
    <row r="2" spans="1:8">
      <c r="A2" s="3" t="s">
        <v>62</v>
      </c>
      <c r="B2" s="3" t="s">
        <v>63</v>
      </c>
      <c r="C2" s="3" t="s">
        <v>64</v>
      </c>
      <c r="D2" s="3" t="s">
        <v>65</v>
      </c>
      <c r="E2" s="3" t="s">
        <v>66</v>
      </c>
      <c r="F2" s="3" t="s">
        <v>67</v>
      </c>
      <c r="G2" s="3" t="s">
        <v>68</v>
      </c>
    </row>
    <row r="3" spans="1:8">
      <c r="A3" s="3" t="s">
        <v>69</v>
      </c>
      <c r="B3" s="15">
        <v>15</v>
      </c>
      <c r="C3" s="15">
        <v>175</v>
      </c>
      <c r="D3" s="15">
        <v>35</v>
      </c>
      <c r="E3" s="15">
        <v>20</v>
      </c>
      <c r="F3" s="15">
        <v>320</v>
      </c>
      <c r="G3" s="15">
        <v>186</v>
      </c>
    </row>
    <row r="5" spans="1:8">
      <c r="A5" s="2" t="s">
        <v>70</v>
      </c>
      <c r="D5" s="1"/>
      <c r="E5" s="1"/>
    </row>
    <row r="6" spans="1:8">
      <c r="A6" s="3" t="s">
        <v>71</v>
      </c>
      <c r="B6" s="3" t="s">
        <v>72</v>
      </c>
      <c r="C6" s="16" t="s">
        <v>73</v>
      </c>
      <c r="D6" s="17"/>
      <c r="E6" s="1"/>
    </row>
    <row r="7" spans="1:8">
      <c r="A7" s="3" t="s">
        <v>74</v>
      </c>
      <c r="B7" s="18">
        <v>0.05</v>
      </c>
      <c r="C7" s="19">
        <f t="array" ref="C7">MEDIAN(IF($A$13:$A$30=A7,$D$13:$D$30))</f>
        <v>185</v>
      </c>
      <c r="D7" s="1"/>
      <c r="E7" s="1"/>
    </row>
    <row r="8" spans="1:8">
      <c r="A8" s="3" t="s">
        <v>75</v>
      </c>
      <c r="B8" s="18">
        <v>7.0000000000000007E-2</v>
      </c>
      <c r="C8" s="19">
        <f t="array" ref="C8">MEDIAN(IF($A$13:$A$30=A8,$D$13:$D$30))</f>
        <v>175</v>
      </c>
      <c r="D8" s="1"/>
      <c r="E8" s="1"/>
    </row>
    <row r="9" spans="1:8">
      <c r="A9" s="3" t="s">
        <v>76</v>
      </c>
      <c r="B9" s="18">
        <v>0.1</v>
      </c>
      <c r="C9" s="19">
        <f t="array" ref="C9">MEDIAN(IF($A$13:$A$30=A9,$D$13:$D$30))</f>
        <v>165</v>
      </c>
      <c r="D9" s="1"/>
      <c r="E9" s="1"/>
    </row>
    <row r="10" spans="1:8">
      <c r="D10" s="1"/>
      <c r="E10" s="1"/>
    </row>
    <row r="11" spans="1:8">
      <c r="A11" s="2" t="s">
        <v>77</v>
      </c>
    </row>
    <row r="12" spans="1:8">
      <c r="A12" s="3" t="s">
        <v>78</v>
      </c>
      <c r="B12" s="3" t="s">
        <v>79</v>
      </c>
      <c r="C12" s="3" t="s">
        <v>80</v>
      </c>
      <c r="D12" s="3" t="s">
        <v>81</v>
      </c>
      <c r="E12" s="16" t="s">
        <v>82</v>
      </c>
      <c r="F12" s="16" t="s">
        <v>83</v>
      </c>
      <c r="G12" s="16" t="s">
        <v>84</v>
      </c>
      <c r="H12" s="16" t="s">
        <v>85</v>
      </c>
    </row>
    <row r="13" spans="1:8">
      <c r="A13" s="3" t="s">
        <v>86</v>
      </c>
      <c r="B13" s="20">
        <v>37317</v>
      </c>
      <c r="C13" s="3" t="s">
        <v>87</v>
      </c>
      <c r="D13" s="19">
        <v>205</v>
      </c>
      <c r="E13" s="19">
        <f>HLOOKUP(C13,$B$2:$G$3,2,FALSE)*IF(D13&lt;=100,1.1,1)</f>
        <v>15</v>
      </c>
      <c r="F13" s="21">
        <f t="array" ref="F13:F30">D13:D30*E13:E30</f>
        <v>3075</v>
      </c>
      <c r="G13" s="23">
        <f>F13*(1-VLOOKUP(A13,$A$7:$B$9,2,FALSE))</f>
        <v>2921.25</v>
      </c>
      <c r="H13" s="3" t="str">
        <f t="array" ref="H13">SUM(IF(A13:A30="용산",1)) &amp; "개"</f>
        <v>6개</v>
      </c>
    </row>
    <row r="14" spans="1:8">
      <c r="A14" s="3" t="s">
        <v>75</v>
      </c>
      <c r="B14" s="20">
        <v>37317</v>
      </c>
      <c r="C14" s="3" t="s">
        <v>88</v>
      </c>
      <c r="D14" s="19">
        <v>100</v>
      </c>
      <c r="E14" s="19">
        <f t="shared" ref="E14:E30" si="0">HLOOKUP(C14,$B$2:$G$3,2,FALSE)*IF(D14&lt;=100,1.1,1)</f>
        <v>192.50000000000003</v>
      </c>
      <c r="F14" s="21">
        <v>19250.000000000004</v>
      </c>
      <c r="G14" s="23">
        <f t="shared" ref="G14:G30" si="1">F14*(1-VLOOKUP(A14,$A$7:$B$9,2,FALSE))</f>
        <v>17902.500000000004</v>
      </c>
    </row>
    <row r="15" spans="1:8">
      <c r="A15" s="3" t="s">
        <v>76</v>
      </c>
      <c r="B15" s="20">
        <v>37322</v>
      </c>
      <c r="C15" s="3" t="s">
        <v>88</v>
      </c>
      <c r="D15" s="19">
        <v>150</v>
      </c>
      <c r="E15" s="19">
        <f t="shared" si="0"/>
        <v>175</v>
      </c>
      <c r="F15" s="21">
        <v>26250</v>
      </c>
      <c r="G15" s="23">
        <f t="shared" si="1"/>
        <v>23625</v>
      </c>
    </row>
    <row r="16" spans="1:8">
      <c r="A16" s="3" t="s">
        <v>76</v>
      </c>
      <c r="B16" s="20">
        <v>37322</v>
      </c>
      <c r="C16" s="3" t="s">
        <v>89</v>
      </c>
      <c r="D16" s="19">
        <v>105</v>
      </c>
      <c r="E16" s="19">
        <f t="shared" si="0"/>
        <v>35</v>
      </c>
      <c r="F16" s="21">
        <v>3675</v>
      </c>
      <c r="G16" s="23">
        <f t="shared" si="1"/>
        <v>3307.5</v>
      </c>
    </row>
    <row r="17" spans="1:7">
      <c r="A17" s="3" t="s">
        <v>76</v>
      </c>
      <c r="B17" s="20">
        <v>37348</v>
      </c>
      <c r="C17" s="3" t="s">
        <v>87</v>
      </c>
      <c r="D17" s="19">
        <v>100</v>
      </c>
      <c r="E17" s="19">
        <f t="shared" si="0"/>
        <v>16.5</v>
      </c>
      <c r="F17" s="21">
        <v>1650</v>
      </c>
      <c r="G17" s="23">
        <f t="shared" si="1"/>
        <v>1485</v>
      </c>
    </row>
    <row r="18" spans="1:7">
      <c r="A18" s="3" t="s">
        <v>76</v>
      </c>
      <c r="B18" s="20">
        <v>37362</v>
      </c>
      <c r="C18" s="3" t="s">
        <v>90</v>
      </c>
      <c r="D18" s="19">
        <v>200</v>
      </c>
      <c r="E18" s="19">
        <f t="shared" si="0"/>
        <v>186</v>
      </c>
      <c r="F18" s="21">
        <v>37200</v>
      </c>
      <c r="G18" s="23">
        <f t="shared" si="1"/>
        <v>33480</v>
      </c>
    </row>
    <row r="19" spans="1:7">
      <c r="A19" s="3" t="s">
        <v>86</v>
      </c>
      <c r="B19" s="20">
        <v>37362</v>
      </c>
      <c r="C19" s="3" t="s">
        <v>90</v>
      </c>
      <c r="D19" s="19">
        <v>170</v>
      </c>
      <c r="E19" s="19">
        <f t="shared" si="0"/>
        <v>186</v>
      </c>
      <c r="F19" s="21">
        <v>31620</v>
      </c>
      <c r="G19" s="23">
        <f t="shared" si="1"/>
        <v>30039</v>
      </c>
    </row>
    <row r="20" spans="1:7">
      <c r="A20" s="3" t="s">
        <v>75</v>
      </c>
      <c r="B20" s="20">
        <v>37362</v>
      </c>
      <c r="C20" s="3" t="s">
        <v>91</v>
      </c>
      <c r="D20" s="19">
        <v>150</v>
      </c>
      <c r="E20" s="19">
        <f t="shared" si="0"/>
        <v>20</v>
      </c>
      <c r="F20" s="21">
        <v>3000</v>
      </c>
      <c r="G20" s="23">
        <f t="shared" si="1"/>
        <v>2790</v>
      </c>
    </row>
    <row r="21" spans="1:7">
      <c r="A21" s="3" t="s">
        <v>76</v>
      </c>
      <c r="B21" s="20">
        <v>37367</v>
      </c>
      <c r="C21" s="3" t="s">
        <v>91</v>
      </c>
      <c r="D21" s="19">
        <v>220</v>
      </c>
      <c r="E21" s="19">
        <f t="shared" si="0"/>
        <v>20</v>
      </c>
      <c r="F21" s="21">
        <v>4400</v>
      </c>
      <c r="G21" s="23">
        <f t="shared" si="1"/>
        <v>3960</v>
      </c>
    </row>
    <row r="22" spans="1:7">
      <c r="A22" s="3" t="s">
        <v>86</v>
      </c>
      <c r="B22" s="20">
        <v>37382</v>
      </c>
      <c r="C22" s="3" t="s">
        <v>87</v>
      </c>
      <c r="D22" s="19">
        <v>110</v>
      </c>
      <c r="E22" s="19">
        <f t="shared" si="0"/>
        <v>15</v>
      </c>
      <c r="F22" s="21">
        <v>1650</v>
      </c>
      <c r="G22" s="23">
        <f t="shared" si="1"/>
        <v>1567.5</v>
      </c>
    </row>
    <row r="23" spans="1:7">
      <c r="A23" s="3" t="s">
        <v>76</v>
      </c>
      <c r="B23" s="20">
        <v>37383</v>
      </c>
      <c r="C23" s="3" t="s">
        <v>89</v>
      </c>
      <c r="D23" s="19">
        <v>200</v>
      </c>
      <c r="E23" s="19">
        <f t="shared" si="0"/>
        <v>35</v>
      </c>
      <c r="F23" s="21">
        <v>7000</v>
      </c>
      <c r="G23" s="23">
        <f t="shared" si="1"/>
        <v>6300</v>
      </c>
    </row>
    <row r="24" spans="1:7">
      <c r="A24" s="3" t="s">
        <v>75</v>
      </c>
      <c r="B24" s="20">
        <v>37383</v>
      </c>
      <c r="C24" s="3" t="s">
        <v>87</v>
      </c>
      <c r="D24" s="19">
        <v>200</v>
      </c>
      <c r="E24" s="19">
        <f t="shared" si="0"/>
        <v>15</v>
      </c>
      <c r="F24" s="21">
        <v>3000</v>
      </c>
      <c r="G24" s="23">
        <f t="shared" si="1"/>
        <v>2790</v>
      </c>
    </row>
    <row r="25" spans="1:7">
      <c r="A25" s="3" t="s">
        <v>75</v>
      </c>
      <c r="B25" s="20">
        <v>37396</v>
      </c>
      <c r="C25" s="3" t="s">
        <v>92</v>
      </c>
      <c r="D25" s="19">
        <v>121</v>
      </c>
      <c r="E25" s="19">
        <f t="shared" si="0"/>
        <v>320</v>
      </c>
      <c r="F25" s="21">
        <v>38720</v>
      </c>
      <c r="G25" s="23">
        <f t="shared" si="1"/>
        <v>36009.599999999999</v>
      </c>
    </row>
    <row r="26" spans="1:7">
      <c r="A26" s="24" t="s">
        <v>76</v>
      </c>
      <c r="B26" s="20">
        <v>37377</v>
      </c>
      <c r="C26" s="24" t="s">
        <v>87</v>
      </c>
      <c r="D26" s="25">
        <v>150</v>
      </c>
      <c r="E26" s="19">
        <f t="shared" si="0"/>
        <v>15</v>
      </c>
      <c r="F26" s="22">
        <v>2250</v>
      </c>
      <c r="G26" s="23">
        <f t="shared" si="1"/>
        <v>2025</v>
      </c>
    </row>
    <row r="27" spans="1:7">
      <c r="A27" s="24" t="s">
        <v>86</v>
      </c>
      <c r="B27" s="20">
        <v>37388</v>
      </c>
      <c r="C27" s="24" t="s">
        <v>88</v>
      </c>
      <c r="D27" s="25">
        <v>200</v>
      </c>
      <c r="E27" s="19">
        <f t="shared" si="0"/>
        <v>175</v>
      </c>
      <c r="F27" s="22">
        <v>35000</v>
      </c>
      <c r="G27" s="23">
        <f t="shared" si="1"/>
        <v>33250</v>
      </c>
    </row>
    <row r="28" spans="1:7">
      <c r="A28" s="24" t="s">
        <v>76</v>
      </c>
      <c r="B28" s="20">
        <v>37399</v>
      </c>
      <c r="C28" s="24" t="s">
        <v>89</v>
      </c>
      <c r="D28" s="25">
        <v>180</v>
      </c>
      <c r="E28" s="19">
        <f t="shared" si="0"/>
        <v>35</v>
      </c>
      <c r="F28" s="22">
        <v>6300</v>
      </c>
      <c r="G28" s="23">
        <f t="shared" si="1"/>
        <v>5670</v>
      </c>
    </row>
    <row r="29" spans="1:7">
      <c r="A29" s="24" t="s">
        <v>75</v>
      </c>
      <c r="B29" s="20">
        <v>37437</v>
      </c>
      <c r="C29" s="24" t="s">
        <v>90</v>
      </c>
      <c r="D29" s="25">
        <v>205</v>
      </c>
      <c r="E29" s="19">
        <f t="shared" si="0"/>
        <v>186</v>
      </c>
      <c r="F29" s="22">
        <v>38130</v>
      </c>
      <c r="G29" s="23">
        <f t="shared" si="1"/>
        <v>35460.899999999994</v>
      </c>
    </row>
    <row r="30" spans="1:7">
      <c r="A30" s="24" t="s">
        <v>75</v>
      </c>
      <c r="B30" s="20">
        <v>37432</v>
      </c>
      <c r="C30" s="24" t="s">
        <v>87</v>
      </c>
      <c r="D30" s="25">
        <v>260</v>
      </c>
      <c r="E30" s="19">
        <f t="shared" si="0"/>
        <v>15</v>
      </c>
      <c r="F30" s="22">
        <v>3900</v>
      </c>
      <c r="G30" s="23">
        <f t="shared" si="1"/>
        <v>3626.9999999999995</v>
      </c>
    </row>
    <row r="31" spans="1:7">
      <c r="G31" s="26"/>
    </row>
    <row r="32" spans="1:7">
      <c r="A32" s="27" t="s">
        <v>93</v>
      </c>
      <c r="B32" s="91" t="s">
        <v>94</v>
      </c>
      <c r="C32" s="91"/>
      <c r="D32" s="91"/>
      <c r="E32" s="91"/>
    </row>
    <row r="33" spans="1:7">
      <c r="A33" s="28" t="s">
        <v>95</v>
      </c>
      <c r="B33" s="28" t="s">
        <v>96</v>
      </c>
      <c r="C33" s="28" t="s">
        <v>97</v>
      </c>
      <c r="D33" s="28" t="s">
        <v>98</v>
      </c>
      <c r="E33" s="29" t="s">
        <v>99</v>
      </c>
      <c r="F33" s="28" t="s">
        <v>100</v>
      </c>
      <c r="G33" s="29" t="s">
        <v>101</v>
      </c>
    </row>
    <row r="34" spans="1:7">
      <c r="A34" s="28" t="s">
        <v>102</v>
      </c>
      <c r="B34" s="28" t="s">
        <v>103</v>
      </c>
      <c r="C34" s="30">
        <v>300</v>
      </c>
      <c r="D34" s="30">
        <v>700</v>
      </c>
      <c r="E34" s="31" t="str">
        <f>ks매출성장평가(C34,D34)</f>
        <v>상승</v>
      </c>
      <c r="F34" s="30">
        <v>600</v>
      </c>
      <c r="G34" s="3" t="str">
        <f>IF(AND(C34&gt;=700,D34&gt;=700,F34&gt;=600,AVERAGE(C34:D34)&gt;=700),"보너스","")</f>
        <v/>
      </c>
    </row>
    <row r="35" spans="1:7">
      <c r="A35" s="28" t="s">
        <v>102</v>
      </c>
      <c r="B35" s="28" t="s">
        <v>104</v>
      </c>
      <c r="C35" s="30">
        <v>789</v>
      </c>
      <c r="D35" s="30">
        <v>650</v>
      </c>
      <c r="E35" s="31" t="str">
        <f t="shared" ref="E35:E40" si="2">ks매출성장평가(C35,D35)</f>
        <v>하락</v>
      </c>
      <c r="F35" s="30">
        <v>900</v>
      </c>
      <c r="G35" s="3" t="str">
        <f t="shared" ref="G35:G40" si="3">IF(AND(C35&gt;=700,D35&gt;=700,F35&gt;=600,AVERAGE(C35:D35)&gt;=700),"보너스","")</f>
        <v/>
      </c>
    </row>
    <row r="36" spans="1:7">
      <c r="A36" s="28" t="s">
        <v>105</v>
      </c>
      <c r="B36" s="28" t="s">
        <v>106</v>
      </c>
      <c r="C36" s="30">
        <v>360</v>
      </c>
      <c r="D36" s="30">
        <v>560</v>
      </c>
      <c r="E36" s="31" t="str">
        <f t="shared" si="2"/>
        <v>상승</v>
      </c>
      <c r="F36" s="30">
        <v>550</v>
      </c>
      <c r="G36" s="3" t="str">
        <f t="shared" si="3"/>
        <v/>
      </c>
    </row>
    <row r="37" spans="1:7">
      <c r="A37" s="28" t="s">
        <v>105</v>
      </c>
      <c r="B37" s="28" t="s">
        <v>107</v>
      </c>
      <c r="C37" s="30">
        <v>500</v>
      </c>
      <c r="D37" s="30">
        <v>430</v>
      </c>
      <c r="E37" s="31" t="str">
        <f t="shared" si="2"/>
        <v>하락</v>
      </c>
      <c r="F37" s="30">
        <v>600</v>
      </c>
      <c r="G37" s="3" t="str">
        <f t="shared" si="3"/>
        <v/>
      </c>
    </row>
    <row r="38" spans="1:7">
      <c r="A38" s="28" t="s">
        <v>108</v>
      </c>
      <c r="B38" s="28" t="s">
        <v>109</v>
      </c>
      <c r="C38" s="30">
        <v>1200</v>
      </c>
      <c r="D38" s="30">
        <v>1260</v>
      </c>
      <c r="E38" s="31" t="str">
        <f t="shared" si="2"/>
        <v>하락</v>
      </c>
      <c r="F38" s="30">
        <v>1250</v>
      </c>
      <c r="G38" s="3" t="str">
        <f t="shared" si="3"/>
        <v>보너스</v>
      </c>
    </row>
    <row r="39" spans="1:7">
      <c r="A39" s="28" t="s">
        <v>108</v>
      </c>
      <c r="B39" s="28" t="s">
        <v>106</v>
      </c>
      <c r="C39" s="30">
        <v>990</v>
      </c>
      <c r="D39" s="30">
        <v>980</v>
      </c>
      <c r="E39" s="31" t="str">
        <f t="shared" si="2"/>
        <v>하락</v>
      </c>
      <c r="F39" s="30">
        <v>1000</v>
      </c>
      <c r="G39" s="3" t="str">
        <f t="shared" si="3"/>
        <v>보너스</v>
      </c>
    </row>
    <row r="40" spans="1:7">
      <c r="A40" s="28" t="s">
        <v>110</v>
      </c>
      <c r="B40" s="28" t="s">
        <v>109</v>
      </c>
      <c r="C40" s="30">
        <v>498</v>
      </c>
      <c r="D40" s="30">
        <v>850</v>
      </c>
      <c r="E40" s="31" t="str">
        <f t="shared" si="2"/>
        <v>상승</v>
      </c>
      <c r="F40" s="30">
        <v>575</v>
      </c>
      <c r="G40" s="3" t="str">
        <f t="shared" si="3"/>
        <v/>
      </c>
    </row>
    <row r="41" spans="1:7">
      <c r="A41" s="32"/>
      <c r="B41" s="32"/>
      <c r="C41" s="33"/>
      <c r="D41" s="33"/>
      <c r="E41" s="33"/>
    </row>
    <row r="42" spans="1:7">
      <c r="A42" s="32"/>
      <c r="B42" s="32"/>
    </row>
    <row r="43" spans="1:7">
      <c r="A43" s="32"/>
      <c r="B43" s="32"/>
    </row>
  </sheetData>
  <mergeCells count="1">
    <mergeCell ref="B32:E32"/>
  </mergeCells>
  <phoneticPr fontId="4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K184"/>
  <sheetViews>
    <sheetView windowProtection="1" tabSelected="1" topLeftCell="G10" workbookViewId="0">
      <selection activeCell="N16" sqref="N16"/>
    </sheetView>
  </sheetViews>
  <sheetFormatPr defaultRowHeight="16.5"/>
  <cols>
    <col min="1" max="1" width="13.625" style="34" customWidth="1"/>
    <col min="2" max="2" width="13.5" style="34" customWidth="1"/>
    <col min="3" max="3" width="14.5" style="34" bestFit="1" customWidth="1"/>
    <col min="4" max="4" width="12.75" style="34" bestFit="1" customWidth="1"/>
    <col min="5" max="5" width="10.25" style="34" customWidth="1"/>
    <col min="6" max="6" width="11.125" style="34" bestFit="1" customWidth="1"/>
    <col min="7" max="7" width="12.75" style="34" customWidth="1"/>
    <col min="8" max="8" width="11.75" style="34" customWidth="1"/>
    <col min="9" max="9" width="14.875" style="34" customWidth="1"/>
    <col min="10" max="10" width="12.375" style="34" customWidth="1"/>
    <col min="11" max="12" width="10.5" style="34" customWidth="1"/>
    <col min="13" max="13" width="8.5" style="34" customWidth="1"/>
    <col min="14" max="24" width="14.5" style="34" customWidth="1"/>
    <col min="25" max="25" width="15.25" style="34" customWidth="1"/>
    <col min="26" max="26" width="11.125" style="34" customWidth="1"/>
    <col min="27" max="27" width="15.25" style="34" bestFit="1" customWidth="1"/>
    <col min="28" max="28" width="11.125" style="34" customWidth="1"/>
    <col min="29" max="29" width="15.25" style="34" customWidth="1"/>
    <col min="30" max="30" width="11.125" style="34" customWidth="1"/>
    <col min="31" max="31" width="15.25" style="34" bestFit="1" customWidth="1"/>
    <col min="32" max="32" width="11.25" style="34" bestFit="1" customWidth="1"/>
    <col min="33" max="33" width="15.25" style="34" bestFit="1" customWidth="1"/>
    <col min="34" max="34" width="11.125" style="34" bestFit="1" customWidth="1"/>
    <col min="35" max="35" width="15.25" style="34" bestFit="1" customWidth="1"/>
    <col min="36" max="36" width="15.875" style="34" bestFit="1" customWidth="1"/>
    <col min="37" max="37" width="20.125" style="34" bestFit="1" customWidth="1"/>
    <col min="38" max="16384" width="9" style="34"/>
  </cols>
  <sheetData>
    <row r="1" spans="1:37">
      <c r="A1" s="67" t="s">
        <v>2</v>
      </c>
      <c r="B1" s="67" t="s">
        <v>111</v>
      </c>
      <c r="C1" s="67" t="s">
        <v>231</v>
      </c>
      <c r="D1" s="67" t="s">
        <v>211</v>
      </c>
      <c r="E1" s="68" t="s">
        <v>212</v>
      </c>
      <c r="G1" s="72" t="s">
        <v>111</v>
      </c>
      <c r="H1" t="s">
        <v>112</v>
      </c>
    </row>
    <row r="2" spans="1:37">
      <c r="A2" s="73" t="s">
        <v>210</v>
      </c>
      <c r="B2" s="73" t="s">
        <v>206</v>
      </c>
      <c r="C2" s="86">
        <v>0.40972222222222227</v>
      </c>
      <c r="D2" s="74">
        <v>1</v>
      </c>
      <c r="E2" s="75">
        <v>750000</v>
      </c>
    </row>
    <row r="3" spans="1:37">
      <c r="A3" s="69" t="s">
        <v>210</v>
      </c>
      <c r="B3" s="69" t="s">
        <v>206</v>
      </c>
      <c r="C3" s="87">
        <v>0.39583333333333331</v>
      </c>
      <c r="D3" s="76">
        <v>6</v>
      </c>
      <c r="E3" s="70">
        <v>98000</v>
      </c>
      <c r="F3"/>
      <c r="G3"/>
      <c r="H3"/>
      <c r="I3"/>
      <c r="J3" s="72" t="s">
        <v>2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</row>
    <row r="4" spans="1:37">
      <c r="A4" s="69" t="s">
        <v>209</v>
      </c>
      <c r="B4" s="69" t="s">
        <v>206</v>
      </c>
      <c r="C4" s="87">
        <v>0.43055555555555558</v>
      </c>
      <c r="D4" s="76">
        <v>12</v>
      </c>
      <c r="E4" s="70">
        <v>3750000</v>
      </c>
      <c r="F4"/>
      <c r="G4" s="72" t="s">
        <v>233</v>
      </c>
      <c r="H4" s="72" t="s">
        <v>230</v>
      </c>
      <c r="I4" s="72" t="s">
        <v>232</v>
      </c>
      <c r="J4" t="s">
        <v>113</v>
      </c>
      <c r="K4" t="s">
        <v>114</v>
      </c>
      <c r="L4" t="s">
        <v>115</v>
      </c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</row>
    <row r="5" spans="1:37">
      <c r="A5" s="69" t="s">
        <v>209</v>
      </c>
      <c r="B5" s="69" t="s">
        <v>206</v>
      </c>
      <c r="C5" s="87">
        <v>0.43541666666666662</v>
      </c>
      <c r="D5" s="76">
        <v>6</v>
      </c>
      <c r="E5" s="70">
        <v>3900000</v>
      </c>
      <c r="F5"/>
      <c r="G5" t="s">
        <v>234</v>
      </c>
      <c r="H5"/>
      <c r="I5"/>
      <c r="J5" s="35"/>
      <c r="K5" s="35"/>
      <c r="L5" s="3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</row>
    <row r="6" spans="1:37">
      <c r="A6" s="69" t="s">
        <v>209</v>
      </c>
      <c r="B6" s="69" t="s">
        <v>206</v>
      </c>
      <c r="C6" s="87">
        <v>0.44791666666666669</v>
      </c>
      <c r="D6" s="76">
        <v>2</v>
      </c>
      <c r="E6" s="70">
        <v>184000</v>
      </c>
      <c r="F6"/>
      <c r="G6"/>
      <c r="H6" s="89">
        <v>0.46180555555555558</v>
      </c>
      <c r="I6"/>
      <c r="J6" s="35"/>
      <c r="K6" s="35"/>
      <c r="L6" s="35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</row>
    <row r="7" spans="1:37">
      <c r="A7" s="69" t="s">
        <v>202</v>
      </c>
      <c r="B7" s="69" t="s">
        <v>199</v>
      </c>
      <c r="C7" s="87">
        <v>0.44791666666666669</v>
      </c>
      <c r="D7" s="76">
        <v>7</v>
      </c>
      <c r="E7" s="70">
        <v>4500000</v>
      </c>
      <c r="F7"/>
      <c r="G7"/>
      <c r="H7"/>
      <c r="I7" t="s">
        <v>116</v>
      </c>
      <c r="J7" s="35"/>
      <c r="K7" s="35"/>
      <c r="L7" s="35">
        <v>6</v>
      </c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</row>
    <row r="8" spans="1:37">
      <c r="A8" s="69" t="s">
        <v>200</v>
      </c>
      <c r="B8" s="69" t="s">
        <v>199</v>
      </c>
      <c r="C8" s="87">
        <v>0.4513888888888889</v>
      </c>
      <c r="D8" s="76">
        <v>2</v>
      </c>
      <c r="E8" s="70">
        <v>7800000</v>
      </c>
      <c r="F8"/>
      <c r="G8"/>
      <c r="H8"/>
      <c r="I8" t="s">
        <v>117</v>
      </c>
      <c r="J8" s="36"/>
      <c r="K8" s="36"/>
      <c r="L8" s="36">
        <v>460000</v>
      </c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</row>
    <row r="9" spans="1:37">
      <c r="A9" s="69" t="s">
        <v>200</v>
      </c>
      <c r="B9" s="69" t="s">
        <v>199</v>
      </c>
      <c r="C9" s="87">
        <v>0.45833333333333331</v>
      </c>
      <c r="D9" s="76">
        <v>5</v>
      </c>
      <c r="E9" s="70">
        <v>336000</v>
      </c>
      <c r="F9"/>
      <c r="G9"/>
      <c r="H9" s="89">
        <v>0.46666666666666662</v>
      </c>
      <c r="I9"/>
      <c r="J9" s="35"/>
      <c r="K9" s="35"/>
      <c r="L9" s="35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</row>
    <row r="10" spans="1:37">
      <c r="A10" s="69" t="s">
        <v>115</v>
      </c>
      <c r="B10" s="69" t="s">
        <v>112</v>
      </c>
      <c r="C10" s="87">
        <v>0.46180555555555558</v>
      </c>
      <c r="D10" s="76">
        <v>6</v>
      </c>
      <c r="E10" s="70">
        <v>460000</v>
      </c>
      <c r="F10"/>
      <c r="G10"/>
      <c r="H10"/>
      <c r="I10" t="s">
        <v>116</v>
      </c>
      <c r="J10" s="35"/>
      <c r="K10" s="35"/>
      <c r="L10" s="35">
        <v>2</v>
      </c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</row>
    <row r="11" spans="1:37">
      <c r="A11" s="69" t="s">
        <v>115</v>
      </c>
      <c r="B11" s="69" t="s">
        <v>112</v>
      </c>
      <c r="C11" s="87">
        <v>0.46666666666666662</v>
      </c>
      <c r="D11" s="76">
        <v>2</v>
      </c>
      <c r="E11" s="70">
        <v>300000</v>
      </c>
      <c r="F11"/>
      <c r="G11"/>
      <c r="H11"/>
      <c r="I11" t="s">
        <v>117</v>
      </c>
      <c r="J11" s="36"/>
      <c r="K11" s="36"/>
      <c r="L11" s="36">
        <v>300000</v>
      </c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</row>
    <row r="12" spans="1:37">
      <c r="A12" s="69" t="s">
        <v>208</v>
      </c>
      <c r="B12" s="69" t="s">
        <v>206</v>
      </c>
      <c r="C12" s="87">
        <v>0.47152777777777777</v>
      </c>
      <c r="D12" s="76">
        <v>5</v>
      </c>
      <c r="E12" s="70">
        <v>2250000</v>
      </c>
      <c r="F12"/>
      <c r="G12" t="s">
        <v>235</v>
      </c>
      <c r="H12"/>
      <c r="I12"/>
      <c r="J12" s="35"/>
      <c r="K12" s="35"/>
      <c r="L12" s="35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</row>
    <row r="13" spans="1:37">
      <c r="A13" s="69" t="s">
        <v>208</v>
      </c>
      <c r="B13" s="69" t="s">
        <v>206</v>
      </c>
      <c r="C13" s="87">
        <v>0.47569444444444442</v>
      </c>
      <c r="D13" s="76">
        <v>7</v>
      </c>
      <c r="E13" s="70">
        <v>910000</v>
      </c>
      <c r="F13"/>
      <c r="G13"/>
      <c r="H13" s="89">
        <v>0.54513888888888895</v>
      </c>
      <c r="I13"/>
      <c r="J13" s="35"/>
      <c r="K13" s="35"/>
      <c r="L13" s="35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</row>
    <row r="14" spans="1:37">
      <c r="A14" s="69" t="s">
        <v>201</v>
      </c>
      <c r="B14" s="69" t="s">
        <v>199</v>
      </c>
      <c r="C14" s="87">
        <v>0.47638888888888892</v>
      </c>
      <c r="D14" s="76">
        <v>3</v>
      </c>
      <c r="E14" s="70">
        <v>280000</v>
      </c>
      <c r="F14"/>
      <c r="G14"/>
      <c r="H14"/>
      <c r="I14" t="s">
        <v>116</v>
      </c>
      <c r="J14" s="35">
        <v>1</v>
      </c>
      <c r="K14" s="35"/>
      <c r="L14" s="35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</row>
    <row r="15" spans="1:37">
      <c r="A15" s="69" t="s">
        <v>201</v>
      </c>
      <c r="B15" s="69" t="s">
        <v>199</v>
      </c>
      <c r="C15" s="87">
        <v>0.47916666666666669</v>
      </c>
      <c r="D15" s="76">
        <v>8</v>
      </c>
      <c r="E15" s="70">
        <v>70000</v>
      </c>
      <c r="F15"/>
      <c r="G15"/>
      <c r="H15"/>
      <c r="I15" t="s">
        <v>117</v>
      </c>
      <c r="J15" s="36">
        <v>2560000</v>
      </c>
      <c r="K15" s="36"/>
      <c r="L15" s="36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</row>
    <row r="16" spans="1:37">
      <c r="A16" s="69" t="s">
        <v>201</v>
      </c>
      <c r="B16" s="69" t="s">
        <v>199</v>
      </c>
      <c r="C16" s="87">
        <v>0.4826388888888889</v>
      </c>
      <c r="D16" s="76">
        <v>8</v>
      </c>
      <c r="E16" s="70">
        <v>65000</v>
      </c>
      <c r="F16"/>
      <c r="G16"/>
      <c r="H16" s="89">
        <v>0.59027777777777779</v>
      </c>
      <c r="I16"/>
      <c r="J16" s="35"/>
      <c r="K16" s="35"/>
      <c r="L16" s="35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</row>
    <row r="17" spans="1:37">
      <c r="A17" s="69" t="s">
        <v>201</v>
      </c>
      <c r="B17" s="69" t="s">
        <v>199</v>
      </c>
      <c r="C17" s="87">
        <v>0.48333333333333334</v>
      </c>
      <c r="D17" s="76">
        <v>15</v>
      </c>
      <c r="E17" s="70">
        <v>1344000</v>
      </c>
      <c r="F17"/>
      <c r="G17"/>
      <c r="H17"/>
      <c r="I17" t="s">
        <v>116</v>
      </c>
      <c r="J17" s="35"/>
      <c r="K17" s="35">
        <v>12</v>
      </c>
      <c r="L17" s="35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</row>
    <row r="18" spans="1:37">
      <c r="A18" s="69" t="s">
        <v>201</v>
      </c>
      <c r="B18" s="69" t="s">
        <v>199</v>
      </c>
      <c r="C18" s="87">
        <v>0.4861111111111111</v>
      </c>
      <c r="D18" s="76">
        <v>26</v>
      </c>
      <c r="E18" s="70">
        <v>540000</v>
      </c>
      <c r="F18"/>
      <c r="G18"/>
      <c r="H18"/>
      <c r="I18" t="s">
        <v>117</v>
      </c>
      <c r="J18" s="36"/>
      <c r="K18" s="36">
        <v>585000</v>
      </c>
      <c r="L18" s="36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</row>
    <row r="19" spans="1:37">
      <c r="A19" s="69" t="s">
        <v>201</v>
      </c>
      <c r="B19" s="69" t="s">
        <v>199</v>
      </c>
      <c r="C19" s="87">
        <v>0.48958333333333331</v>
      </c>
      <c r="D19" s="76">
        <v>2</v>
      </c>
      <c r="E19" s="70">
        <v>357000</v>
      </c>
      <c r="F19"/>
      <c r="G19"/>
      <c r="H19" s="89">
        <v>0.72013888888888899</v>
      </c>
      <c r="I19"/>
      <c r="J19" s="35"/>
      <c r="K19" s="35"/>
      <c r="L19" s="35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</row>
    <row r="20" spans="1:37">
      <c r="A20" s="69" t="s">
        <v>201</v>
      </c>
      <c r="B20" s="69" t="s">
        <v>199</v>
      </c>
      <c r="C20" s="87">
        <v>0.4909722222222222</v>
      </c>
      <c r="D20" s="76">
        <v>8</v>
      </c>
      <c r="E20" s="70">
        <v>1000000</v>
      </c>
      <c r="F20"/>
      <c r="G20"/>
      <c r="H20"/>
      <c r="I20" t="s">
        <v>116</v>
      </c>
      <c r="J20" s="35">
        <v>2</v>
      </c>
      <c r="K20" s="35"/>
      <c r="L20" s="35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</row>
    <row r="21" spans="1:37">
      <c r="A21" s="69" t="s">
        <v>202</v>
      </c>
      <c r="B21" s="69" t="s">
        <v>199</v>
      </c>
      <c r="C21" s="87">
        <v>0.50208333333333333</v>
      </c>
      <c r="D21" s="76">
        <v>9</v>
      </c>
      <c r="E21" s="70">
        <v>672000</v>
      </c>
      <c r="F21"/>
      <c r="G21"/>
      <c r="H21"/>
      <c r="I21" t="s">
        <v>117</v>
      </c>
      <c r="J21" s="36">
        <v>300000</v>
      </c>
      <c r="K21" s="36"/>
      <c r="L21" s="36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</row>
    <row r="22" spans="1:37">
      <c r="A22" s="69" t="s">
        <v>202</v>
      </c>
      <c r="B22" s="69" t="s">
        <v>199</v>
      </c>
      <c r="C22" s="87">
        <v>0.51041666666666663</v>
      </c>
      <c r="D22" s="76">
        <v>5</v>
      </c>
      <c r="E22" s="70">
        <v>5600000</v>
      </c>
      <c r="F22"/>
      <c r="G22" t="s">
        <v>118</v>
      </c>
      <c r="H22"/>
      <c r="I22"/>
      <c r="J22" s="35">
        <v>1.5</v>
      </c>
      <c r="K22" s="35">
        <v>12</v>
      </c>
      <c r="L22" s="35">
        <v>4</v>
      </c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</row>
    <row r="23" spans="1:37">
      <c r="A23" s="69" t="s">
        <v>202</v>
      </c>
      <c r="B23" s="69" t="s">
        <v>199</v>
      </c>
      <c r="C23" s="87">
        <v>0.51041666666666663</v>
      </c>
      <c r="D23" s="76">
        <v>6</v>
      </c>
      <c r="E23" s="70">
        <v>280000</v>
      </c>
      <c r="F23"/>
      <c r="G23" t="s">
        <v>119</v>
      </c>
      <c r="H23"/>
      <c r="I23"/>
      <c r="J23" s="36">
        <v>1430000</v>
      </c>
      <c r="K23" s="36">
        <v>585000</v>
      </c>
      <c r="L23" s="36">
        <v>380000</v>
      </c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</row>
    <row r="24" spans="1:37">
      <c r="A24" s="69" t="s">
        <v>202</v>
      </c>
      <c r="B24" s="69" t="s">
        <v>199</v>
      </c>
      <c r="C24" s="87">
        <v>0.51111111111111118</v>
      </c>
      <c r="D24" s="76">
        <v>20</v>
      </c>
      <c r="E24" s="70">
        <v>180000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</row>
    <row r="25" spans="1:37">
      <c r="A25" s="69" t="s">
        <v>202</v>
      </c>
      <c r="B25" s="69" t="s">
        <v>199</v>
      </c>
      <c r="C25" s="87">
        <v>0.51180555555555551</v>
      </c>
      <c r="D25" s="76">
        <v>7</v>
      </c>
      <c r="E25" s="70">
        <v>720000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</row>
    <row r="26" spans="1:37">
      <c r="A26" s="69" t="s">
        <v>113</v>
      </c>
      <c r="B26" s="69" t="s">
        <v>112</v>
      </c>
      <c r="C26" s="87">
        <v>0.54513888888888895</v>
      </c>
      <c r="D26" s="76">
        <v>1</v>
      </c>
      <c r="E26" s="70">
        <v>2560000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</row>
    <row r="27" spans="1:37">
      <c r="A27" s="69" t="s">
        <v>114</v>
      </c>
      <c r="B27" s="69" t="s">
        <v>112</v>
      </c>
      <c r="C27" s="87">
        <v>0.59027777777777779</v>
      </c>
      <c r="D27" s="76">
        <v>12</v>
      </c>
      <c r="E27" s="70">
        <v>585000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</row>
    <row r="28" spans="1:37">
      <c r="A28" s="69" t="s">
        <v>205</v>
      </c>
      <c r="B28" s="69" t="s">
        <v>206</v>
      </c>
      <c r="C28" s="87">
        <v>0.60763888888888895</v>
      </c>
      <c r="D28" s="76">
        <v>6</v>
      </c>
      <c r="E28" s="70">
        <v>1300000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</row>
    <row r="29" spans="1:37">
      <c r="A29" s="69" t="s">
        <v>205</v>
      </c>
      <c r="B29" s="69" t="s">
        <v>206</v>
      </c>
      <c r="C29" s="87">
        <v>0.63888888888888895</v>
      </c>
      <c r="D29" s="76">
        <v>1</v>
      </c>
      <c r="E29" s="70">
        <v>896000</v>
      </c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</row>
    <row r="30" spans="1:37">
      <c r="A30" s="69" t="s">
        <v>203</v>
      </c>
      <c r="B30" s="69" t="s">
        <v>199</v>
      </c>
      <c r="C30" s="87">
        <v>0.64513888888888882</v>
      </c>
      <c r="D30" s="76">
        <v>8</v>
      </c>
      <c r="E30" s="70">
        <v>270000</v>
      </c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</row>
    <row r="31" spans="1:37">
      <c r="A31" s="69" t="s">
        <v>204</v>
      </c>
      <c r="B31" s="69" t="s">
        <v>199</v>
      </c>
      <c r="C31" s="87">
        <v>0.6479166666666667</v>
      </c>
      <c r="D31" s="76">
        <v>6</v>
      </c>
      <c r="E31" s="70">
        <v>280000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</row>
    <row r="32" spans="1:37">
      <c r="A32" s="69" t="s">
        <v>204</v>
      </c>
      <c r="B32" s="69" t="s">
        <v>199</v>
      </c>
      <c r="C32" s="87">
        <v>0.65069444444444446</v>
      </c>
      <c r="D32" s="76">
        <v>2</v>
      </c>
      <c r="E32" s="70">
        <v>896000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</row>
    <row r="33" spans="1:37">
      <c r="A33" s="69" t="s">
        <v>204</v>
      </c>
      <c r="B33" s="69" t="s">
        <v>199</v>
      </c>
      <c r="C33" s="87">
        <v>0.6743055555555556</v>
      </c>
      <c r="D33" s="76">
        <v>3</v>
      </c>
      <c r="E33" s="70">
        <v>450000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</row>
    <row r="34" spans="1:37">
      <c r="A34" s="69" t="s">
        <v>204</v>
      </c>
      <c r="B34" s="69" t="s">
        <v>199</v>
      </c>
      <c r="C34" s="87">
        <v>0.68611111111111101</v>
      </c>
      <c r="D34" s="76">
        <v>5</v>
      </c>
      <c r="E34" s="70">
        <v>952000</v>
      </c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</row>
    <row r="35" spans="1:37">
      <c r="A35" s="69" t="s">
        <v>204</v>
      </c>
      <c r="B35" s="69" t="s">
        <v>199</v>
      </c>
      <c r="C35" s="87">
        <v>0.69097222222222221</v>
      </c>
      <c r="D35" s="76">
        <v>8</v>
      </c>
      <c r="E35" s="70">
        <v>238000</v>
      </c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</row>
    <row r="36" spans="1:37">
      <c r="A36" s="69" t="s">
        <v>198</v>
      </c>
      <c r="B36" s="69" t="s">
        <v>199</v>
      </c>
      <c r="C36" s="87">
        <v>0.69236111111111109</v>
      </c>
      <c r="D36" s="76">
        <v>8</v>
      </c>
      <c r="E36" s="70">
        <v>300000</v>
      </c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</row>
    <row r="37" spans="1:37">
      <c r="A37" s="69" t="s">
        <v>198</v>
      </c>
      <c r="B37" s="69" t="s">
        <v>199</v>
      </c>
      <c r="C37" s="87">
        <v>0.70208333333333339</v>
      </c>
      <c r="D37" s="76">
        <v>7</v>
      </c>
      <c r="E37" s="70">
        <v>4000000</v>
      </c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</row>
    <row r="38" spans="1:37">
      <c r="A38" s="69" t="s">
        <v>198</v>
      </c>
      <c r="B38" s="69" t="s">
        <v>199</v>
      </c>
      <c r="C38" s="87">
        <v>0.71527777777777779</v>
      </c>
      <c r="D38" s="76">
        <v>3</v>
      </c>
      <c r="E38" s="70">
        <v>768000</v>
      </c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</row>
    <row r="39" spans="1:37">
      <c r="A39" s="69" t="s">
        <v>113</v>
      </c>
      <c r="B39" s="69" t="s">
        <v>112</v>
      </c>
      <c r="C39" s="87">
        <v>0.72013888888888899</v>
      </c>
      <c r="D39" s="76">
        <v>2</v>
      </c>
      <c r="E39" s="70">
        <v>300000</v>
      </c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</row>
    <row r="40" spans="1:37">
      <c r="A40" s="69" t="s">
        <v>207</v>
      </c>
      <c r="B40" s="69" t="s">
        <v>206</v>
      </c>
      <c r="C40" s="87">
        <v>0.72499999999999998</v>
      </c>
      <c r="D40" s="76">
        <v>7</v>
      </c>
      <c r="E40" s="70">
        <v>1152000</v>
      </c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</row>
    <row r="41" spans="1:37">
      <c r="A41" s="69" t="s">
        <v>207</v>
      </c>
      <c r="B41" s="69" t="s">
        <v>206</v>
      </c>
      <c r="C41" s="87">
        <v>0.72986111111111107</v>
      </c>
      <c r="D41" s="76">
        <v>7</v>
      </c>
      <c r="E41" s="70">
        <v>240000</v>
      </c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</row>
    <row r="42" spans="1:37">
      <c r="A42" s="69" t="s">
        <v>207</v>
      </c>
      <c r="B42" s="69" t="s">
        <v>206</v>
      </c>
      <c r="C42" s="87">
        <v>0.73472222222222217</v>
      </c>
      <c r="D42" s="76">
        <v>6</v>
      </c>
      <c r="E42" s="70">
        <v>350000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</row>
    <row r="43" spans="1:37">
      <c r="A43" s="69" t="s">
        <v>207</v>
      </c>
      <c r="B43" s="69" t="s">
        <v>206</v>
      </c>
      <c r="C43" s="87">
        <v>0.73749999999999993</v>
      </c>
      <c r="D43" s="76">
        <v>5</v>
      </c>
      <c r="E43" s="70">
        <v>350000</v>
      </c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</row>
    <row r="44" spans="1:37">
      <c r="A44" s="69" t="s">
        <v>207</v>
      </c>
      <c r="B44" s="69" t="s">
        <v>206</v>
      </c>
      <c r="C44" s="87">
        <v>0.74097222222222225</v>
      </c>
      <c r="D44" s="76">
        <v>4</v>
      </c>
      <c r="E44" s="70">
        <v>250000</v>
      </c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</row>
    <row r="45" spans="1:37">
      <c r="A45" s="71" t="s">
        <v>207</v>
      </c>
      <c r="B45" s="71" t="s">
        <v>206</v>
      </c>
      <c r="C45" s="88">
        <v>0.74722222222222223</v>
      </c>
      <c r="D45" s="77">
        <v>20</v>
      </c>
      <c r="E45" s="66">
        <v>200000</v>
      </c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</row>
    <row r="46" spans="1:37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</row>
    <row r="47" spans="1:37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</row>
    <row r="48" spans="1:37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</row>
    <row r="49" spans="1:30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</row>
    <row r="50" spans="1:30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</row>
    <row r="51" spans="1:30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</row>
    <row r="52" spans="1:30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</row>
    <row r="53" spans="1:30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</row>
    <row r="54" spans="1:30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</row>
    <row r="55" spans="1:30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</row>
    <row r="56" spans="1:30">
      <c r="A56"/>
      <c r="B56"/>
      <c r="C56"/>
      <c r="D56"/>
      <c r="E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</row>
    <row r="57" spans="1:30">
      <c r="A57"/>
      <c r="B57"/>
      <c r="C57"/>
      <c r="D57"/>
      <c r="E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</row>
    <row r="58" spans="1:30">
      <c r="A58"/>
      <c r="B58"/>
      <c r="C58"/>
      <c r="D58"/>
      <c r="E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</row>
    <row r="59" spans="1:30">
      <c r="A59"/>
      <c r="B59"/>
      <c r="C59"/>
      <c r="D59"/>
      <c r="E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</row>
    <row r="60" spans="1:30">
      <c r="A60"/>
      <c r="B60"/>
      <c r="C60"/>
      <c r="D60"/>
      <c r="E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</row>
    <row r="61" spans="1:30">
      <c r="A61"/>
      <c r="B61"/>
      <c r="C61"/>
      <c r="D61"/>
      <c r="E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</row>
    <row r="62" spans="1:30">
      <c r="A62"/>
      <c r="B62"/>
      <c r="C62"/>
      <c r="D62"/>
      <c r="E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</row>
    <row r="63" spans="1:30">
      <c r="A63"/>
      <c r="B63"/>
      <c r="C63"/>
      <c r="D63"/>
      <c r="E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</row>
    <row r="64" spans="1:30">
      <c r="A64"/>
      <c r="B64"/>
      <c r="C64"/>
      <c r="D64"/>
      <c r="E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</row>
    <row r="65" spans="1:24">
      <c r="A65"/>
      <c r="B65"/>
      <c r="C65"/>
      <c r="D65"/>
      <c r="E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</row>
    <row r="66" spans="1:24">
      <c r="A66"/>
      <c r="B66"/>
      <c r="C66"/>
      <c r="D66"/>
      <c r="E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</row>
    <row r="67" spans="1:24">
      <c r="A67"/>
      <c r="B67"/>
      <c r="C67"/>
      <c r="D67"/>
      <c r="E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</row>
    <row r="68" spans="1:24">
      <c r="A68"/>
      <c r="B68"/>
      <c r="C68"/>
      <c r="D68"/>
      <c r="E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</row>
    <row r="69" spans="1:24">
      <c r="A69"/>
      <c r="B69"/>
      <c r="C69"/>
      <c r="D69"/>
      <c r="E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</row>
    <row r="70" spans="1:24">
      <c r="A70"/>
      <c r="B70"/>
      <c r="C70"/>
      <c r="D70"/>
      <c r="E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</row>
    <row r="71" spans="1:24">
      <c r="A71"/>
      <c r="B71"/>
      <c r="C71"/>
      <c r="D71"/>
      <c r="E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</row>
    <row r="72" spans="1:24">
      <c r="A72"/>
      <c r="B72"/>
      <c r="C72"/>
      <c r="D72"/>
      <c r="E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</row>
    <row r="73" spans="1:24">
      <c r="A73"/>
      <c r="B73"/>
      <c r="C73"/>
      <c r="D73"/>
      <c r="E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</row>
    <row r="74" spans="1:24">
      <c r="A74"/>
      <c r="B74"/>
      <c r="C74"/>
      <c r="D74"/>
      <c r="E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</row>
    <row r="75" spans="1:24">
      <c r="A75"/>
      <c r="B75"/>
      <c r="C75"/>
      <c r="D75"/>
      <c r="E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</row>
    <row r="76" spans="1:24">
      <c r="A76"/>
      <c r="B76"/>
      <c r="C76"/>
      <c r="D76"/>
      <c r="E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</row>
    <row r="77" spans="1:24">
      <c r="A77"/>
      <c r="B77"/>
      <c r="C77"/>
      <c r="D77"/>
      <c r="E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</row>
    <row r="78" spans="1:24">
      <c r="A78"/>
      <c r="B78"/>
      <c r="C78"/>
      <c r="D78"/>
      <c r="E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</row>
    <row r="79" spans="1:24">
      <c r="A79"/>
      <c r="B79"/>
      <c r="C79"/>
      <c r="D79"/>
      <c r="E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</row>
    <row r="80" spans="1:24">
      <c r="A80"/>
      <c r="B80"/>
      <c r="C80"/>
      <c r="D80"/>
      <c r="E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</row>
    <row r="81" spans="1:24">
      <c r="A81"/>
      <c r="B81"/>
      <c r="C81"/>
      <c r="D81"/>
      <c r="E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</row>
    <row r="82" spans="1:24">
      <c r="A82"/>
      <c r="B82"/>
      <c r="C82"/>
      <c r="D82"/>
      <c r="E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</row>
    <row r="83" spans="1:24">
      <c r="A83"/>
      <c r="B83"/>
      <c r="C83"/>
      <c r="D83"/>
      <c r="E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</row>
    <row r="84" spans="1:24">
      <c r="A84"/>
      <c r="B84"/>
      <c r="C84"/>
      <c r="D84"/>
      <c r="E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</row>
    <row r="85" spans="1:24">
      <c r="A85"/>
      <c r="B85"/>
      <c r="C85"/>
      <c r="D85"/>
      <c r="E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</row>
    <row r="86" spans="1:24">
      <c r="A86"/>
      <c r="B86"/>
      <c r="C86"/>
      <c r="D86"/>
      <c r="E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</row>
    <row r="87" spans="1:24">
      <c r="A87"/>
      <c r="B87"/>
      <c r="C87"/>
      <c r="D87"/>
      <c r="E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</row>
    <row r="88" spans="1:24">
      <c r="A88"/>
      <c r="B88"/>
      <c r="C88"/>
      <c r="D88"/>
      <c r="E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</row>
    <row r="89" spans="1:24">
      <c r="A89"/>
      <c r="B89"/>
      <c r="C89"/>
      <c r="D89"/>
      <c r="E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</row>
    <row r="90" spans="1:24">
      <c r="A90"/>
      <c r="B90"/>
      <c r="C90"/>
      <c r="D90"/>
      <c r="E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</row>
    <row r="91" spans="1:24">
      <c r="A91"/>
      <c r="B91"/>
      <c r="C91"/>
      <c r="D91"/>
      <c r="E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</row>
    <row r="92" spans="1:24">
      <c r="A92"/>
      <c r="B92"/>
      <c r="C92"/>
      <c r="D92"/>
      <c r="E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</row>
    <row r="93" spans="1:24">
      <c r="A93"/>
      <c r="B93"/>
      <c r="C93"/>
      <c r="D93"/>
      <c r="E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</row>
    <row r="94" spans="1:24">
      <c r="A94"/>
      <c r="B94"/>
      <c r="C94"/>
      <c r="D94"/>
      <c r="E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</row>
    <row r="95" spans="1:24">
      <c r="A95"/>
      <c r="B95"/>
      <c r="C95"/>
      <c r="D95"/>
      <c r="E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</row>
    <row r="96" spans="1:24">
      <c r="A96"/>
      <c r="B96"/>
      <c r="C96"/>
      <c r="D96"/>
      <c r="E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</row>
    <row r="97" spans="1:24">
      <c r="A97"/>
      <c r="B97"/>
      <c r="C97"/>
      <c r="D97"/>
      <c r="E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</row>
    <row r="98" spans="1:24">
      <c r="A98"/>
      <c r="B98"/>
      <c r="C98"/>
      <c r="D98"/>
      <c r="E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</row>
    <row r="99" spans="1:24">
      <c r="A99"/>
      <c r="B99"/>
      <c r="C99"/>
      <c r="D99"/>
      <c r="E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</row>
    <row r="100" spans="1:24">
      <c r="A100"/>
      <c r="B100"/>
      <c r="C100"/>
      <c r="D100"/>
      <c r="E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</row>
    <row r="101" spans="1:24">
      <c r="A101"/>
      <c r="B101"/>
      <c r="C101"/>
      <c r="D101"/>
      <c r="E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</row>
    <row r="102" spans="1:24">
      <c r="A102"/>
      <c r="B102"/>
      <c r="C102"/>
      <c r="D102"/>
      <c r="E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</row>
    <row r="103" spans="1:24">
      <c r="A103"/>
      <c r="B103"/>
      <c r="C103"/>
      <c r="D103"/>
      <c r="E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</row>
    <row r="104" spans="1:24">
      <c r="A104"/>
      <c r="B104"/>
      <c r="C104"/>
      <c r="D104"/>
      <c r="E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</row>
    <row r="105" spans="1:24">
      <c r="A105"/>
      <c r="B105"/>
      <c r="C105"/>
      <c r="D105"/>
      <c r="E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</row>
    <row r="106" spans="1:24">
      <c r="A106"/>
      <c r="B106"/>
      <c r="C106"/>
      <c r="D106"/>
      <c r="E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</row>
    <row r="107" spans="1:24">
      <c r="A107"/>
      <c r="B107"/>
      <c r="C107"/>
      <c r="D107"/>
      <c r="E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</row>
    <row r="108" spans="1:24">
      <c r="A108"/>
      <c r="B108"/>
      <c r="C108"/>
      <c r="D108"/>
      <c r="E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</row>
    <row r="109" spans="1:24">
      <c r="A109"/>
      <c r="B109"/>
      <c r="C109"/>
      <c r="D109"/>
      <c r="E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</row>
    <row r="110" spans="1:24">
      <c r="A110"/>
      <c r="B110"/>
      <c r="C110"/>
      <c r="D110"/>
      <c r="E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</row>
    <row r="111" spans="1:24">
      <c r="A111"/>
      <c r="B111"/>
      <c r="C111"/>
      <c r="D111"/>
      <c r="E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</row>
    <row r="112" spans="1:24">
      <c r="A112"/>
      <c r="B112"/>
      <c r="C112"/>
      <c r="D112"/>
      <c r="E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</row>
    <row r="113" spans="1:24">
      <c r="A113"/>
      <c r="B113"/>
      <c r="C113"/>
      <c r="D113"/>
      <c r="E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</row>
    <row r="114" spans="1:24">
      <c r="A114"/>
      <c r="B114"/>
      <c r="C114"/>
      <c r="D114"/>
      <c r="E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</row>
    <row r="115" spans="1:24">
      <c r="A115"/>
      <c r="B115"/>
      <c r="C115"/>
      <c r="D115"/>
      <c r="E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</row>
    <row r="116" spans="1:24">
      <c r="A116"/>
      <c r="B116"/>
      <c r="C116"/>
      <c r="D116"/>
      <c r="E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</row>
    <row r="117" spans="1:24">
      <c r="A117"/>
      <c r="B117"/>
      <c r="C117"/>
      <c r="D117"/>
      <c r="E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</row>
    <row r="118" spans="1:24">
      <c r="A118"/>
      <c r="B118"/>
      <c r="C118"/>
      <c r="D118"/>
      <c r="E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</row>
    <row r="119" spans="1:24">
      <c r="A119"/>
      <c r="B119"/>
      <c r="C119"/>
      <c r="D119"/>
      <c r="E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</row>
    <row r="120" spans="1:24">
      <c r="A120"/>
      <c r="B120"/>
      <c r="C120"/>
      <c r="D120"/>
      <c r="E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</row>
    <row r="121" spans="1:24">
      <c r="A121"/>
      <c r="B121"/>
      <c r="C121"/>
      <c r="D121"/>
      <c r="E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</row>
    <row r="122" spans="1:24">
      <c r="A122"/>
      <c r="B122"/>
      <c r="C122"/>
      <c r="D122"/>
      <c r="E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</row>
    <row r="123" spans="1:24">
      <c r="A123"/>
      <c r="B123"/>
      <c r="C123"/>
      <c r="D123"/>
      <c r="E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</row>
    <row r="124" spans="1:24">
      <c r="A124"/>
      <c r="B124"/>
      <c r="C124"/>
      <c r="D124"/>
      <c r="E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</row>
    <row r="125" spans="1:24">
      <c r="A125"/>
      <c r="B125"/>
      <c r="C125"/>
      <c r="D125"/>
      <c r="E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</row>
    <row r="126" spans="1:24">
      <c r="A126"/>
      <c r="B126"/>
      <c r="C126"/>
      <c r="D126"/>
      <c r="E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</row>
    <row r="127" spans="1:24">
      <c r="A127"/>
      <c r="B127"/>
      <c r="C127"/>
      <c r="D127"/>
      <c r="E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</row>
    <row r="128" spans="1:24">
      <c r="A128"/>
      <c r="B128"/>
      <c r="C128"/>
      <c r="D128"/>
      <c r="E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</row>
    <row r="129" spans="1:24">
      <c r="A129"/>
      <c r="B129"/>
      <c r="C129"/>
      <c r="D129"/>
      <c r="E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</row>
    <row r="130" spans="1:24">
      <c r="A130"/>
      <c r="B130"/>
      <c r="C130"/>
      <c r="D130"/>
      <c r="E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</row>
    <row r="131" spans="1:24">
      <c r="A131"/>
      <c r="B131"/>
      <c r="C131"/>
      <c r="D131"/>
      <c r="E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</row>
    <row r="132" spans="1:24">
      <c r="A132"/>
      <c r="B132"/>
      <c r="C132"/>
      <c r="D132"/>
      <c r="E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</row>
    <row r="133" spans="1:24">
      <c r="A133"/>
      <c r="B133"/>
      <c r="C133"/>
      <c r="D133"/>
      <c r="E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</row>
    <row r="134" spans="1:24">
      <c r="A134"/>
      <c r="B134"/>
      <c r="C134"/>
      <c r="D134"/>
      <c r="E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</row>
    <row r="135" spans="1:24">
      <c r="A135"/>
      <c r="B135"/>
      <c r="C135"/>
      <c r="D135"/>
      <c r="E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</row>
    <row r="136" spans="1:24">
      <c r="A136"/>
      <c r="B136"/>
      <c r="C136"/>
      <c r="D136"/>
      <c r="E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</row>
    <row r="137" spans="1:24">
      <c r="A137"/>
      <c r="B137"/>
      <c r="C137"/>
      <c r="D137"/>
      <c r="E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</row>
    <row r="138" spans="1:24">
      <c r="A138"/>
      <c r="B138"/>
      <c r="C138"/>
      <c r="D138"/>
      <c r="E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</row>
    <row r="139" spans="1:24">
      <c r="A139"/>
      <c r="B139"/>
      <c r="C139"/>
      <c r="D139"/>
      <c r="E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</row>
    <row r="140" spans="1:24">
      <c r="A140"/>
      <c r="B140"/>
      <c r="C140"/>
      <c r="D140"/>
      <c r="E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</row>
    <row r="141" spans="1:24">
      <c r="A141"/>
      <c r="B141"/>
      <c r="C141"/>
      <c r="D141"/>
      <c r="E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</row>
    <row r="142" spans="1:24">
      <c r="A142"/>
      <c r="B142"/>
      <c r="C142"/>
      <c r="D142"/>
      <c r="E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</row>
    <row r="143" spans="1:24">
      <c r="A143"/>
      <c r="B143"/>
      <c r="C143"/>
      <c r="D143"/>
      <c r="E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</row>
    <row r="144" spans="1:24">
      <c r="A144"/>
      <c r="B144"/>
      <c r="C144"/>
      <c r="D144"/>
      <c r="E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</row>
    <row r="145" spans="1:24">
      <c r="A145"/>
      <c r="B145"/>
      <c r="C145"/>
      <c r="D145"/>
      <c r="E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</row>
    <row r="146" spans="1:24">
      <c r="A146"/>
      <c r="B146"/>
      <c r="C146"/>
      <c r="D146"/>
      <c r="E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</row>
    <row r="147" spans="1:24">
      <c r="A147"/>
      <c r="B147"/>
      <c r="C147"/>
      <c r="D147"/>
      <c r="E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</row>
    <row r="148" spans="1:24">
      <c r="A148"/>
      <c r="B148"/>
      <c r="C148"/>
      <c r="D148"/>
      <c r="E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</row>
    <row r="149" spans="1:24">
      <c r="A149"/>
      <c r="B149"/>
      <c r="C149"/>
      <c r="D149"/>
      <c r="E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</row>
    <row r="150" spans="1:24"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</row>
    <row r="151" spans="1:24"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</row>
    <row r="152" spans="1:24"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</row>
    <row r="153" spans="1:24"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</row>
    <row r="154" spans="1:24"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</row>
    <row r="155" spans="1:24"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</row>
    <row r="156" spans="1:24"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</row>
    <row r="157" spans="1:24"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</row>
    <row r="158" spans="1:24">
      <c r="G158"/>
      <c r="H158"/>
      <c r="I158"/>
      <c r="J158"/>
      <c r="K158"/>
      <c r="L158"/>
      <c r="M158"/>
      <c r="N158"/>
      <c r="O158"/>
      <c r="P158"/>
      <c r="Q158"/>
    </row>
    <row r="159" spans="1:24">
      <c r="G159"/>
      <c r="H159"/>
      <c r="I159"/>
      <c r="J159"/>
      <c r="K159"/>
      <c r="L159"/>
      <c r="M159"/>
      <c r="N159"/>
      <c r="O159"/>
      <c r="P159"/>
      <c r="Q159"/>
    </row>
    <row r="160" spans="1:24">
      <c r="G160"/>
      <c r="H160"/>
      <c r="I160"/>
      <c r="J160"/>
      <c r="K160"/>
      <c r="L160"/>
      <c r="M160"/>
      <c r="N160"/>
      <c r="O160"/>
      <c r="P160"/>
      <c r="Q160"/>
    </row>
    <row r="161" spans="7:17">
      <c r="G161"/>
      <c r="H161"/>
      <c r="I161"/>
      <c r="J161"/>
      <c r="K161"/>
      <c r="L161"/>
      <c r="M161"/>
      <c r="N161"/>
      <c r="O161"/>
      <c r="P161"/>
      <c r="Q161"/>
    </row>
    <row r="162" spans="7:17">
      <c r="G162"/>
      <c r="H162"/>
      <c r="I162"/>
      <c r="J162"/>
      <c r="K162"/>
      <c r="L162"/>
      <c r="M162"/>
      <c r="N162"/>
      <c r="O162"/>
      <c r="P162"/>
      <c r="Q162"/>
    </row>
    <row r="163" spans="7:17">
      <c r="G163"/>
      <c r="H163"/>
      <c r="I163"/>
      <c r="J163"/>
      <c r="K163"/>
      <c r="L163"/>
      <c r="M163"/>
      <c r="N163"/>
      <c r="O163"/>
      <c r="P163"/>
      <c r="Q163"/>
    </row>
    <row r="164" spans="7:17">
      <c r="G164"/>
      <c r="H164"/>
      <c r="I164"/>
      <c r="J164"/>
      <c r="K164"/>
      <c r="L164"/>
      <c r="M164"/>
      <c r="N164"/>
      <c r="O164"/>
      <c r="P164"/>
      <c r="Q164"/>
    </row>
    <row r="165" spans="7:17">
      <c r="G165"/>
      <c r="H165"/>
      <c r="I165"/>
      <c r="J165"/>
      <c r="K165"/>
      <c r="L165"/>
      <c r="M165"/>
      <c r="N165"/>
      <c r="O165"/>
      <c r="P165"/>
      <c r="Q165"/>
    </row>
    <row r="166" spans="7:17">
      <c r="G166"/>
      <c r="H166"/>
      <c r="I166"/>
      <c r="J166"/>
      <c r="K166"/>
      <c r="L166"/>
      <c r="M166"/>
      <c r="N166"/>
      <c r="O166"/>
      <c r="P166"/>
      <c r="Q166"/>
    </row>
    <row r="167" spans="7:17">
      <c r="G167"/>
      <c r="H167"/>
      <c r="I167"/>
      <c r="J167"/>
      <c r="K167"/>
      <c r="L167"/>
      <c r="M167"/>
      <c r="N167"/>
      <c r="O167"/>
      <c r="P167"/>
      <c r="Q167"/>
    </row>
    <row r="168" spans="7:17">
      <c r="G168"/>
      <c r="H168"/>
      <c r="I168"/>
      <c r="J168"/>
      <c r="K168"/>
      <c r="L168"/>
      <c r="M168"/>
      <c r="N168"/>
      <c r="O168"/>
      <c r="P168"/>
      <c r="Q168"/>
    </row>
    <row r="169" spans="7:17">
      <c r="G169"/>
      <c r="H169"/>
      <c r="I169"/>
      <c r="J169"/>
      <c r="K169"/>
      <c r="L169"/>
      <c r="M169"/>
      <c r="N169"/>
      <c r="O169"/>
      <c r="P169"/>
      <c r="Q169"/>
    </row>
    <row r="170" spans="7:17">
      <c r="G170"/>
      <c r="H170"/>
      <c r="I170"/>
      <c r="J170"/>
      <c r="K170"/>
      <c r="L170"/>
      <c r="M170"/>
      <c r="N170"/>
      <c r="O170"/>
      <c r="P170"/>
      <c r="Q170"/>
    </row>
    <row r="171" spans="7:17">
      <c r="G171"/>
      <c r="H171"/>
      <c r="I171"/>
      <c r="J171"/>
      <c r="K171"/>
      <c r="L171"/>
      <c r="M171"/>
      <c r="N171"/>
      <c r="O171"/>
      <c r="P171"/>
      <c r="Q171"/>
    </row>
    <row r="172" spans="7:17">
      <c r="G172"/>
      <c r="H172"/>
      <c r="I172"/>
      <c r="J172"/>
      <c r="K172"/>
      <c r="L172"/>
      <c r="M172"/>
      <c r="N172"/>
      <c r="O172"/>
      <c r="P172"/>
      <c r="Q172"/>
    </row>
    <row r="173" spans="7:17">
      <c r="G173"/>
      <c r="H173"/>
      <c r="I173"/>
      <c r="J173"/>
      <c r="K173"/>
      <c r="L173"/>
      <c r="M173"/>
      <c r="N173"/>
      <c r="O173"/>
      <c r="P173"/>
      <c r="Q173"/>
    </row>
    <row r="174" spans="7:17">
      <c r="G174"/>
      <c r="H174"/>
      <c r="I174"/>
      <c r="J174"/>
      <c r="K174"/>
      <c r="L174"/>
      <c r="M174"/>
      <c r="N174"/>
      <c r="O174"/>
      <c r="P174"/>
      <c r="Q174"/>
    </row>
    <row r="175" spans="7:17">
      <c r="G175"/>
      <c r="H175"/>
      <c r="I175"/>
      <c r="J175"/>
      <c r="K175"/>
      <c r="L175"/>
      <c r="M175"/>
      <c r="N175"/>
      <c r="O175"/>
      <c r="P175"/>
      <c r="Q175"/>
    </row>
    <row r="176" spans="7:17">
      <c r="G176"/>
      <c r="H176"/>
      <c r="I176"/>
      <c r="J176"/>
      <c r="K176"/>
      <c r="L176"/>
      <c r="M176"/>
      <c r="N176"/>
      <c r="O176"/>
      <c r="P176"/>
      <c r="Q176"/>
    </row>
    <row r="177" spans="7:17">
      <c r="G177"/>
      <c r="H177"/>
      <c r="I177"/>
      <c r="J177"/>
      <c r="K177"/>
      <c r="L177"/>
      <c r="M177"/>
      <c r="N177"/>
      <c r="O177"/>
      <c r="P177"/>
      <c r="Q177"/>
    </row>
    <row r="178" spans="7:17">
      <c r="G178"/>
      <c r="H178"/>
      <c r="I178"/>
      <c r="J178"/>
      <c r="K178"/>
      <c r="L178"/>
      <c r="M178"/>
      <c r="N178"/>
      <c r="O178"/>
      <c r="P178"/>
      <c r="Q178"/>
    </row>
    <row r="179" spans="7:17">
      <c r="G179"/>
      <c r="H179"/>
      <c r="I179"/>
      <c r="J179"/>
      <c r="K179"/>
      <c r="L179"/>
      <c r="M179"/>
      <c r="N179"/>
      <c r="O179"/>
      <c r="P179"/>
      <c r="Q179"/>
    </row>
    <row r="180" spans="7:17">
      <c r="G180"/>
      <c r="H180"/>
      <c r="I180"/>
      <c r="J180"/>
      <c r="K180"/>
      <c r="L180"/>
      <c r="M180"/>
      <c r="N180"/>
      <c r="O180"/>
      <c r="P180"/>
      <c r="Q180"/>
    </row>
    <row r="181" spans="7:17">
      <c r="G181"/>
      <c r="H181"/>
      <c r="I181"/>
      <c r="J181"/>
      <c r="K181"/>
      <c r="L181"/>
      <c r="M181"/>
      <c r="N181"/>
      <c r="O181"/>
      <c r="P181"/>
      <c r="Q181"/>
    </row>
    <row r="182" spans="7:17">
      <c r="G182"/>
      <c r="H182"/>
      <c r="I182"/>
      <c r="J182"/>
      <c r="K182"/>
      <c r="L182"/>
      <c r="M182"/>
      <c r="N182"/>
      <c r="O182"/>
      <c r="P182"/>
      <c r="Q182"/>
    </row>
    <row r="183" spans="7:17">
      <c r="G183"/>
      <c r="H183"/>
      <c r="I183"/>
      <c r="J183"/>
      <c r="K183"/>
      <c r="L183"/>
      <c r="M183"/>
      <c r="N183"/>
      <c r="O183"/>
      <c r="P183"/>
      <c r="Q183"/>
    </row>
    <row r="184" spans="7:17">
      <c r="G184"/>
      <c r="H184"/>
      <c r="I184"/>
      <c r="J184"/>
      <c r="K184"/>
      <c r="L184"/>
      <c r="M184"/>
      <c r="N184"/>
      <c r="O184"/>
      <c r="P184"/>
      <c r="Q184"/>
    </row>
  </sheetData>
  <phoneticPr fontId="4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5"/>
  <sheetViews>
    <sheetView windowProtection="1" workbookViewId="0">
      <selection sqref="A1:I1"/>
    </sheetView>
  </sheetViews>
  <sheetFormatPr defaultRowHeight="16.5" outlineLevelRow="2"/>
  <cols>
    <col min="1" max="1" width="7.625" style="2" customWidth="1"/>
    <col min="2" max="3" width="5.5" style="2" bestFit="1" customWidth="1"/>
    <col min="4" max="4" width="9.25" style="2" bestFit="1" customWidth="1"/>
    <col min="5" max="5" width="9" style="2"/>
    <col min="6" max="6" width="7.375" style="2" bestFit="1" customWidth="1"/>
    <col min="7" max="7" width="11.75" style="2" bestFit="1" customWidth="1"/>
    <col min="8" max="8" width="7.375" style="2" bestFit="1" customWidth="1"/>
    <col min="9" max="9" width="10.75" style="2" customWidth="1"/>
    <col min="10" max="10" width="10.875" style="2" customWidth="1"/>
    <col min="11" max="16384" width="9" style="2"/>
  </cols>
  <sheetData>
    <row r="1" spans="1:9" ht="26.25">
      <c r="A1" s="92" t="s">
        <v>120</v>
      </c>
      <c r="B1" s="92"/>
      <c r="C1" s="92"/>
      <c r="D1" s="92"/>
      <c r="E1" s="92"/>
      <c r="F1" s="92"/>
      <c r="G1" s="92"/>
      <c r="H1" s="92"/>
      <c r="I1" s="92"/>
    </row>
    <row r="2" spans="1:9" s="34" customFormat="1">
      <c r="A2" s="24" t="s">
        <v>121</v>
      </c>
      <c r="B2" s="24" t="s">
        <v>122</v>
      </c>
      <c r="C2" s="24" t="s">
        <v>123</v>
      </c>
      <c r="D2" s="24" t="s">
        <v>124</v>
      </c>
      <c r="E2" s="24" t="s">
        <v>125</v>
      </c>
      <c r="F2" s="24" t="s">
        <v>126</v>
      </c>
      <c r="G2" s="24" t="s">
        <v>127</v>
      </c>
      <c r="H2" s="24" t="s">
        <v>128</v>
      </c>
      <c r="I2" s="24" t="s">
        <v>129</v>
      </c>
    </row>
    <row r="3" spans="1:9" outlineLevel="2">
      <c r="A3" s="3" t="s">
        <v>130</v>
      </c>
      <c r="B3" s="3" t="s">
        <v>131</v>
      </c>
      <c r="C3" s="3" t="s">
        <v>132</v>
      </c>
      <c r="D3" s="3">
        <v>17</v>
      </c>
      <c r="E3" s="37">
        <v>3400</v>
      </c>
      <c r="F3" s="3">
        <v>170</v>
      </c>
      <c r="G3" s="38">
        <v>3570</v>
      </c>
      <c r="H3" s="3" t="s">
        <v>133</v>
      </c>
      <c r="I3" s="3" t="s">
        <v>134</v>
      </c>
    </row>
    <row r="4" spans="1:9" outlineLevel="2">
      <c r="A4" s="3" t="s">
        <v>135</v>
      </c>
      <c r="B4" s="3" t="s">
        <v>136</v>
      </c>
      <c r="C4" s="3" t="s">
        <v>132</v>
      </c>
      <c r="D4" s="3">
        <v>17</v>
      </c>
      <c r="E4" s="37">
        <v>3400</v>
      </c>
      <c r="F4" s="3">
        <v>170</v>
      </c>
      <c r="G4" s="38">
        <v>3570</v>
      </c>
      <c r="H4" s="3" t="s">
        <v>137</v>
      </c>
      <c r="I4" s="3" t="s">
        <v>134</v>
      </c>
    </row>
    <row r="5" spans="1:9" outlineLevel="1">
      <c r="A5" s="3"/>
      <c r="B5" s="3"/>
      <c r="C5" s="39" t="s">
        <v>138</v>
      </c>
      <c r="D5" s="3"/>
      <c r="E5" s="37"/>
      <c r="F5" s="3"/>
      <c r="G5" s="38">
        <f>SUBTOTAL(4,G3:G4)</f>
        <v>3570</v>
      </c>
      <c r="H5" s="3"/>
      <c r="I5" s="3"/>
    </row>
    <row r="6" spans="1:9" outlineLevel="2">
      <c r="A6" s="3" t="s">
        <v>139</v>
      </c>
      <c r="B6" s="3" t="s">
        <v>140</v>
      </c>
      <c r="C6" s="3" t="s">
        <v>141</v>
      </c>
      <c r="D6" s="3">
        <v>20</v>
      </c>
      <c r="E6" s="37">
        <v>4600</v>
      </c>
      <c r="F6" s="3">
        <v>200</v>
      </c>
      <c r="G6" s="38">
        <v>4800</v>
      </c>
      <c r="H6" s="3" t="s">
        <v>142</v>
      </c>
      <c r="I6" s="3" t="s">
        <v>143</v>
      </c>
    </row>
    <row r="7" spans="1:9" outlineLevel="2">
      <c r="A7" s="3" t="s">
        <v>144</v>
      </c>
      <c r="B7" s="3" t="s">
        <v>131</v>
      </c>
      <c r="C7" s="3" t="s">
        <v>141</v>
      </c>
      <c r="D7" s="3">
        <v>20</v>
      </c>
      <c r="E7" s="37">
        <v>4000</v>
      </c>
      <c r="F7" s="3">
        <v>200</v>
      </c>
      <c r="G7" s="38">
        <v>4200</v>
      </c>
      <c r="H7" s="3" t="s">
        <v>145</v>
      </c>
      <c r="I7" s="3" t="s">
        <v>143</v>
      </c>
    </row>
    <row r="8" spans="1:9" outlineLevel="1">
      <c r="A8" s="3"/>
      <c r="B8" s="3"/>
      <c r="C8" s="39" t="s">
        <v>146</v>
      </c>
      <c r="D8" s="3"/>
      <c r="E8" s="37"/>
      <c r="F8" s="3"/>
      <c r="G8" s="38">
        <f>SUBTOTAL(4,G6:G7)</f>
        <v>4800</v>
      </c>
      <c r="H8" s="3"/>
      <c r="I8" s="3"/>
    </row>
    <row r="9" spans="1:9" outlineLevel="2">
      <c r="A9" s="3" t="s">
        <v>147</v>
      </c>
      <c r="B9" s="3" t="s">
        <v>136</v>
      </c>
      <c r="C9" s="3" t="s">
        <v>148</v>
      </c>
      <c r="D9" s="3">
        <v>4</v>
      </c>
      <c r="E9" s="37">
        <v>800</v>
      </c>
      <c r="F9" s="3">
        <v>40</v>
      </c>
      <c r="G9" s="38">
        <v>840</v>
      </c>
      <c r="H9" s="3" t="s">
        <v>149</v>
      </c>
      <c r="I9" s="3" t="s">
        <v>134</v>
      </c>
    </row>
    <row r="10" spans="1:9" outlineLevel="2">
      <c r="A10" s="3" t="s">
        <v>150</v>
      </c>
      <c r="B10" s="3" t="s">
        <v>140</v>
      </c>
      <c r="C10" s="3" t="s">
        <v>148</v>
      </c>
      <c r="D10" s="3">
        <v>2</v>
      </c>
      <c r="E10" s="37">
        <v>400</v>
      </c>
      <c r="F10" s="3">
        <v>20</v>
      </c>
      <c r="G10" s="38">
        <v>420</v>
      </c>
      <c r="H10" s="3" t="s">
        <v>151</v>
      </c>
      <c r="I10" s="3" t="s">
        <v>134</v>
      </c>
    </row>
    <row r="11" spans="1:9" outlineLevel="2">
      <c r="A11" s="3" t="s">
        <v>152</v>
      </c>
      <c r="B11" s="3" t="s">
        <v>140</v>
      </c>
      <c r="C11" s="3" t="s">
        <v>148</v>
      </c>
      <c r="D11" s="3">
        <v>4</v>
      </c>
      <c r="E11" s="37">
        <v>800</v>
      </c>
      <c r="F11" s="3">
        <v>40</v>
      </c>
      <c r="G11" s="38">
        <v>840</v>
      </c>
      <c r="H11" s="3" t="s">
        <v>153</v>
      </c>
      <c r="I11" s="3" t="s">
        <v>134</v>
      </c>
    </row>
    <row r="12" spans="1:9" outlineLevel="2">
      <c r="A12" s="3" t="s">
        <v>154</v>
      </c>
      <c r="B12" s="3" t="s">
        <v>131</v>
      </c>
      <c r="C12" s="3" t="s">
        <v>148</v>
      </c>
      <c r="D12" s="3">
        <v>2</v>
      </c>
      <c r="E12" s="37">
        <v>400</v>
      </c>
      <c r="F12" s="3">
        <v>20</v>
      </c>
      <c r="G12" s="38">
        <v>420</v>
      </c>
      <c r="H12" s="3" t="s">
        <v>155</v>
      </c>
      <c r="I12" s="3" t="s">
        <v>134</v>
      </c>
    </row>
    <row r="13" spans="1:9" outlineLevel="2">
      <c r="A13" s="3" t="s">
        <v>156</v>
      </c>
      <c r="B13" s="3" t="s">
        <v>136</v>
      </c>
      <c r="C13" s="3" t="s">
        <v>148</v>
      </c>
      <c r="D13" s="3">
        <v>5</v>
      </c>
      <c r="E13" s="37">
        <v>1000</v>
      </c>
      <c r="F13" s="3">
        <v>50</v>
      </c>
      <c r="G13" s="38">
        <v>1050</v>
      </c>
      <c r="H13" s="3" t="s">
        <v>157</v>
      </c>
      <c r="I13" s="3" t="s">
        <v>134</v>
      </c>
    </row>
    <row r="14" spans="1:9" outlineLevel="1">
      <c r="A14" s="7"/>
      <c r="B14" s="7"/>
      <c r="C14" s="40" t="s">
        <v>158</v>
      </c>
      <c r="D14" s="7"/>
      <c r="E14" s="41"/>
      <c r="F14" s="7"/>
      <c r="G14" s="42">
        <f>SUBTOTAL(4,G9:G13)</f>
        <v>1050</v>
      </c>
      <c r="H14" s="7"/>
      <c r="I14" s="7"/>
    </row>
    <row r="15" spans="1:9">
      <c r="A15" s="7"/>
      <c r="B15" s="7"/>
      <c r="C15" s="40" t="s">
        <v>159</v>
      </c>
      <c r="D15" s="7"/>
      <c r="E15" s="41"/>
      <c r="F15" s="7"/>
      <c r="G15" s="42">
        <f>SUBTOTAL(4,G3:G13)</f>
        <v>4800</v>
      </c>
      <c r="H15" s="7"/>
      <c r="I15" s="7"/>
    </row>
  </sheetData>
  <sortState ref="A3:I11">
    <sortCondition ref="C3:C11"/>
  </sortState>
  <mergeCells count="1">
    <mergeCell ref="A1:I1"/>
  </mergeCells>
  <phoneticPr fontId="4" type="noConversion"/>
  <pageMargins left="0.75" right="0.75" top="1" bottom="1" header="0.5" footer="0.5"/>
  <pageSetup paperSize="9" orientation="portrait" horizontalDpi="4294967292" verticalDpi="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G9"/>
  <sheetViews>
    <sheetView windowProtection="1" workbookViewId="0">
      <selection activeCell="E3" activeCellId="1" sqref="C3:C9 E3:G9"/>
    </sheetView>
  </sheetViews>
  <sheetFormatPr defaultRowHeight="16.5"/>
  <cols>
    <col min="1" max="1" width="2" style="2" customWidth="1"/>
    <col min="2" max="2" width="8.5" style="2" customWidth="1"/>
    <col min="3" max="3" width="9" style="2" customWidth="1"/>
    <col min="4" max="4" width="8.25" style="2" customWidth="1"/>
    <col min="5" max="5" width="8.375" style="2" customWidth="1"/>
    <col min="6" max="7" width="8.5" style="2" customWidth="1"/>
    <col min="8" max="8" width="7.375" style="2" customWidth="1"/>
    <col min="9" max="9" width="9" style="2" customWidth="1"/>
    <col min="10" max="10" width="8.75" style="2" customWidth="1"/>
    <col min="11" max="11" width="9" style="2" customWidth="1"/>
    <col min="12" max="16384" width="9" style="2"/>
  </cols>
  <sheetData>
    <row r="1" spans="2:7" ht="17.25">
      <c r="B1" s="93" t="s">
        <v>160</v>
      </c>
      <c r="C1" s="93"/>
      <c r="D1" s="93"/>
      <c r="E1" s="93"/>
      <c r="F1" s="93"/>
      <c r="G1" s="93"/>
    </row>
    <row r="3" spans="2:7">
      <c r="B3" s="43" t="s">
        <v>161</v>
      </c>
      <c r="C3" s="43" t="s">
        <v>162</v>
      </c>
      <c r="D3" s="43" t="s">
        <v>163</v>
      </c>
      <c r="E3" s="43" t="s">
        <v>164</v>
      </c>
      <c r="F3" s="43" t="s">
        <v>165</v>
      </c>
      <c r="G3" s="43" t="s">
        <v>166</v>
      </c>
    </row>
    <row r="4" spans="2:7">
      <c r="B4" s="44" t="s">
        <v>167</v>
      </c>
      <c r="C4" s="45" t="s">
        <v>168</v>
      </c>
      <c r="D4" s="45" t="s">
        <v>169</v>
      </c>
      <c r="E4" s="45">
        <v>60</v>
      </c>
      <c r="F4" s="45">
        <v>60</v>
      </c>
      <c r="G4" s="45">
        <v>90</v>
      </c>
    </row>
    <row r="5" spans="2:7">
      <c r="B5" s="44" t="s">
        <v>170</v>
      </c>
      <c r="C5" s="45" t="s">
        <v>171</v>
      </c>
      <c r="D5" s="45" t="s">
        <v>169</v>
      </c>
      <c r="E5" s="45">
        <v>50</v>
      </c>
      <c r="F5" s="45">
        <v>70</v>
      </c>
      <c r="G5" s="45">
        <v>90</v>
      </c>
    </row>
    <row r="6" spans="2:7">
      <c r="B6" s="44" t="s">
        <v>172</v>
      </c>
      <c r="C6" s="45" t="s">
        <v>173</v>
      </c>
      <c r="D6" s="45" t="s">
        <v>169</v>
      </c>
      <c r="E6" s="45">
        <v>60</v>
      </c>
      <c r="F6" s="45">
        <v>100</v>
      </c>
      <c r="G6" s="45">
        <v>100</v>
      </c>
    </row>
    <row r="7" spans="2:7">
      <c r="B7" s="44" t="s">
        <v>174</v>
      </c>
      <c r="C7" s="45" t="s">
        <v>175</v>
      </c>
      <c r="D7" s="45" t="s">
        <v>169</v>
      </c>
      <c r="E7" s="45">
        <v>90</v>
      </c>
      <c r="F7" s="45">
        <v>90</v>
      </c>
      <c r="G7" s="45">
        <v>80</v>
      </c>
    </row>
    <row r="8" spans="2:7">
      <c r="B8" s="44" t="s">
        <v>176</v>
      </c>
      <c r="C8" s="45" t="s">
        <v>177</v>
      </c>
      <c r="D8" s="45" t="s">
        <v>178</v>
      </c>
      <c r="E8" s="45">
        <v>90</v>
      </c>
      <c r="F8" s="45">
        <v>50</v>
      </c>
      <c r="G8" s="45">
        <v>100</v>
      </c>
    </row>
    <row r="9" spans="2:7">
      <c r="B9" s="44" t="s">
        <v>179</v>
      </c>
      <c r="C9" s="45" t="s">
        <v>180</v>
      </c>
      <c r="D9" s="45" t="s">
        <v>178</v>
      </c>
      <c r="E9" s="45">
        <v>40</v>
      </c>
      <c r="F9" s="45">
        <v>80</v>
      </c>
      <c r="G9" s="45">
        <v>80</v>
      </c>
    </row>
  </sheetData>
  <mergeCells count="1">
    <mergeCell ref="B1:G1"/>
  </mergeCells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0"/>
  <sheetViews>
    <sheetView windowProtection="1" workbookViewId="0">
      <selection activeCell="H14" sqref="H14"/>
    </sheetView>
  </sheetViews>
  <sheetFormatPr defaultRowHeight="16.5"/>
  <cols>
    <col min="1" max="1" width="14.375" style="2" customWidth="1"/>
    <col min="2" max="16384" width="9" style="2"/>
  </cols>
  <sheetData>
    <row r="1" spans="1:20" ht="24">
      <c r="A1" s="46" t="s">
        <v>181</v>
      </c>
    </row>
    <row r="3" spans="1:20">
      <c r="A3" s="47" t="s">
        <v>182</v>
      </c>
      <c r="B3" s="47" t="s">
        <v>183</v>
      </c>
      <c r="C3" s="47" t="s">
        <v>184</v>
      </c>
      <c r="D3" s="47" t="s">
        <v>185</v>
      </c>
      <c r="E3" s="47" t="s">
        <v>186</v>
      </c>
      <c r="F3" s="47" t="s">
        <v>187</v>
      </c>
      <c r="J3" s="47" t="s">
        <v>183</v>
      </c>
      <c r="K3" s="47" t="s">
        <v>82</v>
      </c>
    </row>
    <row r="4" spans="1:20">
      <c r="A4" s="48">
        <v>43473</v>
      </c>
      <c r="B4" s="2" t="s">
        <v>188</v>
      </c>
      <c r="C4" s="49">
        <v>30</v>
      </c>
      <c r="D4" s="49">
        <v>2000</v>
      </c>
      <c r="E4" s="50">
        <v>60000</v>
      </c>
      <c r="F4" s="51">
        <v>6000</v>
      </c>
      <c r="J4" s="2" t="s">
        <v>189</v>
      </c>
      <c r="K4" s="2">
        <v>1500</v>
      </c>
    </row>
    <row r="5" spans="1:20">
      <c r="A5" s="48">
        <v>43473</v>
      </c>
      <c r="B5" s="2" t="s">
        <v>190</v>
      </c>
      <c r="C5" s="49">
        <v>20</v>
      </c>
      <c r="D5" s="49">
        <v>1000</v>
      </c>
      <c r="E5" s="50">
        <v>20000</v>
      </c>
      <c r="F5" s="51">
        <v>0</v>
      </c>
      <c r="J5" s="2" t="s">
        <v>191</v>
      </c>
      <c r="K5" s="2">
        <v>1200</v>
      </c>
    </row>
    <row r="6" spans="1:20">
      <c r="A6" s="48">
        <v>43473</v>
      </c>
      <c r="B6" s="2" t="s">
        <v>192</v>
      </c>
      <c r="C6" s="49">
        <v>10</v>
      </c>
      <c r="D6" s="49">
        <v>800</v>
      </c>
      <c r="E6" s="50">
        <v>8000</v>
      </c>
      <c r="F6" s="51">
        <v>0</v>
      </c>
      <c r="J6" s="2" t="s">
        <v>193</v>
      </c>
      <c r="K6" s="2">
        <v>2000</v>
      </c>
    </row>
    <row r="7" spans="1:20">
      <c r="A7" s="48">
        <v>43473</v>
      </c>
      <c r="B7" s="2" t="s">
        <v>194</v>
      </c>
      <c r="C7" s="49" t="s">
        <v>195</v>
      </c>
      <c r="D7" s="49" t="s">
        <v>196</v>
      </c>
      <c r="E7" s="52">
        <v>12000</v>
      </c>
      <c r="F7" s="53">
        <v>1200</v>
      </c>
      <c r="J7" s="2" t="s">
        <v>197</v>
      </c>
      <c r="K7" s="2">
        <v>1000</v>
      </c>
    </row>
    <row r="8" spans="1:20">
      <c r="A8" s="80"/>
      <c r="E8" s="79"/>
      <c r="T8" s="79"/>
    </row>
    <row r="20" spans="5:5">
      <c r="E20" s="2" t="s">
        <v>236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ignoredErrors>
    <ignoredError sqref="C7:D7" numberStoredAsText="1"/>
  </ignoredErrors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6</xdr:col>
                <xdr:colOff>495300</xdr:colOff>
                <xdr:row>0</xdr:row>
                <xdr:rowOff>209550</xdr:rowOff>
              </from>
              <to>
                <xdr:col>8</xdr:col>
                <xdr:colOff>457200</xdr:colOff>
                <xdr:row>2</xdr:row>
                <xdr:rowOff>66675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워크시트</vt:lpstr>
      </vt:variant>
      <vt:variant>
        <vt:i4>8</vt:i4>
      </vt:variant>
      <vt:variant>
        <vt:lpstr>차트</vt:lpstr>
      </vt:variant>
      <vt:variant>
        <vt:i4>1</vt:i4>
      </vt:variant>
      <vt:variant>
        <vt:lpstr>이름이 지정된 범위</vt:lpstr>
      </vt:variant>
      <vt:variant>
        <vt:i4>2</vt:i4>
      </vt:variant>
    </vt:vector>
  </HeadingPairs>
  <TitlesOfParts>
    <vt:vector size="11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기타작업-1</vt:lpstr>
      <vt:lpstr>기타작업-2</vt:lpstr>
      <vt:lpstr>Chart1</vt:lpstr>
      <vt:lpstr>'기본작업-2'!Criteria</vt:lpstr>
      <vt:lpstr>'기본작업-2'!Extract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김우경</dc:creator>
  <cp:lastModifiedBy>SungJin Park</cp:lastModifiedBy>
  <dcterms:created xsi:type="dcterms:W3CDTF">2017-08-29T05:50:47Z</dcterms:created>
  <dcterms:modified xsi:type="dcterms:W3CDTF">2019-12-21T06:59:42Z</dcterms:modified>
</cp:coreProperties>
</file>