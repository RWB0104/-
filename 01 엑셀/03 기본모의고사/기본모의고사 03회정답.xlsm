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600" yWindow="180" windowWidth="25170" windowHeight="13035" tabRatio="71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'기본작업-2'!$A$18:$E$28</definedName>
    <definedName name="_xlnm.Criteria" localSheetId="1">'기본작업-2'!$A$31:$C$34</definedName>
    <definedName name="_xlnm.Extract" localSheetId="1">'기본작업-2'!$A$36:$C$36</definedName>
    <definedName name="MS_Access_Database_Query" localSheetId="0" hidden="1">'기본작업-1'!$A$3:$G$12</definedName>
    <definedName name="_xlnm.Print_Area" localSheetId="1">'기본작업-2'!$A$2:$G$13</definedName>
    <definedName name="기준">'기타작업-2'!$A$3</definedName>
    <definedName name="요금내역">'기타작업-2'!$A$4:$F$6</definedName>
  </definedNames>
  <calcPr calcId="145621"/>
  <pivotCaches>
    <pivotCache cacheId="13" r:id="rId8"/>
  </pivotCaches>
</workbook>
</file>

<file path=xl/calcChain.xml><?xml version="1.0" encoding="utf-8"?>
<calcChain xmlns="http://schemas.openxmlformats.org/spreadsheetml/2006/main">
  <c r="H22" i="3" l="1"/>
  <c r="G38" i="3" l="1"/>
  <c r="G37" i="3"/>
  <c r="G36" i="3"/>
  <c r="G35" i="3"/>
  <c r="G34" i="3"/>
  <c r="G33" i="3"/>
  <c r="G32" i="3"/>
  <c r="G31" i="3"/>
  <c r="H17" i="3" l="1"/>
  <c r="I17" i="3"/>
  <c r="J17" i="3"/>
  <c r="H10" i="3"/>
  <c r="I10" i="3"/>
  <c r="J10" i="3"/>
  <c r="H11" i="3"/>
  <c r="I11" i="3"/>
  <c r="J11" i="3"/>
  <c r="H12" i="3"/>
  <c r="I12" i="3"/>
  <c r="J12" i="3"/>
  <c r="H13" i="3"/>
  <c r="I13" i="3"/>
  <c r="J13" i="3"/>
  <c r="H14" i="3"/>
  <c r="I14" i="3"/>
  <c r="J14" i="3"/>
  <c r="H15" i="3"/>
  <c r="I15" i="3"/>
  <c r="J15" i="3"/>
  <c r="H16" i="3"/>
  <c r="I16" i="3"/>
  <c r="J16" i="3"/>
  <c r="J9" i="3"/>
  <c r="I9" i="3"/>
  <c r="H9" i="3"/>
  <c r="F17" i="5" l="1"/>
  <c r="F12" i="5"/>
  <c r="F7" i="5"/>
  <c r="F19" i="5" s="1"/>
  <c r="F18" i="5"/>
  <c r="F13" i="5"/>
  <c r="F8" i="5"/>
  <c r="F26" i="3"/>
  <c r="F27" i="3"/>
  <c r="F22" i="3"/>
  <c r="F23" i="3"/>
  <c r="F21" i="3"/>
  <c r="F25" i="3"/>
  <c r="F24" i="3"/>
  <c r="F20" i="5" l="1"/>
  <c r="J13" i="6" l="1"/>
  <c r="J12" i="6"/>
  <c r="J11" i="6"/>
  <c r="J10" i="6"/>
  <c r="J9" i="6"/>
  <c r="J8" i="6"/>
  <c r="J7" i="6"/>
  <c r="J6" i="6"/>
  <c r="J5" i="6"/>
  <c r="J4" i="6"/>
  <c r="E27" i="3" a="1"/>
  <c r="E27" i="3" s="1"/>
  <c r="E26" i="3" a="1"/>
  <c r="E26" i="3" s="1"/>
  <c r="E25" i="3" a="1"/>
  <c r="E25" i="3" s="1"/>
  <c r="E24" i="3" a="1"/>
  <c r="E24" i="3" s="1"/>
  <c r="E23" i="3" a="1"/>
  <c r="E23" i="3" s="1"/>
  <c r="E22" i="3" a="1"/>
  <c r="E22" i="3" s="1"/>
  <c r="E21" i="3" a="1"/>
  <c r="E21" i="3" s="1"/>
  <c r="G6" i="3" a="1"/>
  <c r="G6" i="3" s="1"/>
  <c r="F6" i="3" a="1"/>
  <c r="F6" i="3" s="1"/>
  <c r="E6" i="3" a="1"/>
  <c r="E6" i="3" s="1"/>
  <c r="G5" i="3" a="1"/>
  <c r="G5" i="3" s="1"/>
  <c r="F5" i="3" a="1"/>
  <c r="F5" i="3" s="1"/>
  <c r="E5" i="3" a="1"/>
  <c r="E5" i="3" s="1"/>
  <c r="B5" i="3" a="1"/>
  <c r="B5" i="3" s="1"/>
  <c r="G4" i="3" a="1"/>
  <c r="G4" i="3" s="1"/>
  <c r="F4" i="3" a="1"/>
  <c r="F4" i="3" s="1"/>
  <c r="E4" i="3" a="1"/>
  <c r="E4" i="3" s="1"/>
  <c r="B4" i="3" a="1"/>
  <c r="B4" i="3" s="1"/>
  <c r="B3" i="3" a="1"/>
  <c r="B3" i="3" s="1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C:\길벗컴활1급\01 엑셀\03 기본모의고사\성적.accdb;DefaultDir=C:\길벗컴활1급\01 엑셀\03 기본모의고사;DriverId=25;FIL=MS Access;MaxBufferSize=2048;PageTimeout=5;" command="SELECT 사원평가정보.사원번호, 사원평가정보.이름, 사원평가정보.업무수행, 사원평가정보.영어독해, 사원평가정보.영어듣기, 사원평가정보.전산이론, 사원평가정보.점수_x000d__x000a_FROM `C:\길벗컴활1급\01 엑셀\03 기본모의고사\성적.accdb`.사원평가정보 사원평가정보_x000d__x000a_WHERE (사원평가정보.전산이론&gt;=80) AND (사원평가정보.업무수행&lt;80) OR (사원평가정보.전산이론&lt;50) AND (사원평가정보.업무수행&lt;80)_x000d__x000a_ORDER BY 사원평가정보.업무수행 DESC, 사원평가정보.전산이론 DESC"/>
  </connection>
  <connection id="2" name="MS Access Database_Query1" type="1" refreshedVersion="4">
    <dbPr connection="DSN=MS Access Database;DBQ=C:\길벗컴활1급(2010)\01 엑셀\03 기본모의고사\인터넷쇼핑몰.accdb;DefaultDir=C:\길벗컴활1급(2010)\01 엑셀\03 기본모의고사;DriverId=25;FIL=MS Access;MaxBufferSize=2048;PageTimeout=5;" command="SELECT 사이트비교.개설일, 사이트비교.쇼핑몰, 사이트비교.운영비총액, 사이트비교.판매매출액_x000d__x000a_FROM `C:\길벗컴활1급(2010)\01 엑셀\03 기본모의고사\인터넷쇼핑몰.accdb`.사이트비교 사이트비교"/>
  </connection>
</connections>
</file>

<file path=xl/sharedStrings.xml><?xml version="1.0" encoding="utf-8"?>
<sst xmlns="http://schemas.openxmlformats.org/spreadsheetml/2006/main" count="370" uniqueCount="243">
  <si>
    <t>사원번호</t>
  </si>
  <si>
    <t>이름</t>
  </si>
  <si>
    <t>업무수행</t>
  </si>
  <si>
    <t>영어독해</t>
  </si>
  <si>
    <t>영어듣기</t>
  </si>
  <si>
    <t>전산이론</t>
  </si>
  <si>
    <t>점수</t>
  </si>
  <si>
    <t>이나라</t>
  </si>
  <si>
    <t>김대진</t>
  </si>
  <si>
    <t>이현주</t>
  </si>
  <si>
    <t>최민돌</t>
  </si>
  <si>
    <t>김민호</t>
  </si>
  <si>
    <t>강타</t>
  </si>
  <si>
    <t>최민정</t>
  </si>
  <si>
    <t>강감찬</t>
  </si>
  <si>
    <t>조성수</t>
  </si>
  <si>
    <t>[표1]</t>
    <phoneticPr fontId="4" type="noConversion"/>
  </si>
  <si>
    <t>하반기 신입사원 지원 현황</t>
    <phoneticPr fontId="4" type="noConversion"/>
  </si>
  <si>
    <t>성명</t>
    <phoneticPr fontId="4" type="noConversion"/>
  </si>
  <si>
    <t>지원부서</t>
    <phoneticPr fontId="4" type="noConversion"/>
  </si>
  <si>
    <t>필기</t>
    <phoneticPr fontId="4" type="noConversion"/>
  </si>
  <si>
    <t>자격증</t>
    <phoneticPr fontId="4" type="noConversion"/>
  </si>
  <si>
    <t>면접</t>
    <phoneticPr fontId="4" type="noConversion"/>
  </si>
  <si>
    <t>평균</t>
    <phoneticPr fontId="4" type="noConversion"/>
  </si>
  <si>
    <t>결과</t>
    <phoneticPr fontId="4" type="noConversion"/>
  </si>
  <si>
    <t>권유식</t>
  </si>
  <si>
    <t>총무부</t>
  </si>
  <si>
    <t>합격</t>
  </si>
  <si>
    <t>고광명</t>
  </si>
  <si>
    <t>영업부</t>
  </si>
  <si>
    <t>김순식</t>
  </si>
  <si>
    <t>인사부</t>
  </si>
  <si>
    <t>불합격</t>
  </si>
  <si>
    <t>도현명</t>
  </si>
  <si>
    <t>박문수</t>
  </si>
  <si>
    <t>홍보부</t>
  </si>
  <si>
    <t>이기자</t>
  </si>
  <si>
    <t>관리부</t>
  </si>
  <si>
    <t>진달호</t>
  </si>
  <si>
    <t>하지만</t>
  </si>
  <si>
    <t>한기철</t>
  </si>
  <si>
    <t>[표2]</t>
    <phoneticPr fontId="4" type="noConversion"/>
  </si>
  <si>
    <t>인사현황</t>
    <phoneticPr fontId="4" type="noConversion"/>
  </si>
  <si>
    <t>직무</t>
    <phoneticPr fontId="4" type="noConversion"/>
  </si>
  <si>
    <t>직급</t>
    <phoneticPr fontId="4" type="noConversion"/>
  </si>
  <si>
    <t>성   명</t>
    <phoneticPr fontId="4" type="noConversion"/>
  </si>
  <si>
    <t>소        속</t>
    <phoneticPr fontId="4" type="noConversion"/>
  </si>
  <si>
    <t>성적</t>
    <phoneticPr fontId="4" type="noConversion"/>
  </si>
  <si>
    <t>행정</t>
    <phoneticPr fontId="4" type="noConversion"/>
  </si>
  <si>
    <t>6급</t>
    <phoneticPr fontId="4" type="noConversion"/>
  </si>
  <si>
    <t>장성태</t>
    <phoneticPr fontId="4" type="noConversion"/>
  </si>
  <si>
    <t>총무과</t>
    <phoneticPr fontId="4" type="noConversion"/>
  </si>
  <si>
    <t>건축</t>
    <phoneticPr fontId="4" type="noConversion"/>
  </si>
  <si>
    <t>배승우</t>
    <phoneticPr fontId="4" type="noConversion"/>
  </si>
  <si>
    <t>장병철</t>
    <phoneticPr fontId="4" type="noConversion"/>
  </si>
  <si>
    <t>7급</t>
  </si>
  <si>
    <t>우병순</t>
    <phoneticPr fontId="4" type="noConversion"/>
  </si>
  <si>
    <t>농림과</t>
  </si>
  <si>
    <t>오장규</t>
    <phoneticPr fontId="4" type="noConversion"/>
  </si>
  <si>
    <t>보건사업과</t>
    <phoneticPr fontId="4" type="noConversion"/>
  </si>
  <si>
    <t>간호</t>
    <phoneticPr fontId="4" type="noConversion"/>
  </si>
  <si>
    <t>추병선</t>
    <phoneticPr fontId="4" type="noConversion"/>
  </si>
  <si>
    <t>곽배동</t>
    <phoneticPr fontId="4" type="noConversion"/>
  </si>
  <si>
    <t>교통행정과</t>
  </si>
  <si>
    <t>7급</t>
    <phoneticPr fontId="4" type="noConversion"/>
  </si>
  <si>
    <t>이순선</t>
    <phoneticPr fontId="4" type="noConversion"/>
  </si>
  <si>
    <t>민방위과</t>
    <phoneticPr fontId="4" type="noConversion"/>
  </si>
  <si>
    <t>여종택</t>
    <phoneticPr fontId="4" type="noConversion"/>
  </si>
  <si>
    <t>회계과</t>
  </si>
  <si>
    <t>박영미</t>
    <phoneticPr fontId="4" type="noConversion"/>
  </si>
  <si>
    <t>사회복지과</t>
  </si>
  <si>
    <t>6급</t>
    <phoneticPr fontId="3" type="noConversion"/>
  </si>
  <si>
    <t>*우*</t>
    <phoneticPr fontId="3" type="noConversion"/>
  </si>
  <si>
    <t>총무과</t>
    <phoneticPr fontId="3" type="noConversion"/>
  </si>
  <si>
    <t>[표1]</t>
    <phoneticPr fontId="4" type="noConversion"/>
  </si>
  <si>
    <t>[표2]</t>
    <phoneticPr fontId="4" type="noConversion"/>
  </si>
  <si>
    <t>담당지역</t>
    <phoneticPr fontId="4" type="noConversion"/>
  </si>
  <si>
    <t>급여합계</t>
    <phoneticPr fontId="4" type="noConversion"/>
  </si>
  <si>
    <t>담당지역</t>
    <phoneticPr fontId="4" type="noConversion"/>
  </si>
  <si>
    <t>판매</t>
    <phoneticPr fontId="4" type="noConversion"/>
  </si>
  <si>
    <t>강서구</t>
    <phoneticPr fontId="4" type="noConversion"/>
  </si>
  <si>
    <t>1부</t>
    <phoneticPr fontId="4" type="noConversion"/>
  </si>
  <si>
    <t>2부</t>
    <phoneticPr fontId="4" type="noConversion"/>
  </si>
  <si>
    <t>3부</t>
    <phoneticPr fontId="4" type="noConversion"/>
  </si>
  <si>
    <t>강동구</t>
    <phoneticPr fontId="4" type="noConversion"/>
  </si>
  <si>
    <t>성북구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</si>
  <si>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</t>
    </r>
    <phoneticPr fontId="4" type="noConversion"/>
  </si>
  <si>
    <t>성명</t>
  </si>
  <si>
    <t>부서</t>
  </si>
  <si>
    <t>담당지역</t>
  </si>
  <si>
    <t>급여</t>
    <phoneticPr fontId="4" type="noConversion"/>
  </si>
  <si>
    <t>대출금</t>
    <phoneticPr fontId="4" type="noConversion"/>
  </si>
  <si>
    <t>이자(연리)</t>
    <phoneticPr fontId="4" type="noConversion"/>
  </si>
  <si>
    <t>기간(년)</t>
    <phoneticPr fontId="4" type="noConversion"/>
  </si>
  <si>
    <t>매월불입금</t>
    <phoneticPr fontId="4" type="noConversion"/>
  </si>
  <si>
    <t>투자 가치</t>
    <phoneticPr fontId="4" type="noConversion"/>
  </si>
  <si>
    <t>현재 가치</t>
    <phoneticPr fontId="4" type="noConversion"/>
  </si>
  <si>
    <t>김정원</t>
  </si>
  <si>
    <t>판매1부</t>
  </si>
  <si>
    <t>강서구</t>
  </si>
  <si>
    <t>박경진</t>
  </si>
  <si>
    <t>강동구</t>
  </si>
  <si>
    <t>반상현</t>
  </si>
  <si>
    <t>판매2부</t>
  </si>
  <si>
    <t>성북구</t>
  </si>
  <si>
    <t>어지순</t>
  </si>
  <si>
    <t>유건석</t>
  </si>
  <si>
    <t>판매3부</t>
  </si>
  <si>
    <t>은지은</t>
  </si>
  <si>
    <t>이순자</t>
  </si>
  <si>
    <t>제장부</t>
  </si>
  <si>
    <t>최지열</t>
  </si>
  <si>
    <r>
      <t>[표</t>
    </r>
    <r>
      <rPr>
        <sz val="11"/>
        <color theme="1"/>
        <rFont val="맑은 고딕"/>
        <family val="3"/>
        <charset val="129"/>
        <scheme val="minor"/>
      </rPr>
      <t>4]</t>
    </r>
    <phoneticPr fontId="4" type="noConversion"/>
  </si>
  <si>
    <t>사원명</t>
    <phoneticPr fontId="4" type="noConversion"/>
  </si>
  <si>
    <t>입사일</t>
    <phoneticPr fontId="4" type="noConversion"/>
  </si>
  <si>
    <t>신장</t>
    <phoneticPr fontId="4" type="noConversion"/>
  </si>
  <si>
    <t>몸무게</t>
    <phoneticPr fontId="4" type="noConversion"/>
  </si>
  <si>
    <t>근속수당</t>
    <phoneticPr fontId="4" type="noConversion"/>
  </si>
  <si>
    <t>표준몸무게</t>
    <phoneticPr fontId="4" type="noConversion"/>
  </si>
  <si>
    <t>김명식</t>
    <phoneticPr fontId="4" type="noConversion"/>
  </si>
  <si>
    <t>박신아</t>
    <phoneticPr fontId="4" type="noConversion"/>
  </si>
  <si>
    <t>김철호</t>
    <phoneticPr fontId="4" type="noConversion"/>
  </si>
  <si>
    <t>서진혁</t>
    <phoneticPr fontId="4" type="noConversion"/>
  </si>
  <si>
    <t>김혜진</t>
    <phoneticPr fontId="4" type="noConversion"/>
  </si>
  <si>
    <t>이면철</t>
    <phoneticPr fontId="4" type="noConversion"/>
  </si>
  <si>
    <t>강진성</t>
    <phoneticPr fontId="4" type="noConversion"/>
  </si>
  <si>
    <t>개설일</t>
  </si>
  <si>
    <t>쇼핑몰</t>
  </si>
  <si>
    <t>평균 : 운영비총액</t>
  </si>
  <si>
    <t>평균 : 판매매출액</t>
  </si>
  <si>
    <t>합계 : 순이익</t>
  </si>
  <si>
    <t>음악쇼핑몰</t>
  </si>
  <si>
    <t>종합쇼핑몰</t>
  </si>
  <si>
    <t>가전쇼핑몰</t>
  </si>
  <si>
    <t>여행정보몰</t>
  </si>
  <si>
    <t>예술쇼핑몰</t>
  </si>
  <si>
    <t>총합계</t>
  </si>
  <si>
    <t>사원별 급여 현황</t>
    <phoneticPr fontId="4" type="noConversion"/>
  </si>
  <si>
    <t>직급</t>
  </si>
  <si>
    <t>직위</t>
  </si>
  <si>
    <t>인사고과</t>
  </si>
  <si>
    <t>기본급</t>
  </si>
  <si>
    <t>상여비율</t>
  </si>
  <si>
    <t>수당</t>
  </si>
  <si>
    <t>총급여액</t>
  </si>
  <si>
    <t>김세연</t>
  </si>
  <si>
    <t>3급</t>
  </si>
  <si>
    <t>과장</t>
  </si>
  <si>
    <t>김경수</t>
  </si>
  <si>
    <t>판매부</t>
  </si>
  <si>
    <t>이학봉</t>
  </si>
  <si>
    <t>기획부</t>
  </si>
  <si>
    <t>과장 요약</t>
  </si>
  <si>
    <t>과장 평균</t>
  </si>
  <si>
    <t>홍길동</t>
  </si>
  <si>
    <t>4급</t>
  </si>
  <si>
    <t>대리</t>
  </si>
  <si>
    <t>지순녀</t>
  </si>
  <si>
    <t>최지은</t>
  </si>
  <si>
    <t>대리 요약</t>
  </si>
  <si>
    <t>대리 평균</t>
  </si>
  <si>
    <t>이승연</t>
  </si>
  <si>
    <t>2급</t>
  </si>
  <si>
    <t>부장</t>
  </si>
  <si>
    <t>김지연</t>
  </si>
  <si>
    <t>박원래</t>
  </si>
  <si>
    <t>부장 요약</t>
  </si>
  <si>
    <t>부장 평균</t>
  </si>
  <si>
    <t>전체 평균</t>
  </si>
  <si>
    <t xml:space="preserve">성적 일람표 </t>
    <phoneticPr fontId="4" type="noConversion"/>
  </si>
  <si>
    <t>학번</t>
  </si>
  <si>
    <t>학과</t>
  </si>
  <si>
    <t>성별</t>
  </si>
  <si>
    <t>중간</t>
  </si>
  <si>
    <t>기말</t>
  </si>
  <si>
    <t>과제</t>
  </si>
  <si>
    <t>출석</t>
  </si>
  <si>
    <t>총점</t>
  </si>
  <si>
    <t>C003</t>
    <phoneticPr fontId="4" type="noConversion"/>
  </si>
  <si>
    <t>최고봉</t>
    <phoneticPr fontId="4" type="noConversion"/>
  </si>
  <si>
    <t>정보처리과</t>
  </si>
  <si>
    <t>남</t>
    <phoneticPr fontId="4" type="noConversion"/>
  </si>
  <si>
    <t>A003</t>
    <phoneticPr fontId="4" type="noConversion"/>
  </si>
  <si>
    <t>장샛별</t>
    <phoneticPr fontId="4" type="noConversion"/>
  </si>
  <si>
    <t>여</t>
    <phoneticPr fontId="4" type="noConversion"/>
  </si>
  <si>
    <t>C002</t>
    <phoneticPr fontId="4" type="noConversion"/>
  </si>
  <si>
    <t>조은별</t>
    <phoneticPr fontId="4" type="noConversion"/>
  </si>
  <si>
    <t>사무자동화과</t>
  </si>
  <si>
    <t>남</t>
  </si>
  <si>
    <t>B003</t>
    <phoneticPr fontId="4" type="noConversion"/>
  </si>
  <si>
    <t>새희망</t>
    <phoneticPr fontId="4" type="noConversion"/>
  </si>
  <si>
    <t>A002</t>
    <phoneticPr fontId="4" type="noConversion"/>
  </si>
  <si>
    <t>박인자</t>
    <phoneticPr fontId="4" type="noConversion"/>
  </si>
  <si>
    <t>웹디자인과</t>
  </si>
  <si>
    <t>여</t>
  </si>
  <si>
    <t>C001</t>
    <phoneticPr fontId="4" type="noConversion"/>
  </si>
  <si>
    <t>김승리</t>
    <phoneticPr fontId="4" type="noConversion"/>
  </si>
  <si>
    <t>B002</t>
    <phoneticPr fontId="4" type="noConversion"/>
  </si>
  <si>
    <t>최적극</t>
    <phoneticPr fontId="4" type="noConversion"/>
  </si>
  <si>
    <t>B001</t>
    <phoneticPr fontId="4" type="noConversion"/>
  </si>
  <si>
    <t>이용감</t>
    <phoneticPr fontId="4" type="noConversion"/>
  </si>
  <si>
    <t>A004</t>
    <phoneticPr fontId="4" type="noConversion"/>
  </si>
  <si>
    <t>김튼튼</t>
    <phoneticPr fontId="4" type="noConversion"/>
  </si>
  <si>
    <t>A001</t>
    <phoneticPr fontId="4" type="noConversion"/>
  </si>
  <si>
    <t>강성실</t>
    <phoneticPr fontId="4" type="noConversion"/>
  </si>
  <si>
    <t>무선 통신 전화요금</t>
    <phoneticPr fontId="4" type="noConversion"/>
  </si>
  <si>
    <t>[참조표]</t>
    <phoneticPr fontId="4" type="noConversion"/>
  </si>
  <si>
    <t>고객명</t>
    <phoneticPr fontId="4" type="noConversion"/>
  </si>
  <si>
    <t>등급코드</t>
    <phoneticPr fontId="4" type="noConversion"/>
  </si>
  <si>
    <t>시간당 단가</t>
    <phoneticPr fontId="4" type="noConversion"/>
  </si>
  <si>
    <t>기본요금</t>
    <phoneticPr fontId="4" type="noConversion"/>
  </si>
  <si>
    <t>할인요금</t>
    <phoneticPr fontId="4" type="noConversion"/>
  </si>
  <si>
    <t xml:space="preserve"> 기본요금</t>
    <phoneticPr fontId="4" type="noConversion"/>
  </si>
  <si>
    <t>A</t>
  </si>
  <si>
    <t>A</t>
    <phoneticPr fontId="4" type="noConversion"/>
  </si>
  <si>
    <t>이상민</t>
  </si>
  <si>
    <t>C</t>
  </si>
  <si>
    <t>B</t>
    <phoneticPr fontId="4" type="noConversion"/>
  </si>
  <si>
    <t>김기태</t>
  </si>
  <si>
    <t>B</t>
  </si>
  <si>
    <t>C</t>
    <phoneticPr fontId="4" type="noConversion"/>
  </si>
  <si>
    <t>D</t>
    <phoneticPr fontId="4" type="noConversion"/>
  </si>
  <si>
    <t>DB운영비</t>
  </si>
  <si>
    <t>광고비</t>
  </si>
  <si>
    <t>배너비</t>
  </si>
  <si>
    <t>운영비총액</t>
  </si>
  <si>
    <t>판매매출액</t>
  </si>
  <si>
    <t>2016-04-01 - 2016-04-07</t>
  </si>
  <si>
    <t>2016-04-01 - 2016-04-07 요약</t>
  </si>
  <si>
    <t>2016-04-29 - 2016-05-05</t>
  </si>
  <si>
    <t>2016-04-29 - 2016-05-05 요약</t>
  </si>
  <si>
    <t>2016-05-06 - 2016-05-12</t>
  </si>
  <si>
    <t>2016-05-06 - 2016-05-12 요약</t>
  </si>
  <si>
    <t>2016-05-13 - 2016-05-19</t>
  </si>
  <si>
    <t>2016-05-13 - 2016-05-19 요약</t>
  </si>
  <si>
    <t>[표5]</t>
    <phoneticPr fontId="3" type="noConversion"/>
  </si>
  <si>
    <t>동</t>
  </si>
  <si>
    <t>호</t>
  </si>
  <si>
    <t>전력량(kwh)</t>
  </si>
  <si>
    <t>사용요금</t>
    <phoneticPr fontId="3" type="noConversion"/>
  </si>
  <si>
    <t>납입일</t>
  </si>
  <si>
    <t>전월전력량</t>
    <phoneticPr fontId="3" type="noConversion"/>
  </si>
  <si>
    <t>그래프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</si>
</sst>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₩&quot;#,##0;[Red]\-&quot;₩&quot;#,##0"/>
    <numFmt numFmtId="41" formatCode="_-* #,##0_-;\-* #,##0_-;_-* &quot;-&quot;_-;_-@_-"/>
    <numFmt numFmtId="176" formatCode="#,###;\-#,###;&quot;*&quot;"/>
    <numFmt numFmtId="177" formatCode="dd\-mmm\-yy"/>
    <numFmt numFmtId="178" formatCode="mm&quot;월&quot;\ dd&quot;일&quot;"/>
    <numFmt numFmtId="179" formatCode="#,##0_ 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7">
    <xf numFmtId="0" fontId="0" fillId="0" borderId="0">
      <alignment vertical="center"/>
    </xf>
    <xf numFmtId="0" fontId="1" fillId="0" borderId="0"/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0" fillId="0" borderId="0" applyFont="0" applyFill="0" applyBorder="0" applyAlignment="0" applyProtection="0">
      <alignment vertical="center"/>
    </xf>
    <xf numFmtId="0" fontId="12" fillId="0" borderId="0"/>
  </cellStyleXfs>
  <cellXfs count="66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6" fillId="0" borderId="0" xfId="1" applyFont="1"/>
    <xf numFmtId="49" fontId="7" fillId="0" borderId="1" xfId="2" applyNumberFormat="1" applyFont="1" applyBorder="1" applyAlignment="1">
      <alignment horizontal="center" vertical="center"/>
    </xf>
    <xf numFmtId="1" fontId="7" fillId="0" borderId="1" xfId="2" applyNumberFormat="1" applyFont="1" applyBorder="1" applyAlignment="1">
      <alignment horizontal="center" vertical="center"/>
    </xf>
    <xf numFmtId="0" fontId="7" fillId="0" borderId="1" xfId="2" applyFont="1" applyBorder="1" applyAlignment="1">
      <alignment horizontal="center"/>
    </xf>
    <xf numFmtId="49" fontId="2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left" vertical="center" indent="1"/>
    </xf>
    <xf numFmtId="0" fontId="2" fillId="0" borderId="1" xfId="2" applyFont="1" applyBorder="1" applyAlignment="1">
      <alignment horizontal="center"/>
    </xf>
    <xf numFmtId="0" fontId="2" fillId="0" borderId="1" xfId="2" applyFont="1" applyFill="1" applyBorder="1" applyAlignment="1">
      <alignment horizontal="center"/>
    </xf>
    <xf numFmtId="0" fontId="2" fillId="3" borderId="1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1" xfId="1" applyFont="1" applyBorder="1"/>
    <xf numFmtId="41" fontId="8" fillId="0" borderId="1" xfId="3" applyFont="1" applyBorder="1"/>
    <xf numFmtId="41" fontId="2" fillId="0" borderId="0" xfId="3" applyFont="1" applyFill="1" applyBorder="1"/>
    <xf numFmtId="0" fontId="2" fillId="3" borderId="1" xfId="1" applyFont="1" applyFill="1" applyBorder="1"/>
    <xf numFmtId="41" fontId="2" fillId="0" borderId="1" xfId="3" applyFont="1" applyBorder="1"/>
    <xf numFmtId="9" fontId="2" fillId="0" borderId="1" xfId="1" applyNumberFormat="1" applyFont="1" applyBorder="1"/>
    <xf numFmtId="6" fontId="2" fillId="0" borderId="1" xfId="1" applyNumberFormat="1" applyFont="1" applyBorder="1"/>
    <xf numFmtId="0" fontId="2" fillId="0" borderId="1" xfId="1" applyFont="1" applyFill="1" applyBorder="1" applyAlignment="1">
      <alignment horizontal="center"/>
    </xf>
    <xf numFmtId="14" fontId="2" fillId="0" borderId="1" xfId="1" applyNumberFormat="1" applyFont="1" applyBorder="1" applyAlignment="1">
      <alignment horizontal="center" vertical="center"/>
    </xf>
    <xf numFmtId="41" fontId="2" fillId="0" borderId="1" xfId="3" applyFont="1" applyBorder="1" applyAlignment="1">
      <alignment horizontal="center"/>
    </xf>
    <xf numFmtId="14" fontId="2" fillId="0" borderId="1" xfId="1" quotePrefix="1" applyNumberFormat="1" applyFont="1" applyBorder="1" applyAlignment="1">
      <alignment horizontal="center" vertical="center"/>
    </xf>
    <xf numFmtId="0" fontId="2" fillId="0" borderId="0" xfId="1" applyFont="1" applyFill="1" applyBorder="1" applyAlignment="1">
      <alignment horizontal="left"/>
    </xf>
    <xf numFmtId="176" fontId="0" fillId="0" borderId="0" xfId="0" applyNumberFormat="1">
      <alignment vertical="center"/>
    </xf>
    <xf numFmtId="0" fontId="2" fillId="0" borderId="0" xfId="1" applyFont="1" applyAlignment="1">
      <alignment horizontal="center"/>
    </xf>
    <xf numFmtId="9" fontId="8" fillId="0" borderId="1" xfId="4" applyFont="1" applyBorder="1"/>
    <xf numFmtId="0" fontId="7" fillId="0" borderId="1" xfId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7" fillId="0" borderId="0" xfId="1" applyFont="1" applyBorder="1" applyAlignment="1">
      <alignment horizontal="center"/>
    </xf>
    <xf numFmtId="0" fontId="2" fillId="0" borderId="0" xfId="1" applyFont="1" applyBorder="1"/>
    <xf numFmtId="41" fontId="8" fillId="0" borderId="0" xfId="3" applyFont="1" applyBorder="1"/>
    <xf numFmtId="9" fontId="8" fillId="0" borderId="0" xfId="4" applyFont="1" applyBorder="1"/>
    <xf numFmtId="0" fontId="5" fillId="0" borderId="0" xfId="1" applyFont="1"/>
    <xf numFmtId="0" fontId="7" fillId="0" borderId="0" xfId="1" applyFont="1" applyAlignment="1">
      <alignment horizontal="center"/>
    </xf>
    <xf numFmtId="14" fontId="2" fillId="0" borderId="0" xfId="1" applyNumberFormat="1" applyFont="1"/>
    <xf numFmtId="3" fontId="2" fillId="0" borderId="0" xfId="1" applyNumberFormat="1" applyFont="1"/>
    <xf numFmtId="41" fontId="7" fillId="0" borderId="1" xfId="1" applyNumberFormat="1" applyFont="1" applyBorder="1" applyAlignment="1">
      <alignment horizontal="center"/>
    </xf>
    <xf numFmtId="177" fontId="11" fillId="0" borderId="3" xfId="6" applyNumberFormat="1" applyFont="1" applyBorder="1" applyAlignment="1">
      <alignment horizontal="right" wrapText="1"/>
    </xf>
    <xf numFmtId="0" fontId="11" fillId="0" borderId="4" xfId="6" applyNumberFormat="1" applyFont="1" applyBorder="1" applyAlignment="1">
      <alignment wrapText="1"/>
    </xf>
    <xf numFmtId="177" fontId="11" fillId="0" borderId="6" xfId="6" applyNumberFormat="1" applyFont="1" applyBorder="1" applyAlignment="1">
      <alignment horizontal="right" wrapText="1"/>
    </xf>
    <xf numFmtId="0" fontId="11" fillId="0" borderId="2" xfId="6" applyNumberFormat="1" applyFont="1" applyBorder="1" applyAlignment="1">
      <alignment wrapText="1"/>
    </xf>
    <xf numFmtId="0" fontId="13" fillId="2" borderId="3" xfId="6" applyNumberFormat="1" applyFont="1" applyFill="1" applyBorder="1" applyAlignment="1">
      <alignment horizontal="center"/>
    </xf>
    <xf numFmtId="0" fontId="13" fillId="2" borderId="4" xfId="6" applyNumberFormat="1" applyFont="1" applyFill="1" applyBorder="1" applyAlignment="1">
      <alignment horizontal="center"/>
    </xf>
    <xf numFmtId="0" fontId="13" fillId="2" borderId="5" xfId="6" applyNumberFormat="1" applyFont="1" applyFill="1" applyBorder="1" applyAlignment="1">
      <alignment horizontal="center"/>
    </xf>
    <xf numFmtId="41" fontId="11" fillId="0" borderId="4" xfId="5" applyFont="1" applyBorder="1" applyAlignment="1">
      <alignment horizontal="right" wrapText="1"/>
    </xf>
    <xf numFmtId="41" fontId="11" fillId="0" borderId="5" xfId="5" applyFont="1" applyBorder="1" applyAlignment="1">
      <alignment horizontal="right" wrapText="1"/>
    </xf>
    <xf numFmtId="41" fontId="11" fillId="0" borderId="2" xfId="5" applyFont="1" applyBorder="1" applyAlignment="1">
      <alignment horizontal="right" wrapText="1"/>
    </xf>
    <xf numFmtId="41" fontId="11" fillId="0" borderId="7" xfId="5" applyFont="1" applyBorder="1" applyAlignment="1">
      <alignment horizontal="right" wrapText="1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2" fillId="0" borderId="1" xfId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1" fontId="0" fillId="0" borderId="1" xfId="5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5" applyNumberFormat="1" applyFont="1" applyBorder="1">
      <alignment vertical="center"/>
    </xf>
    <xf numFmtId="0" fontId="5" fillId="0" borderId="0" xfId="1" applyFont="1" applyAlignment="1">
      <alignment horizontal="center"/>
    </xf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/>
    </xf>
    <xf numFmtId="0" fontId="9" fillId="0" borderId="0" xfId="1" applyFont="1" applyAlignment="1">
      <alignment horizontal="center"/>
    </xf>
    <xf numFmtId="0" fontId="5" fillId="0" borderId="0" xfId="1" applyFont="1" applyBorder="1" applyAlignment="1">
      <alignment horizontal="center"/>
    </xf>
  </cellXfs>
  <cellStyles count="7">
    <cellStyle name="백분율 2" xfId="4"/>
    <cellStyle name="쉼표 [0]" xfId="5" builtinId="6"/>
    <cellStyle name="쉼표 [0] 2" xfId="3"/>
    <cellStyle name="표준" xfId="0" builtinId="0"/>
    <cellStyle name="표준 2" xfId="1"/>
    <cellStyle name="표준_분석작업-1" xfId="6"/>
    <cellStyle name="표준_상공회의소문제" xfId="2"/>
  </cellStyles>
  <dxfs count="1">
    <dxf>
      <font>
        <b/>
        <i val="0"/>
        <u val="double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70C0"/>
                </a:solidFill>
              </a:defRPr>
            </a:pPr>
            <a:r>
              <a:rPr lang="ko-KR" altLang="en-US">
                <a:solidFill>
                  <a:srgbClr val="0070C0"/>
                </a:solidFill>
              </a:rPr>
              <a:t>정보처리과 성적표</a:t>
            </a:r>
          </a:p>
        </c:rich>
      </c:tx>
      <c:overlay val="0"/>
    </c:title>
    <c:autoTitleDeleted val="0"/>
    <c:view3D>
      <c:rotX val="0"/>
      <c:rotY val="1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'기타작업-1'!$F$3</c:f>
              <c:strCache>
                <c:ptCount val="1"/>
                <c:pt idx="0">
                  <c:v>중간</c:v>
                </c:pt>
              </c:strCache>
            </c:strRef>
          </c:tx>
          <c:invertIfNegative val="0"/>
          <c:cat>
            <c:strRef>
              <c:f>('기타작업-1'!$C$4:$C$5,'기타작업-1'!$C$9,'기타작업-1'!$C$12:$C$13)</c:f>
              <c:strCache>
                <c:ptCount val="5"/>
                <c:pt idx="0">
                  <c:v>최고봉</c:v>
                </c:pt>
                <c:pt idx="1">
                  <c:v>장샛별</c:v>
                </c:pt>
                <c:pt idx="2">
                  <c:v>김승리</c:v>
                </c:pt>
                <c:pt idx="3">
                  <c:v>김튼튼</c:v>
                </c:pt>
                <c:pt idx="4">
                  <c:v>강성실</c:v>
                </c:pt>
              </c:strCache>
            </c:strRef>
          </c:cat>
          <c:val>
            <c:numRef>
              <c:f>('기타작업-1'!$F$4:$F$5,'기타작업-1'!$F$9,'기타작업-1'!$F$12:$F$13)</c:f>
              <c:numCache>
                <c:formatCode>General</c:formatCode>
                <c:ptCount val="5"/>
                <c:pt idx="0">
                  <c:v>28</c:v>
                </c:pt>
                <c:pt idx="1">
                  <c:v>25</c:v>
                </c:pt>
                <c:pt idx="2">
                  <c:v>26</c:v>
                </c:pt>
                <c:pt idx="3">
                  <c:v>30</c:v>
                </c:pt>
                <c:pt idx="4">
                  <c:v>25</c:v>
                </c:pt>
              </c:numCache>
            </c:numRef>
          </c:val>
        </c:ser>
        <c:ser>
          <c:idx val="1"/>
          <c:order val="1"/>
          <c:tx>
            <c:strRef>
              <c:f>'기타작업-1'!$G$3</c:f>
              <c:strCache>
                <c:ptCount val="1"/>
                <c:pt idx="0">
                  <c:v>기말</c:v>
                </c:pt>
              </c:strCache>
            </c:strRef>
          </c:tx>
          <c:invertIfNegative val="0"/>
          <c:cat>
            <c:strRef>
              <c:f>('기타작업-1'!$C$4:$C$5,'기타작업-1'!$C$9,'기타작업-1'!$C$12:$C$13)</c:f>
              <c:strCache>
                <c:ptCount val="5"/>
                <c:pt idx="0">
                  <c:v>최고봉</c:v>
                </c:pt>
                <c:pt idx="1">
                  <c:v>장샛별</c:v>
                </c:pt>
                <c:pt idx="2">
                  <c:v>김승리</c:v>
                </c:pt>
                <c:pt idx="3">
                  <c:v>김튼튼</c:v>
                </c:pt>
                <c:pt idx="4">
                  <c:v>강성실</c:v>
                </c:pt>
              </c:strCache>
            </c:strRef>
          </c:cat>
          <c:val>
            <c:numRef>
              <c:f>('기타작업-1'!$G$4:$G$5,'기타작업-1'!$G$9,'기타작업-1'!$G$12:$G$13)</c:f>
              <c:numCache>
                <c:formatCode>General</c:formatCode>
                <c:ptCount val="5"/>
                <c:pt idx="0">
                  <c:v>38</c:v>
                </c:pt>
                <c:pt idx="1">
                  <c:v>33</c:v>
                </c:pt>
                <c:pt idx="2">
                  <c:v>32</c:v>
                </c:pt>
                <c:pt idx="3">
                  <c:v>37</c:v>
                </c:pt>
                <c:pt idx="4">
                  <c:v>28</c:v>
                </c:pt>
              </c:numCache>
            </c:numRef>
          </c:val>
        </c:ser>
        <c:ser>
          <c:idx val="2"/>
          <c:order val="2"/>
          <c:tx>
            <c:strRef>
              <c:f>'기타작업-1'!$H$3</c:f>
              <c:strCache>
                <c:ptCount val="1"/>
                <c:pt idx="0">
                  <c:v>과제</c:v>
                </c:pt>
              </c:strCache>
            </c:strRef>
          </c:tx>
          <c:invertIfNegative val="0"/>
          <c:cat>
            <c:strRef>
              <c:f>('기타작업-1'!$C$4:$C$5,'기타작업-1'!$C$9,'기타작업-1'!$C$12:$C$13)</c:f>
              <c:strCache>
                <c:ptCount val="5"/>
                <c:pt idx="0">
                  <c:v>최고봉</c:v>
                </c:pt>
                <c:pt idx="1">
                  <c:v>장샛별</c:v>
                </c:pt>
                <c:pt idx="2">
                  <c:v>김승리</c:v>
                </c:pt>
                <c:pt idx="3">
                  <c:v>김튼튼</c:v>
                </c:pt>
                <c:pt idx="4">
                  <c:v>강성실</c:v>
                </c:pt>
              </c:strCache>
            </c:strRef>
          </c:cat>
          <c:val>
            <c:numRef>
              <c:f>('기타작업-1'!$H$4:$H$5,'기타작업-1'!$H$9,'기타작업-1'!$H$12:$H$13)</c:f>
              <c:numCache>
                <c:formatCode>General</c:formatCode>
                <c:ptCount val="5"/>
                <c:pt idx="0">
                  <c:v>8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gapDepth val="30"/>
        <c:shape val="box"/>
        <c:axId val="35241472"/>
        <c:axId val="146024128"/>
        <c:axId val="0"/>
      </c:bar3DChart>
      <c:catAx>
        <c:axId val="35241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이름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6024128"/>
        <c:crosses val="autoZero"/>
        <c:auto val="1"/>
        <c:lblAlgn val="ctr"/>
        <c:lblOffset val="300"/>
        <c:noMultiLvlLbl val="0"/>
      </c:catAx>
      <c:valAx>
        <c:axId val="146024128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 altLang="en-US"/>
                  <a:t>점수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241472"/>
        <c:crosses val="autoZero"/>
        <c:crossBetween val="between"/>
        <c:majorUnit val="20"/>
      </c:valAx>
    </c:plotArea>
    <c:legend>
      <c:legendPos val="t"/>
      <c:overlay val="0"/>
      <c:spPr>
        <a:solidFill>
          <a:srgbClr val="92D050"/>
        </a:solidFill>
        <a:effectLst>
          <a:outerShdw blurRad="50800" dist="38100" dir="18900000" algn="b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152400" y="0"/>
          <a:ext cx="685800" cy="0"/>
        </a:xfrm>
        <a:prstGeom prst="flowChartPreparation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대여일수</a:t>
          </a: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847725" y="0"/>
          <a:ext cx="676275" cy="0"/>
        </a:xfrm>
        <a:prstGeom prst="flowChartPreparation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서식</a:t>
          </a:r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28575</xdr:rowOff>
        </xdr:from>
        <xdr:to>
          <xdr:col>5</xdr:col>
          <xdr:colOff>0</xdr:colOff>
          <xdr:row>1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3332.75255902778" createdVersion="4" refreshedVersion="4" minRefreshableVersion="3" recordCount="20">
  <cacheSource type="worksheet">
    <worksheetSource ref="A2:G22" sheet="분석작업-1"/>
  </cacheSource>
  <cacheFields count="8">
    <cacheField name="개설일" numFmtId="177">
      <sharedItems containsSemiMixedTypes="0" containsNonDate="0" containsDate="1" containsString="0" minDate="2016-04-01T00:00:00" maxDate="2016-05-20T00:00:00" count="20">
        <d v="2016-04-30T00:00:00"/>
        <d v="2016-04-01T00:00:00"/>
        <d v="2016-04-02T00:00:00"/>
        <d v="2016-04-03T00:00:00"/>
        <d v="2016-04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</sharedItems>
      <fieldGroup base="0">
        <rangePr groupBy="days" startDate="2016-04-01T00:00:00" endDate="2016-05-20T00:00:00" groupInterval="7"/>
        <groupItems count="9">
          <s v="&lt;2016-04-01"/>
          <s v="2016-04-01 - 2016-04-07"/>
          <s v="2016-04-08 - 2016-04-14"/>
          <s v="2016-04-15 - 2016-04-21"/>
          <s v="2016-04-22 - 2016-04-28"/>
          <s v="2016-04-29 - 2016-05-05"/>
          <s v="2016-05-06 - 2016-05-12"/>
          <s v="2016-05-13 - 2016-05-19"/>
          <s v="&gt;2016-05-20"/>
        </groupItems>
      </fieldGroup>
    </cacheField>
    <cacheField name="쇼핑몰" numFmtId="0">
      <sharedItems count="5">
        <s v="종합쇼핑몰"/>
        <s v="음악쇼핑몰"/>
        <s v="여행정보몰"/>
        <s v="가전쇼핑몰"/>
        <s v="예술쇼핑몰"/>
      </sharedItems>
    </cacheField>
    <cacheField name="DB운영비" numFmtId="41">
      <sharedItems containsSemiMixedTypes="0" containsString="0" containsNumber="1" containsInteger="1" minValue="153600" maxValue="737280"/>
    </cacheField>
    <cacheField name="광고비" numFmtId="41">
      <sharedItems containsSemiMixedTypes="0" containsString="0" containsNumber="1" containsInteger="1" minValue="184320" maxValue="884736"/>
    </cacheField>
    <cacheField name="배너비" numFmtId="41">
      <sharedItems containsSemiMixedTypes="0" containsString="0" containsNumber="1" minValue="47308.800000000003" maxValue="227082.23999999999"/>
    </cacheField>
    <cacheField name="운영비총액" numFmtId="41">
      <sharedItems containsSemiMixedTypes="0" containsString="0" containsNumber="1" minValue="385228.79999999999" maxValue="1849098.24"/>
    </cacheField>
    <cacheField name="판매매출액" numFmtId="41">
      <sharedItems containsSemiMixedTypes="0" containsString="0" containsNumber="1" containsInteger="1" minValue="0" maxValue="9686258"/>
    </cacheField>
    <cacheField name="순이익" numFmtId="0" formula="판매매출액-운영비총액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n v="386000"/>
    <n v="463200"/>
    <n v="144364"/>
    <n v="993564"/>
    <n v="5119976"/>
  </r>
  <r>
    <x v="1"/>
    <x v="1"/>
    <n v="737280"/>
    <n v="884736"/>
    <n v="227082.23999999999"/>
    <n v="1849098.24"/>
    <n v="7975510"/>
  </r>
  <r>
    <x v="2"/>
    <x v="0"/>
    <n v="332220"/>
    <n v="398664"/>
    <n v="102323.76"/>
    <n v="833207.76"/>
    <n v="4959620"/>
  </r>
  <r>
    <x v="3"/>
    <x v="1"/>
    <n v="233970"/>
    <n v="280764"/>
    <n v="72062.759999999995"/>
    <n v="586796.76"/>
    <n v="1713209"/>
  </r>
  <r>
    <x v="4"/>
    <x v="0"/>
    <n v="202510"/>
    <n v="243012"/>
    <n v="62373.08"/>
    <n v="507895.08"/>
    <n v="1634307"/>
  </r>
  <r>
    <x v="5"/>
    <x v="0"/>
    <n v="449190"/>
    <n v="539028"/>
    <n v="138350.51999999999"/>
    <n v="1126568.52"/>
    <n v="252980"/>
  </r>
  <r>
    <x v="6"/>
    <x v="1"/>
    <n v="493810"/>
    <n v="592572"/>
    <n v="152093.48000000001"/>
    <n v="1238475.48"/>
    <n v="364887"/>
  </r>
  <r>
    <x v="7"/>
    <x v="2"/>
    <n v="163400"/>
    <n v="196080"/>
    <n v="50327.199999999997"/>
    <n v="409807.2"/>
    <n v="536219"/>
  </r>
  <r>
    <x v="8"/>
    <x v="0"/>
    <n v="276840"/>
    <n v="332208"/>
    <n v="85266.72"/>
    <n v="694314.72"/>
    <n v="820727"/>
  </r>
  <r>
    <x v="9"/>
    <x v="0"/>
    <n v="286560"/>
    <n v="343872"/>
    <n v="88260.479999999996"/>
    <n v="718692.48"/>
    <n v="845104"/>
  </r>
  <r>
    <x v="10"/>
    <x v="3"/>
    <n v="153600"/>
    <n v="184320"/>
    <n v="47308.800000000003"/>
    <n v="385228.79999999999"/>
    <n v="0"/>
  </r>
  <r>
    <x v="11"/>
    <x v="2"/>
    <n v="193680"/>
    <n v="232416"/>
    <n v="59653.440000000002"/>
    <n v="485749.44"/>
    <n v="528466"/>
  </r>
  <r>
    <x v="12"/>
    <x v="4"/>
    <n v="162990"/>
    <n v="195588"/>
    <n v="50200.92"/>
    <n v="408778.92"/>
    <n v="0"/>
  </r>
  <r>
    <x v="13"/>
    <x v="1"/>
    <n v="353800"/>
    <n v="424560"/>
    <n v="108970.4"/>
    <n v="887330.4"/>
    <n v="9686258"/>
  </r>
  <r>
    <x v="14"/>
    <x v="0"/>
    <n v="229920"/>
    <n v="275904"/>
    <n v="70815.360000000001"/>
    <n v="576639.36"/>
    <n v="2303051"/>
  </r>
  <r>
    <x v="15"/>
    <x v="0"/>
    <n v="199600"/>
    <n v="239520"/>
    <n v="61476.800000000003"/>
    <n v="500596.8"/>
    <n v="0"/>
  </r>
  <r>
    <x v="16"/>
    <x v="3"/>
    <n v="558900"/>
    <n v="670680"/>
    <n v="172141.2"/>
    <n v="1401721.2"/>
    <n v="1128133"/>
  </r>
  <r>
    <x v="17"/>
    <x v="1"/>
    <n v="371450"/>
    <n v="445740"/>
    <n v="114406.6"/>
    <n v="931596.6"/>
    <n v="0"/>
  </r>
  <r>
    <x v="18"/>
    <x v="3"/>
    <n v="371790"/>
    <n v="446148"/>
    <n v="114511.32"/>
    <n v="932449.32000000007"/>
    <n v="758861"/>
  </r>
  <r>
    <x v="19"/>
    <x v="0"/>
    <n v="393720"/>
    <n v="472464"/>
    <n v="121265.76"/>
    <n v="987449.76"/>
    <n v="7138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13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compactData="0" multipleFieldFilters="0">
  <location ref="I2:M18" firstHeaderRow="0" firstDataRow="1" firstDataCol="2"/>
  <pivotFields count="8">
    <pivotField axis="axisRow" compact="0" numFmtId="177" outline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compact="0" outline="0" showAll="0">
      <items count="6">
        <item x="3"/>
        <item x="2"/>
        <item x="4"/>
        <item x="1"/>
        <item x="0"/>
        <item t="default"/>
      </items>
    </pivotField>
    <pivotField compact="0" numFmtId="41" outline="0" showAll="0"/>
    <pivotField compact="0" numFmtId="41" outline="0" showAll="0"/>
    <pivotField compact="0" numFmtId="41" outline="0" showAll="0"/>
    <pivotField dataField="1" compact="0" numFmtId="41" outline="0" showAll="0"/>
    <pivotField dataField="1" compact="0" numFmtId="41" outline="0" showAll="0"/>
    <pivotField dataField="1" compact="0" outline="0" dragToRow="0" dragToCol="0" dragToPage="0" showAll="0" defaultSubtotal="0"/>
  </pivotFields>
  <rowFields count="2">
    <field x="0"/>
    <field x="1"/>
  </rowFields>
  <rowItems count="16">
    <i>
      <x v="1"/>
      <x v="3"/>
    </i>
    <i r="1">
      <x v="4"/>
    </i>
    <i t="default">
      <x v="1"/>
    </i>
    <i>
      <x v="5"/>
      <x v="4"/>
    </i>
    <i t="default">
      <x v="5"/>
    </i>
    <i>
      <x v="6"/>
      <x/>
    </i>
    <i r="1">
      <x v="1"/>
    </i>
    <i r="1">
      <x v="2"/>
    </i>
    <i r="1">
      <x v="3"/>
    </i>
    <i r="1">
      <x v="4"/>
    </i>
    <i t="default">
      <x v="6"/>
    </i>
    <i>
      <x v="7"/>
      <x/>
    </i>
    <i r="1">
      <x v="3"/>
    </i>
    <i r="1">
      <x v="4"/>
    </i>
    <i t="default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운영비총액" fld="5" subtotal="average" baseField="1" baseItem="1" numFmtId="176"/>
    <dataField name="평균 : 판매매출액" fld="6" subtotal="average" baseField="1" baseItem="1" numFmtId="176"/>
    <dataField name="합계 : 순이익" fld="7" baseField="1" baseItem="0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8">
    <queryTableFields count="7">
      <queryTableField id="1" name="사원번호" tableColumnId="1"/>
      <queryTableField id="2" name="이름" tableColumnId="2"/>
      <queryTableField id="3" name="업무수행" tableColumnId="3"/>
      <queryTableField id="4" name="영어독해" tableColumnId="4"/>
      <queryTableField id="5" name="영어듣기" tableColumnId="5"/>
      <queryTableField id="6" name="전산이론" tableColumnId="6"/>
      <queryTableField id="7" name="점수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표_MS_Access_Database_Query" displayName="표_MS_Access_Database_Query" ref="A3:G12" tableType="queryTable" totalsRowShown="0">
  <autoFilter ref="A3:G12"/>
  <tableColumns count="7">
    <tableColumn id="1" uniqueName="1" name="사원번호" queryTableFieldId="1"/>
    <tableColumn id="2" uniqueName="2" name="이름" queryTableFieldId="2"/>
    <tableColumn id="3" uniqueName="3" name="업무수행" queryTableFieldId="3"/>
    <tableColumn id="4" uniqueName="4" name="영어독해" queryTableFieldId="4"/>
    <tableColumn id="5" uniqueName="5" name="영어듣기" queryTableFieldId="5"/>
    <tableColumn id="6" uniqueName="6" name="전산이론" queryTableFieldId="6"/>
    <tableColumn id="7" uniqueName="7" name="점수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2"/>
  <sheetViews>
    <sheetView tabSelected="1" workbookViewId="0"/>
  </sheetViews>
  <sheetFormatPr defaultRowHeight="16.5"/>
  <cols>
    <col min="1" max="1" width="11.25" customWidth="1"/>
    <col min="2" max="2" width="7.5" customWidth="1"/>
    <col min="3" max="6" width="11.25" customWidth="1"/>
    <col min="7" max="7" width="7.5" customWidth="1"/>
  </cols>
  <sheetData>
    <row r="1" spans="1:7">
      <c r="A1" s="1"/>
    </row>
    <row r="3" spans="1:7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</row>
    <row r="4" spans="1:7">
      <c r="A4">
        <v>200122</v>
      </c>
      <c r="B4" t="s">
        <v>7</v>
      </c>
      <c r="C4">
        <v>70</v>
      </c>
      <c r="D4">
        <v>48</v>
      </c>
      <c r="E4">
        <v>64</v>
      </c>
      <c r="F4">
        <v>100</v>
      </c>
      <c r="G4">
        <v>76.400000000000006</v>
      </c>
    </row>
    <row r="5" spans="1:7">
      <c r="A5">
        <v>200134</v>
      </c>
      <c r="B5" t="s">
        <v>8</v>
      </c>
      <c r="C5">
        <v>70</v>
      </c>
      <c r="D5">
        <v>52</v>
      </c>
      <c r="E5">
        <v>76</v>
      </c>
      <c r="F5">
        <v>90</v>
      </c>
      <c r="G5">
        <v>77.599999999999994</v>
      </c>
    </row>
    <row r="6" spans="1:7">
      <c r="A6">
        <v>200118</v>
      </c>
      <c r="B6" t="s">
        <v>9</v>
      </c>
      <c r="C6">
        <v>70</v>
      </c>
      <c r="D6">
        <v>64</v>
      </c>
      <c r="E6">
        <v>56</v>
      </c>
      <c r="F6">
        <v>90</v>
      </c>
      <c r="G6">
        <v>76</v>
      </c>
    </row>
    <row r="7" spans="1:7">
      <c r="A7">
        <v>200125</v>
      </c>
      <c r="B7" t="s">
        <v>10</v>
      </c>
      <c r="C7">
        <v>70</v>
      </c>
      <c r="D7">
        <v>52</v>
      </c>
      <c r="E7">
        <v>68</v>
      </c>
      <c r="F7">
        <v>80</v>
      </c>
      <c r="G7">
        <v>72</v>
      </c>
    </row>
    <row r="8" spans="1:7">
      <c r="A8">
        <v>200115</v>
      </c>
      <c r="B8" t="s">
        <v>11</v>
      </c>
      <c r="C8">
        <v>70</v>
      </c>
      <c r="D8">
        <v>52</v>
      </c>
      <c r="E8">
        <v>48</v>
      </c>
      <c r="F8">
        <v>0</v>
      </c>
      <c r="G8">
        <v>54</v>
      </c>
    </row>
    <row r="9" spans="1:7">
      <c r="A9">
        <v>200101</v>
      </c>
      <c r="B9" t="s">
        <v>12</v>
      </c>
      <c r="C9">
        <v>50</v>
      </c>
      <c r="D9">
        <v>0</v>
      </c>
      <c r="E9">
        <v>0</v>
      </c>
      <c r="F9">
        <v>90</v>
      </c>
      <c r="G9">
        <v>44</v>
      </c>
    </row>
    <row r="10" spans="1:7">
      <c r="A10">
        <v>200106</v>
      </c>
      <c r="B10" t="s">
        <v>13</v>
      </c>
      <c r="C10">
        <v>50</v>
      </c>
      <c r="D10">
        <v>40</v>
      </c>
      <c r="E10">
        <v>28</v>
      </c>
      <c r="F10">
        <v>0</v>
      </c>
      <c r="G10">
        <v>41.6</v>
      </c>
    </row>
    <row r="11" spans="1:7">
      <c r="A11">
        <v>200104</v>
      </c>
      <c r="B11" t="s">
        <v>14</v>
      </c>
      <c r="C11">
        <v>10</v>
      </c>
      <c r="D11">
        <v>0</v>
      </c>
      <c r="E11">
        <v>0</v>
      </c>
      <c r="F11">
        <v>90</v>
      </c>
      <c r="G11">
        <v>34</v>
      </c>
    </row>
    <row r="12" spans="1:7">
      <c r="A12">
        <v>200102</v>
      </c>
      <c r="B12" t="s">
        <v>15</v>
      </c>
      <c r="C12">
        <v>0</v>
      </c>
      <c r="D12">
        <v>0</v>
      </c>
      <c r="E12">
        <v>0</v>
      </c>
      <c r="F12">
        <v>0</v>
      </c>
      <c r="G12">
        <v>16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workbookViewId="0"/>
  </sheetViews>
  <sheetFormatPr defaultRowHeight="16.5"/>
  <cols>
    <col min="4" max="4" width="13.625" bestFit="1" customWidth="1"/>
  </cols>
  <sheetData>
    <row r="1" spans="1:7">
      <c r="A1" s="1" t="s">
        <v>16</v>
      </c>
      <c r="B1" s="1"/>
      <c r="C1" s="1"/>
      <c r="D1" s="1"/>
      <c r="E1" s="1"/>
      <c r="F1" s="1"/>
      <c r="G1" s="1"/>
    </row>
    <row r="2" spans="1:7" ht="20.25">
      <c r="A2" s="61" t="s">
        <v>17</v>
      </c>
      <c r="B2" s="61"/>
      <c r="C2" s="61"/>
      <c r="D2" s="61"/>
      <c r="E2" s="61"/>
      <c r="F2" s="61"/>
      <c r="G2" s="61"/>
    </row>
    <row r="3" spans="1:7">
      <c r="A3" s="1"/>
      <c r="B3" s="1"/>
      <c r="C3" s="1"/>
      <c r="D3" s="1"/>
      <c r="E3" s="1"/>
      <c r="F3" s="1"/>
      <c r="G3" s="1"/>
    </row>
    <row r="4" spans="1:7">
      <c r="A4" s="2" t="s">
        <v>18</v>
      </c>
      <c r="B4" s="2" t="s">
        <v>19</v>
      </c>
      <c r="C4" s="2" t="s">
        <v>20</v>
      </c>
      <c r="D4" s="2" t="s">
        <v>21</v>
      </c>
      <c r="E4" s="2" t="s">
        <v>22</v>
      </c>
      <c r="F4" s="2" t="s">
        <v>23</v>
      </c>
      <c r="G4" s="2" t="s">
        <v>24</v>
      </c>
    </row>
    <row r="5" spans="1:7">
      <c r="A5" s="2" t="s">
        <v>25</v>
      </c>
      <c r="B5" s="2" t="s">
        <v>26</v>
      </c>
      <c r="C5" s="2">
        <v>85</v>
      </c>
      <c r="D5" s="2">
        <v>60</v>
      </c>
      <c r="E5" s="2">
        <v>90</v>
      </c>
      <c r="F5" s="2">
        <v>78.3</v>
      </c>
      <c r="G5" s="2" t="s">
        <v>27</v>
      </c>
    </row>
    <row r="6" spans="1:7">
      <c r="A6" s="2" t="s">
        <v>28</v>
      </c>
      <c r="B6" s="2" t="s">
        <v>29</v>
      </c>
      <c r="C6" s="2">
        <v>75</v>
      </c>
      <c r="D6" s="2">
        <v>80</v>
      </c>
      <c r="E6" s="2">
        <v>90</v>
      </c>
      <c r="F6" s="2">
        <v>81.7</v>
      </c>
      <c r="G6" s="2" t="s">
        <v>27</v>
      </c>
    </row>
    <row r="7" spans="1:7">
      <c r="A7" s="2" t="s">
        <v>30</v>
      </c>
      <c r="B7" s="2" t="s">
        <v>31</v>
      </c>
      <c r="C7" s="2">
        <v>90</v>
      </c>
      <c r="D7" s="2">
        <v>40</v>
      </c>
      <c r="E7" s="2">
        <v>80</v>
      </c>
      <c r="F7" s="2">
        <v>70</v>
      </c>
      <c r="G7" s="2" t="s">
        <v>32</v>
      </c>
    </row>
    <row r="8" spans="1:7">
      <c r="A8" s="2" t="s">
        <v>33</v>
      </c>
      <c r="B8" s="2" t="s">
        <v>29</v>
      </c>
      <c r="C8" s="2">
        <v>80</v>
      </c>
      <c r="D8" s="2">
        <v>80</v>
      </c>
      <c r="E8" s="2">
        <v>70</v>
      </c>
      <c r="F8" s="53">
        <v>76.7</v>
      </c>
      <c r="G8" s="2" t="s">
        <v>27</v>
      </c>
    </row>
    <row r="9" spans="1:7">
      <c r="A9" s="2" t="s">
        <v>34</v>
      </c>
      <c r="B9" s="2" t="s">
        <v>35</v>
      </c>
      <c r="C9" s="2">
        <v>85</v>
      </c>
      <c r="D9" s="2">
        <v>100</v>
      </c>
      <c r="E9" s="2">
        <v>80</v>
      </c>
      <c r="F9" s="2">
        <v>88.3</v>
      </c>
      <c r="G9" s="2" t="s">
        <v>27</v>
      </c>
    </row>
    <row r="10" spans="1:7">
      <c r="A10" s="2" t="s">
        <v>36</v>
      </c>
      <c r="B10" s="2" t="s">
        <v>37</v>
      </c>
      <c r="C10" s="2">
        <v>90</v>
      </c>
      <c r="D10" s="2">
        <v>60</v>
      </c>
      <c r="E10" s="2">
        <v>90</v>
      </c>
      <c r="F10" s="2">
        <v>80</v>
      </c>
      <c r="G10" s="2" t="s">
        <v>27</v>
      </c>
    </row>
    <row r="11" spans="1:7">
      <c r="A11" s="2" t="s">
        <v>38</v>
      </c>
      <c r="B11" s="2" t="s">
        <v>31</v>
      </c>
      <c r="C11" s="2">
        <v>60</v>
      </c>
      <c r="D11" s="2">
        <v>60</v>
      </c>
      <c r="E11" s="2">
        <v>80</v>
      </c>
      <c r="F11" s="2">
        <v>66.7</v>
      </c>
      <c r="G11" s="2" t="s">
        <v>32</v>
      </c>
    </row>
    <row r="12" spans="1:7">
      <c r="A12" s="2" t="s">
        <v>39</v>
      </c>
      <c r="B12" s="2" t="s">
        <v>26</v>
      </c>
      <c r="C12" s="2">
        <v>95</v>
      </c>
      <c r="D12" s="2">
        <v>80</v>
      </c>
      <c r="E12" s="2">
        <v>90</v>
      </c>
      <c r="F12" s="2">
        <v>88.3</v>
      </c>
      <c r="G12" s="2" t="s">
        <v>27</v>
      </c>
    </row>
    <row r="13" spans="1:7">
      <c r="A13" s="2" t="s">
        <v>40</v>
      </c>
      <c r="B13" s="2" t="s">
        <v>37</v>
      </c>
      <c r="C13" s="2">
        <v>65</v>
      </c>
      <c r="D13" s="2">
        <v>80</v>
      </c>
      <c r="E13" s="2">
        <v>90</v>
      </c>
      <c r="F13" s="2">
        <v>78.3</v>
      </c>
      <c r="G13" s="2" t="s">
        <v>27</v>
      </c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 t="s">
        <v>41</v>
      </c>
      <c r="B16" s="1"/>
      <c r="C16" s="1"/>
      <c r="D16" s="1"/>
      <c r="E16" s="1"/>
      <c r="F16" s="1"/>
      <c r="G16" s="1"/>
    </row>
    <row r="17" spans="1:7" ht="17.25">
      <c r="A17" s="1"/>
      <c r="B17" s="1"/>
      <c r="C17" s="3" t="s">
        <v>42</v>
      </c>
      <c r="D17" s="1"/>
      <c r="E17" s="1"/>
      <c r="F17" s="1"/>
      <c r="G17" s="1"/>
    </row>
    <row r="18" spans="1:7">
      <c r="A18" s="4" t="s">
        <v>43</v>
      </c>
      <c r="B18" s="5" t="s">
        <v>44</v>
      </c>
      <c r="C18" s="5" t="s">
        <v>45</v>
      </c>
      <c r="D18" s="5" t="s">
        <v>46</v>
      </c>
      <c r="E18" s="6" t="s">
        <v>47</v>
      </c>
      <c r="F18" s="1"/>
      <c r="G18" s="1"/>
    </row>
    <row r="19" spans="1:7">
      <c r="A19" s="7" t="s">
        <v>48</v>
      </c>
      <c r="B19" s="8" t="s">
        <v>49</v>
      </c>
      <c r="C19" s="8" t="s">
        <v>50</v>
      </c>
      <c r="D19" s="9" t="s">
        <v>51</v>
      </c>
      <c r="E19" s="10">
        <v>98</v>
      </c>
      <c r="F19" s="1"/>
      <c r="G19" s="1"/>
    </row>
    <row r="20" spans="1:7">
      <c r="A20" s="7" t="s">
        <v>52</v>
      </c>
      <c r="B20" s="8" t="s">
        <v>49</v>
      </c>
      <c r="C20" s="8" t="s">
        <v>53</v>
      </c>
      <c r="D20" s="9" t="s">
        <v>51</v>
      </c>
      <c r="E20" s="10">
        <v>98</v>
      </c>
      <c r="F20" s="1"/>
      <c r="G20" s="1"/>
    </row>
    <row r="21" spans="1:7">
      <c r="A21" s="7" t="s">
        <v>48</v>
      </c>
      <c r="B21" s="8" t="s">
        <v>49</v>
      </c>
      <c r="C21" s="8" t="s">
        <v>54</v>
      </c>
      <c r="D21" s="9" t="s">
        <v>51</v>
      </c>
      <c r="E21" s="10">
        <v>78</v>
      </c>
      <c r="F21" s="1"/>
      <c r="G21" s="1"/>
    </row>
    <row r="22" spans="1:7">
      <c r="A22" s="7" t="s">
        <v>52</v>
      </c>
      <c r="B22" s="8" t="s">
        <v>55</v>
      </c>
      <c r="C22" s="8" t="s">
        <v>56</v>
      </c>
      <c r="D22" s="9" t="s">
        <v>57</v>
      </c>
      <c r="E22" s="11">
        <v>69</v>
      </c>
      <c r="F22" s="1"/>
      <c r="G22" s="1"/>
    </row>
    <row r="23" spans="1:7">
      <c r="A23" s="7" t="s">
        <v>52</v>
      </c>
      <c r="B23" s="8" t="s">
        <v>55</v>
      </c>
      <c r="C23" s="8" t="s">
        <v>58</v>
      </c>
      <c r="D23" s="9" t="s">
        <v>59</v>
      </c>
      <c r="E23" s="11">
        <v>88</v>
      </c>
      <c r="F23" s="1"/>
      <c r="G23" s="1"/>
    </row>
    <row r="24" spans="1:7">
      <c r="A24" s="7" t="s">
        <v>60</v>
      </c>
      <c r="B24" s="8" t="s">
        <v>55</v>
      </c>
      <c r="C24" s="8" t="s">
        <v>61</v>
      </c>
      <c r="D24" s="9" t="s">
        <v>59</v>
      </c>
      <c r="E24" s="11">
        <v>79</v>
      </c>
      <c r="F24" s="1"/>
      <c r="G24" s="1"/>
    </row>
    <row r="25" spans="1:7">
      <c r="A25" s="7" t="s">
        <v>48</v>
      </c>
      <c r="B25" s="8" t="s">
        <v>49</v>
      </c>
      <c r="C25" s="8" t="s">
        <v>62</v>
      </c>
      <c r="D25" s="9" t="s">
        <v>63</v>
      </c>
      <c r="E25" s="11">
        <v>86</v>
      </c>
      <c r="F25" s="1"/>
      <c r="G25" s="1"/>
    </row>
    <row r="26" spans="1:7">
      <c r="A26" s="7" t="s">
        <v>48</v>
      </c>
      <c r="B26" s="8" t="s">
        <v>64</v>
      </c>
      <c r="C26" s="8" t="s">
        <v>65</v>
      </c>
      <c r="D26" s="9" t="s">
        <v>66</v>
      </c>
      <c r="E26" s="11">
        <v>85</v>
      </c>
      <c r="F26" s="1"/>
      <c r="G26" s="1"/>
    </row>
    <row r="27" spans="1:7">
      <c r="A27" s="7" t="s">
        <v>52</v>
      </c>
      <c r="B27" s="8" t="s">
        <v>64</v>
      </c>
      <c r="C27" s="8" t="s">
        <v>67</v>
      </c>
      <c r="D27" s="9" t="s">
        <v>68</v>
      </c>
      <c r="E27" s="11">
        <v>93</v>
      </c>
      <c r="F27" s="1"/>
      <c r="G27" s="1"/>
    </row>
    <row r="28" spans="1:7">
      <c r="A28" s="7" t="s">
        <v>48</v>
      </c>
      <c r="B28" s="8" t="s">
        <v>64</v>
      </c>
      <c r="C28" s="8" t="s">
        <v>69</v>
      </c>
      <c r="D28" s="9" t="s">
        <v>70</v>
      </c>
      <c r="E28" s="11">
        <v>95</v>
      </c>
      <c r="F28" s="1"/>
      <c r="G28" s="1"/>
    </row>
    <row r="31" spans="1:7">
      <c r="A31" s="5" t="s">
        <v>44</v>
      </c>
      <c r="B31" s="5" t="s">
        <v>45</v>
      </c>
      <c r="C31" s="5" t="s">
        <v>46</v>
      </c>
    </row>
    <row r="32" spans="1:7">
      <c r="A32" t="s">
        <v>71</v>
      </c>
    </row>
    <row r="33" spans="1:3">
      <c r="B33" t="s">
        <v>72</v>
      </c>
    </row>
    <row r="34" spans="1:3">
      <c r="C34" t="s">
        <v>73</v>
      </c>
    </row>
    <row r="36" spans="1:3">
      <c r="A36" s="5" t="s">
        <v>44</v>
      </c>
      <c r="B36" s="5" t="s">
        <v>45</v>
      </c>
      <c r="C36" s="6" t="s">
        <v>47</v>
      </c>
    </row>
    <row r="37" spans="1:3">
      <c r="A37" s="8" t="s">
        <v>49</v>
      </c>
      <c r="B37" s="8" t="s">
        <v>50</v>
      </c>
      <c r="C37" s="10">
        <v>98</v>
      </c>
    </row>
    <row r="38" spans="1:3">
      <c r="A38" s="8" t="s">
        <v>49</v>
      </c>
      <c r="B38" s="8" t="s">
        <v>53</v>
      </c>
      <c r="C38" s="10">
        <v>98</v>
      </c>
    </row>
    <row r="39" spans="1:3">
      <c r="A39" s="8" t="s">
        <v>49</v>
      </c>
      <c r="B39" s="8" t="s">
        <v>54</v>
      </c>
      <c r="C39" s="10">
        <v>78</v>
      </c>
    </row>
    <row r="40" spans="1:3">
      <c r="A40" s="8" t="s">
        <v>55</v>
      </c>
      <c r="B40" s="8" t="s">
        <v>56</v>
      </c>
      <c r="C40" s="11">
        <v>69</v>
      </c>
    </row>
    <row r="41" spans="1:3">
      <c r="A41" s="8" t="s">
        <v>49</v>
      </c>
      <c r="B41" s="8" t="s">
        <v>62</v>
      </c>
      <c r="C41" s="11">
        <v>86</v>
      </c>
    </row>
  </sheetData>
  <mergeCells count="1">
    <mergeCell ref="A2:G2"/>
  </mergeCells>
  <phoneticPr fontId="3" type="noConversion"/>
  <conditionalFormatting sqref="C5:C13 E5:E13">
    <cfRule type="expression" dxfId="0" priority="1">
      <formula>AND($C5&gt;=90, $E5&gt;=85)</formula>
    </cfRule>
  </conditionalFormatting>
  <printOptions horizontalCentered="1" gridLines="1"/>
  <pageMargins left="0.70866141732283472" right="0.70866141732283472" top="1.5354330708661419" bottom="0.74803149606299213" header="0.31496062992125984" footer="0.31496062992125984"/>
  <pageSetup paperSize="9" orientation="portrait" verticalDpi="0" r:id="rId1"/>
  <headerFooter>
    <oddHeader>&amp;L작성일자 : 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38"/>
  <sheetViews>
    <sheetView workbookViewId="0"/>
  </sheetViews>
  <sheetFormatPr defaultRowHeight="16.5"/>
  <cols>
    <col min="1" max="1" width="11.125" style="1" bestFit="1" customWidth="1"/>
    <col min="2" max="2" width="12.75" style="1" customWidth="1"/>
    <col min="3" max="3" width="13.25" style="1" customWidth="1"/>
    <col min="4" max="4" width="13" style="1" bestFit="1" customWidth="1"/>
    <col min="5" max="5" width="14.375" style="1" bestFit="1" customWidth="1"/>
    <col min="6" max="7" width="13" style="1" bestFit="1" customWidth="1"/>
    <col min="8" max="8" width="12.75" style="1" bestFit="1" customWidth="1"/>
    <col min="9" max="10" width="14" style="1" bestFit="1" customWidth="1"/>
    <col min="11" max="16384" width="9" style="1"/>
  </cols>
  <sheetData>
    <row r="1" spans="1:10">
      <c r="A1" s="1" t="s">
        <v>74</v>
      </c>
      <c r="D1" s="1" t="s">
        <v>75</v>
      </c>
    </row>
    <row r="2" spans="1:10">
      <c r="A2" s="2" t="s">
        <v>76</v>
      </c>
      <c r="B2" s="12" t="s">
        <v>77</v>
      </c>
      <c r="C2" s="13"/>
      <c r="D2" s="62" t="s">
        <v>78</v>
      </c>
      <c r="E2" s="63" t="s">
        <v>79</v>
      </c>
      <c r="F2" s="63"/>
      <c r="G2" s="63"/>
    </row>
    <row r="3" spans="1:10">
      <c r="A3" s="14" t="s">
        <v>80</v>
      </c>
      <c r="B3" s="15">
        <f t="array" ref="B3">SUM(($C$9:$C$17=A3)*$D$9:$D$17)</f>
        <v>8750000</v>
      </c>
      <c r="C3" s="16"/>
      <c r="D3" s="62"/>
      <c r="E3" s="12" t="s">
        <v>81</v>
      </c>
      <c r="F3" s="12" t="s">
        <v>82</v>
      </c>
      <c r="G3" s="12" t="s">
        <v>83</v>
      </c>
    </row>
    <row r="4" spans="1:10">
      <c r="A4" s="14" t="s">
        <v>84</v>
      </c>
      <c r="B4" s="15">
        <f t="array" ref="B4">SUM(($C$9:$C$17=A4)*$D$9:$D$17)</f>
        <v>4450000</v>
      </c>
      <c r="C4" s="16"/>
      <c r="D4" s="12" t="s">
        <v>80</v>
      </c>
      <c r="E4" s="15">
        <f t="array" ref="E4">MAX(($C$9:$C$17=$D4)*(RIGHT($B$9:$B$17,2)=E$3)*$D$9:$D$17)</f>
        <v>1550000</v>
      </c>
      <c r="F4" s="15">
        <f t="array" ref="F4">MAX(($C$9:$C$17=$D4)*(RIGHT($B$9:$B$17,2)=F$3)*$D$9:$D$17)</f>
        <v>2150000</v>
      </c>
      <c r="G4" s="15">
        <f t="array" ref="G4">MAX(($C$9:$C$17=$D4)*(RIGHT($B$9:$B$17,2)=G$3)*$D$9:$D$17)</f>
        <v>2750000</v>
      </c>
    </row>
    <row r="5" spans="1:10">
      <c r="A5" s="14" t="s">
        <v>85</v>
      </c>
      <c r="B5" s="15">
        <f t="array" ref="B5">SUM(($C$9:$C$17=A5)*$D$9:$D$17)</f>
        <v>3870000</v>
      </c>
      <c r="C5" s="16"/>
      <c r="D5" s="12" t="s">
        <v>84</v>
      </c>
      <c r="E5" s="15">
        <f t="array" ref="E5">MAX(($C$9:$C$17=$D5)*(RIGHT($B$9:$B$17,2)=E$3)*$D$9:$D$17)</f>
        <v>1250000</v>
      </c>
      <c r="F5" s="15">
        <f t="array" ref="F5">MAX(($C$9:$C$17=$D5)*(RIGHT($B$9:$B$17,2)=F$3)*$D$9:$D$17)</f>
        <v>1970000</v>
      </c>
      <c r="G5" s="15">
        <f t="array" ref="G5">MAX(($C$9:$C$17=$D5)*(RIGHT($B$9:$B$17,2)=G$3)*$D$9:$D$17)</f>
        <v>1230000</v>
      </c>
    </row>
    <row r="6" spans="1:10">
      <c r="D6" s="12" t="s">
        <v>85</v>
      </c>
      <c r="E6" s="15">
        <f t="array" ref="E6">MAX(($C$9:$C$17=$D6)*(RIGHT($B$9:$B$17,2)=E$3)*$D$9:$D$17)</f>
        <v>1560000</v>
      </c>
      <c r="F6" s="15">
        <f t="array" ref="F6">MAX(($C$9:$C$17=$D6)*(RIGHT($B$9:$B$17,2)=F$3)*$D$9:$D$17)</f>
        <v>2310000</v>
      </c>
      <c r="G6" s="15">
        <f t="array" ref="G6">MAX(($C$9:$C$17=$D6)*(RIGHT($B$9:$B$17,2)=G$3)*$D$9:$D$17)</f>
        <v>0</v>
      </c>
    </row>
    <row r="7" spans="1:10">
      <c r="A7" s="1" t="s">
        <v>86</v>
      </c>
    </row>
    <row r="8" spans="1:10">
      <c r="A8" s="14" t="s">
        <v>87</v>
      </c>
      <c r="B8" s="14" t="s">
        <v>88</v>
      </c>
      <c r="C8" s="14" t="s">
        <v>89</v>
      </c>
      <c r="D8" s="14" t="s">
        <v>90</v>
      </c>
      <c r="E8" s="14" t="s">
        <v>91</v>
      </c>
      <c r="F8" s="14" t="s">
        <v>92</v>
      </c>
      <c r="G8" s="14" t="s">
        <v>93</v>
      </c>
      <c r="H8" s="17" t="s">
        <v>94</v>
      </c>
      <c r="I8" s="17" t="s">
        <v>95</v>
      </c>
      <c r="J8" s="17" t="s">
        <v>96</v>
      </c>
    </row>
    <row r="9" spans="1:10">
      <c r="A9" s="14" t="s">
        <v>97</v>
      </c>
      <c r="B9" s="14" t="s">
        <v>98</v>
      </c>
      <c r="C9" s="14" t="s">
        <v>99</v>
      </c>
      <c r="D9" s="18">
        <v>1550000</v>
      </c>
      <c r="E9" s="18">
        <v>10000000</v>
      </c>
      <c r="F9" s="19">
        <v>0.1</v>
      </c>
      <c r="G9" s="14">
        <v>3</v>
      </c>
      <c r="H9" s="20">
        <f>PMT(F9/12,G9*12,-E9)</f>
        <v>322671.87193837482</v>
      </c>
      <c r="I9" s="20">
        <f>ROUND(FV(F9/12,G9*12,-D9*0.3),-3)</f>
        <v>19429000</v>
      </c>
      <c r="J9" s="20">
        <f>PV(F9/12,G9*12,-D9*0.3)</f>
        <v>14410924.547176072</v>
      </c>
    </row>
    <row r="10" spans="1:10">
      <c r="A10" s="14" t="s">
        <v>100</v>
      </c>
      <c r="B10" s="14" t="s">
        <v>98</v>
      </c>
      <c r="C10" s="14" t="s">
        <v>101</v>
      </c>
      <c r="D10" s="18">
        <v>1250000</v>
      </c>
      <c r="E10" s="18">
        <v>5000000</v>
      </c>
      <c r="F10" s="19">
        <v>0.1</v>
      </c>
      <c r="G10" s="14">
        <v>1</v>
      </c>
      <c r="H10" s="20">
        <f t="shared" ref="H10:H16" si="0">PMT(F10/12,G10*12,-E10)</f>
        <v>439579.43615004799</v>
      </c>
      <c r="I10" s="20">
        <f t="shared" ref="I10:I16" si="1">ROUND(FV(F10/12,G10*12,-D10*0.3),-3)</f>
        <v>4712000</v>
      </c>
      <c r="J10" s="20">
        <f t="shared" ref="J10:J16" si="2">PV(F10/12,G10*12,-D10*0.3)</f>
        <v>4265440.6594215035</v>
      </c>
    </row>
    <row r="11" spans="1:10">
      <c r="A11" s="14" t="s">
        <v>102</v>
      </c>
      <c r="B11" s="14" t="s">
        <v>103</v>
      </c>
      <c r="C11" s="14" t="s">
        <v>104</v>
      </c>
      <c r="D11" s="18">
        <v>2310000</v>
      </c>
      <c r="E11" s="18">
        <v>40000000</v>
      </c>
      <c r="F11" s="19">
        <v>0.1</v>
      </c>
      <c r="G11" s="14">
        <v>5</v>
      </c>
      <c r="H11" s="20">
        <f t="shared" si="0"/>
        <v>849881.78845073108</v>
      </c>
      <c r="I11" s="20">
        <f t="shared" si="1"/>
        <v>53664000</v>
      </c>
      <c r="J11" s="20">
        <f t="shared" si="2"/>
        <v>32616300.733460039</v>
      </c>
    </row>
    <row r="12" spans="1:10">
      <c r="A12" s="14" t="s">
        <v>105</v>
      </c>
      <c r="B12" s="14" t="s">
        <v>98</v>
      </c>
      <c r="C12" s="14" t="s">
        <v>104</v>
      </c>
      <c r="D12" s="18">
        <v>1560000</v>
      </c>
      <c r="E12" s="18">
        <v>20000000</v>
      </c>
      <c r="F12" s="19">
        <v>0.1</v>
      </c>
      <c r="G12" s="14">
        <v>3</v>
      </c>
      <c r="H12" s="20">
        <f t="shared" si="0"/>
        <v>645343.74387674965</v>
      </c>
      <c r="I12" s="20">
        <f t="shared" si="1"/>
        <v>19554000</v>
      </c>
      <c r="J12" s="20">
        <f t="shared" si="2"/>
        <v>14503898.253932048</v>
      </c>
    </row>
    <row r="13" spans="1:10">
      <c r="A13" s="14" t="s">
        <v>106</v>
      </c>
      <c r="B13" s="14" t="s">
        <v>107</v>
      </c>
      <c r="C13" s="14" t="s">
        <v>99</v>
      </c>
      <c r="D13" s="18">
        <v>2300000</v>
      </c>
      <c r="E13" s="18">
        <v>50000000</v>
      </c>
      <c r="F13" s="19">
        <v>0.1</v>
      </c>
      <c r="G13" s="14">
        <v>5</v>
      </c>
      <c r="H13" s="20">
        <f t="shared" si="0"/>
        <v>1062352.2355634137</v>
      </c>
      <c r="I13" s="20">
        <f t="shared" si="1"/>
        <v>53432000</v>
      </c>
      <c r="J13" s="20">
        <f t="shared" si="2"/>
        <v>32475104.626388781</v>
      </c>
    </row>
    <row r="14" spans="1:10">
      <c r="A14" s="14" t="s">
        <v>108</v>
      </c>
      <c r="B14" s="14" t="s">
        <v>107</v>
      </c>
      <c r="C14" s="14" t="s">
        <v>101</v>
      </c>
      <c r="D14" s="18">
        <v>1230000</v>
      </c>
      <c r="E14" s="18">
        <v>3000000</v>
      </c>
      <c r="F14" s="19">
        <v>0.1</v>
      </c>
      <c r="G14" s="14">
        <v>1</v>
      </c>
      <c r="H14" s="20">
        <f t="shared" si="0"/>
        <v>263747.66169002879</v>
      </c>
      <c r="I14" s="20">
        <f t="shared" si="1"/>
        <v>4637000</v>
      </c>
      <c r="J14" s="20">
        <f t="shared" si="2"/>
        <v>4197193.6088707596</v>
      </c>
    </row>
    <row r="15" spans="1:10">
      <c r="A15" s="14" t="s">
        <v>109</v>
      </c>
      <c r="B15" s="14" t="s">
        <v>103</v>
      </c>
      <c r="C15" s="14" t="s">
        <v>99</v>
      </c>
      <c r="D15" s="18">
        <v>2150000</v>
      </c>
      <c r="E15" s="18">
        <v>20000000</v>
      </c>
      <c r="F15" s="19">
        <v>0.1</v>
      </c>
      <c r="G15" s="14">
        <v>3</v>
      </c>
      <c r="H15" s="20">
        <f t="shared" si="0"/>
        <v>645343.74387674965</v>
      </c>
      <c r="I15" s="20">
        <f t="shared" si="1"/>
        <v>26949000</v>
      </c>
      <c r="J15" s="20">
        <f t="shared" si="2"/>
        <v>19989346.952534553</v>
      </c>
    </row>
    <row r="16" spans="1:10">
      <c r="A16" s="14" t="s">
        <v>110</v>
      </c>
      <c r="B16" s="14" t="s">
        <v>103</v>
      </c>
      <c r="C16" s="14" t="s">
        <v>101</v>
      </c>
      <c r="D16" s="18">
        <v>1970000</v>
      </c>
      <c r="E16" s="18">
        <v>70000000</v>
      </c>
      <c r="F16" s="19">
        <v>0.1</v>
      </c>
      <c r="G16" s="14">
        <v>7</v>
      </c>
      <c r="H16" s="20">
        <f t="shared" si="0"/>
        <v>1162082.8818820135</v>
      </c>
      <c r="I16" s="20">
        <f t="shared" si="1"/>
        <v>71482000</v>
      </c>
      <c r="J16" s="20">
        <f t="shared" si="2"/>
        <v>35599870.409415573</v>
      </c>
    </row>
    <row r="17" spans="1:10">
      <c r="A17" s="14" t="s">
        <v>111</v>
      </c>
      <c r="B17" s="14" t="s">
        <v>107</v>
      </c>
      <c r="C17" s="14" t="s">
        <v>80</v>
      </c>
      <c r="D17" s="18">
        <v>2750000</v>
      </c>
      <c r="E17" s="18">
        <v>50000000</v>
      </c>
      <c r="F17" s="19">
        <v>0.1</v>
      </c>
      <c r="G17" s="14">
        <v>5</v>
      </c>
      <c r="H17" s="20">
        <f>PMT(F17/12,G17*12,-E17)</f>
        <v>1062352.2355634137</v>
      </c>
      <c r="I17" s="20">
        <f>ROUND(FV(F17/12,G17*12,-D17*0.3),-3)</f>
        <v>63886000</v>
      </c>
      <c r="J17" s="20">
        <f>PV(F17/12,G17*12,-D17*0.3)</f>
        <v>38828929.444595285</v>
      </c>
    </row>
    <row r="19" spans="1:10">
      <c r="A19" s="1" t="s">
        <v>112</v>
      </c>
    </row>
    <row r="20" spans="1:10">
      <c r="A20" s="2" t="s">
        <v>113</v>
      </c>
      <c r="B20" s="2" t="s">
        <v>114</v>
      </c>
      <c r="C20" s="2" t="s">
        <v>115</v>
      </c>
      <c r="D20" s="21" t="s">
        <v>116</v>
      </c>
      <c r="E20" s="12" t="s">
        <v>117</v>
      </c>
      <c r="F20" s="12" t="s">
        <v>118</v>
      </c>
    </row>
    <row r="21" spans="1:10">
      <c r="A21" s="2" t="s">
        <v>119</v>
      </c>
      <c r="B21" s="22">
        <v>42430</v>
      </c>
      <c r="C21" s="2">
        <v>178</v>
      </c>
      <c r="D21" s="14">
        <v>72</v>
      </c>
      <c r="E21" s="23">
        <f t="array" aca="1" ref="E21" ca="1">IF(YEAR(TODAY())-YEAR(B21)&gt;=12,150000,50000)</f>
        <v>50000</v>
      </c>
      <c r="F21" s="14">
        <f>fn표준몸무게(C21)</f>
        <v>70</v>
      </c>
    </row>
    <row r="22" spans="1:10">
      <c r="A22" s="2" t="s">
        <v>120</v>
      </c>
      <c r="B22" s="22">
        <v>37257</v>
      </c>
      <c r="C22" s="2">
        <v>163</v>
      </c>
      <c r="D22" s="14">
        <v>52</v>
      </c>
      <c r="E22" s="23">
        <f t="array" aca="1" ref="E22" ca="1">IF(YEAR(TODAY())-YEAR(B22)&gt;=12,150000,50000)</f>
        <v>150000</v>
      </c>
      <c r="F22" s="14">
        <f t="shared" ref="F22:F27" si="3">fn표준몸무게(C22)</f>
        <v>57</v>
      </c>
      <c r="H22" s="1" t="str">
        <f>REPT("*",0.9)</f>
        <v/>
      </c>
    </row>
    <row r="23" spans="1:10">
      <c r="A23" s="2" t="s">
        <v>121</v>
      </c>
      <c r="B23" s="22">
        <v>37257</v>
      </c>
      <c r="C23" s="2">
        <v>160</v>
      </c>
      <c r="D23" s="14">
        <v>49</v>
      </c>
      <c r="E23" s="23">
        <f t="array" aca="1" ref="E23" ca="1">IF(YEAR(TODAY())-YEAR(B23)&gt;=12,150000,50000)</f>
        <v>150000</v>
      </c>
      <c r="F23" s="14">
        <f t="shared" si="3"/>
        <v>54</v>
      </c>
    </row>
    <row r="24" spans="1:10">
      <c r="A24" s="2" t="s">
        <v>122</v>
      </c>
      <c r="B24" s="22">
        <v>37987</v>
      </c>
      <c r="C24" s="2">
        <v>172</v>
      </c>
      <c r="D24" s="14">
        <v>58</v>
      </c>
      <c r="E24" s="23">
        <f t="array" aca="1" ref="E24" ca="1">IF(YEAR(TODAY())-YEAR(B24)&gt;=12,150000,50000)</f>
        <v>150000</v>
      </c>
      <c r="F24" s="14">
        <f t="shared" si="3"/>
        <v>65</v>
      </c>
    </row>
    <row r="25" spans="1:10">
      <c r="A25" s="2" t="s">
        <v>123</v>
      </c>
      <c r="B25" s="24">
        <v>42005</v>
      </c>
      <c r="C25" s="2">
        <v>170</v>
      </c>
      <c r="D25" s="14">
        <v>62</v>
      </c>
      <c r="E25" s="23">
        <f t="array" aca="1" ref="E25" ca="1">IF(YEAR(TODAY())-YEAR(B25)&gt;=12,150000,50000)</f>
        <v>50000</v>
      </c>
      <c r="F25" s="14">
        <f t="shared" si="3"/>
        <v>63</v>
      </c>
    </row>
    <row r="26" spans="1:10">
      <c r="A26" s="2" t="s">
        <v>124</v>
      </c>
      <c r="B26" s="24">
        <v>38749</v>
      </c>
      <c r="C26" s="2">
        <v>168</v>
      </c>
      <c r="D26" s="14">
        <v>60</v>
      </c>
      <c r="E26" s="23">
        <f t="array" aca="1" ref="E26" ca="1">IF(YEAR(TODAY())-YEAR(B26)&gt;=12,150000,50000)</f>
        <v>150000</v>
      </c>
      <c r="F26" s="14">
        <f t="shared" si="3"/>
        <v>61</v>
      </c>
    </row>
    <row r="27" spans="1:10">
      <c r="A27" s="2" t="s">
        <v>125</v>
      </c>
      <c r="B27" s="24">
        <v>39845</v>
      </c>
      <c r="C27" s="2">
        <v>160</v>
      </c>
      <c r="D27" s="14">
        <v>58</v>
      </c>
      <c r="E27" s="23">
        <f t="array" aca="1" ref="E27" ca="1">IF(YEAR(TODAY())-YEAR(B27)&gt;=12,150000,50000)</f>
        <v>50000</v>
      </c>
      <c r="F27" s="14">
        <f t="shared" si="3"/>
        <v>54</v>
      </c>
    </row>
    <row r="28" spans="1:10" ht="14.25" customHeight="1"/>
    <row r="29" spans="1:10">
      <c r="A29" s="25" t="s">
        <v>235</v>
      </c>
    </row>
    <row r="30" spans="1:10">
      <c r="A30" s="54" t="s">
        <v>236</v>
      </c>
      <c r="B30" s="54" t="s">
        <v>237</v>
      </c>
      <c r="C30" s="54" t="s">
        <v>238</v>
      </c>
      <c r="D30" s="54" t="s">
        <v>239</v>
      </c>
      <c r="E30" s="55" t="s">
        <v>240</v>
      </c>
      <c r="F30" s="55" t="s">
        <v>241</v>
      </c>
      <c r="G30" s="56" t="s">
        <v>242</v>
      </c>
    </row>
    <row r="31" spans="1:10">
      <c r="A31" s="54">
        <v>101</v>
      </c>
      <c r="B31" s="54">
        <v>101</v>
      </c>
      <c r="C31" s="54">
        <v>230</v>
      </c>
      <c r="D31" s="57">
        <v>46838</v>
      </c>
      <c r="E31" s="58">
        <v>43701</v>
      </c>
      <c r="F31" s="59">
        <v>549</v>
      </c>
      <c r="G31" s="60" t="str">
        <f t="shared" ref="G31:G38" si="4">TRUNC((C31-F31)/100) &amp; "(" &amp; IFERROR(REPT("▶",(C31-F31)/100),REPT("◁",ABS((C31-F31)/100))) &amp; ")"</f>
        <v>-3(◁◁◁)</v>
      </c>
    </row>
    <row r="32" spans="1:10">
      <c r="A32" s="54">
        <v>102</v>
      </c>
      <c r="B32" s="54">
        <v>103</v>
      </c>
      <c r="C32" s="54">
        <v>415</v>
      </c>
      <c r="D32" s="57">
        <v>143362.5</v>
      </c>
      <c r="E32" s="58">
        <v>43704</v>
      </c>
      <c r="F32" s="59">
        <v>269</v>
      </c>
      <c r="G32" s="60" t="str">
        <f t="shared" si="4"/>
        <v>1(▶)</v>
      </c>
    </row>
    <row r="33" spans="1:7">
      <c r="A33" s="54">
        <v>102</v>
      </c>
      <c r="B33" s="54">
        <v>104</v>
      </c>
      <c r="C33" s="54">
        <v>157</v>
      </c>
      <c r="D33" s="57">
        <v>29860.300000000003</v>
      </c>
      <c r="E33" s="58">
        <v>43695</v>
      </c>
      <c r="F33" s="59">
        <v>223</v>
      </c>
      <c r="G33" s="60" t="str">
        <f t="shared" si="4"/>
        <v>0()</v>
      </c>
    </row>
    <row r="34" spans="1:7">
      <c r="A34" s="54">
        <v>102</v>
      </c>
      <c r="B34" s="54">
        <v>303</v>
      </c>
      <c r="C34" s="54">
        <v>315</v>
      </c>
      <c r="D34" s="57">
        <v>74365.5</v>
      </c>
      <c r="E34" s="58">
        <v>43688</v>
      </c>
      <c r="F34" s="59">
        <v>439</v>
      </c>
      <c r="G34" s="60" t="str">
        <f t="shared" si="4"/>
        <v>-1(◁)</v>
      </c>
    </row>
    <row r="35" spans="1:7">
      <c r="A35" s="54">
        <v>102</v>
      </c>
      <c r="B35" s="55">
        <v>403</v>
      </c>
      <c r="C35" s="54">
        <v>358</v>
      </c>
      <c r="D35" s="57">
        <v>92326.6</v>
      </c>
      <c r="E35" s="58">
        <v>43703</v>
      </c>
      <c r="F35" s="59">
        <v>81</v>
      </c>
      <c r="G35" s="60" t="str">
        <f t="shared" si="4"/>
        <v>2(▶▶)</v>
      </c>
    </row>
    <row r="36" spans="1:7">
      <c r="A36" s="54">
        <v>102</v>
      </c>
      <c r="B36" s="54">
        <v>304</v>
      </c>
      <c r="C36" s="54">
        <v>159</v>
      </c>
      <c r="D36" s="57">
        <v>30236.1</v>
      </c>
      <c r="E36" s="58">
        <v>43708</v>
      </c>
      <c r="F36" s="59">
        <v>443</v>
      </c>
      <c r="G36" s="60" t="str">
        <f t="shared" si="4"/>
        <v>-2(◁◁)</v>
      </c>
    </row>
    <row r="37" spans="1:7">
      <c r="A37" s="54">
        <v>101</v>
      </c>
      <c r="B37" s="55">
        <v>601</v>
      </c>
      <c r="C37" s="54">
        <v>227</v>
      </c>
      <c r="D37" s="57">
        <v>45996.2</v>
      </c>
      <c r="E37" s="58">
        <v>43702</v>
      </c>
      <c r="F37" s="59">
        <v>61</v>
      </c>
      <c r="G37" s="60" t="str">
        <f t="shared" si="4"/>
        <v>1(▶)</v>
      </c>
    </row>
    <row r="38" spans="1:7">
      <c r="A38" s="54">
        <v>101</v>
      </c>
      <c r="B38" s="55">
        <v>602</v>
      </c>
      <c r="C38" s="54">
        <v>569</v>
      </c>
      <c r="D38" s="57">
        <v>187315.5</v>
      </c>
      <c r="E38" s="58">
        <v>43704</v>
      </c>
      <c r="F38" s="59">
        <v>91</v>
      </c>
      <c r="G38" s="60" t="str">
        <f t="shared" si="4"/>
        <v>4(▶▶▶▶)</v>
      </c>
    </row>
  </sheetData>
  <mergeCells count="2">
    <mergeCell ref="D2:D3"/>
    <mergeCell ref="E2:G2"/>
  </mergeCells>
  <phoneticPr fontId="3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43"/>
  <sheetViews>
    <sheetView topLeftCell="I1" workbookViewId="0">
      <selection activeCell="T30" sqref="T30"/>
    </sheetView>
  </sheetViews>
  <sheetFormatPr defaultRowHeight="16.5"/>
  <cols>
    <col min="1" max="1" width="11.25" style="1" customWidth="1"/>
    <col min="2" max="2" width="11" style="1" bestFit="1" customWidth="1"/>
    <col min="3" max="3" width="10.875" style="1" customWidth="1"/>
    <col min="4" max="5" width="9" style="1"/>
    <col min="6" max="7" width="12.125" style="1" customWidth="1"/>
    <col min="8" max="8" width="9" style="1"/>
    <col min="9" max="9" width="31.125" style="1" bestFit="1" customWidth="1"/>
    <col min="10" max="10" width="11" style="1" bestFit="1" customWidth="1"/>
    <col min="11" max="12" width="17.375" style="1" bestFit="1" customWidth="1"/>
    <col min="13" max="13" width="13.125" style="1" customWidth="1"/>
    <col min="14" max="16384" width="9" style="1"/>
  </cols>
  <sheetData>
    <row r="2" spans="1:13">
      <c r="A2" s="44" t="s">
        <v>126</v>
      </c>
      <c r="B2" s="45" t="s">
        <v>127</v>
      </c>
      <c r="C2" s="45" t="s">
        <v>222</v>
      </c>
      <c r="D2" s="45" t="s">
        <v>223</v>
      </c>
      <c r="E2" s="45" t="s">
        <v>224</v>
      </c>
      <c r="F2" s="45" t="s">
        <v>225</v>
      </c>
      <c r="G2" s="46" t="s">
        <v>226</v>
      </c>
      <c r="I2" s="51" t="s">
        <v>126</v>
      </c>
      <c r="J2" s="51" t="s">
        <v>127</v>
      </c>
      <c r="K2" t="s">
        <v>128</v>
      </c>
      <c r="L2" t="s">
        <v>129</v>
      </c>
      <c r="M2" t="s">
        <v>130</v>
      </c>
    </row>
    <row r="3" spans="1:13">
      <c r="A3" s="40">
        <v>42490</v>
      </c>
      <c r="B3" s="41" t="s">
        <v>132</v>
      </c>
      <c r="C3" s="47">
        <v>386000</v>
      </c>
      <c r="D3" s="47">
        <v>463200</v>
      </c>
      <c r="E3" s="47">
        <v>144364</v>
      </c>
      <c r="F3" s="47">
        <v>993564</v>
      </c>
      <c r="G3" s="48">
        <v>5119976</v>
      </c>
      <c r="I3" s="52" t="s">
        <v>227</v>
      </c>
      <c r="J3" t="s">
        <v>131</v>
      </c>
      <c r="K3" s="26">
        <v>1217947.5</v>
      </c>
      <c r="L3" s="26">
        <v>4844359.5</v>
      </c>
      <c r="M3" s="26">
        <v>7252824</v>
      </c>
    </row>
    <row r="4" spans="1:13">
      <c r="A4" s="40">
        <v>42461</v>
      </c>
      <c r="B4" s="41" t="s">
        <v>131</v>
      </c>
      <c r="C4" s="47">
        <v>737280</v>
      </c>
      <c r="D4" s="47">
        <v>884736</v>
      </c>
      <c r="E4" s="47">
        <v>227082.23999999999</v>
      </c>
      <c r="F4" s="47">
        <v>1849098.24</v>
      </c>
      <c r="G4" s="48">
        <v>7975510</v>
      </c>
      <c r="I4"/>
      <c r="J4" t="s">
        <v>132</v>
      </c>
      <c r="K4" s="26">
        <v>670551.42000000004</v>
      </c>
      <c r="L4" s="26">
        <v>3296963.5</v>
      </c>
      <c r="M4" s="26">
        <v>5252824.16</v>
      </c>
    </row>
    <row r="5" spans="1:13">
      <c r="A5" s="40">
        <v>42462</v>
      </c>
      <c r="B5" s="41" t="s">
        <v>132</v>
      </c>
      <c r="C5" s="47">
        <v>332220</v>
      </c>
      <c r="D5" s="47">
        <v>398664</v>
      </c>
      <c r="E5" s="47">
        <v>102323.76</v>
      </c>
      <c r="F5" s="47">
        <v>833207.76</v>
      </c>
      <c r="G5" s="48">
        <v>4959620</v>
      </c>
      <c r="I5" s="52" t="s">
        <v>228</v>
      </c>
      <c r="J5"/>
      <c r="K5" s="26">
        <v>944249.46</v>
      </c>
      <c r="L5" s="26">
        <v>4070661.5</v>
      </c>
      <c r="M5" s="26">
        <v>12505648.16</v>
      </c>
    </row>
    <row r="6" spans="1:13">
      <c r="A6" s="40">
        <v>42463</v>
      </c>
      <c r="B6" s="41" t="s">
        <v>131</v>
      </c>
      <c r="C6" s="47">
        <v>233970</v>
      </c>
      <c r="D6" s="47">
        <v>280764</v>
      </c>
      <c r="E6" s="47">
        <v>72062.759999999995</v>
      </c>
      <c r="F6" s="47">
        <v>586796.76</v>
      </c>
      <c r="G6" s="48">
        <v>1713209</v>
      </c>
      <c r="I6" s="52" t="s">
        <v>229</v>
      </c>
      <c r="J6" t="s">
        <v>132</v>
      </c>
      <c r="K6" s="26">
        <v>1060066.26</v>
      </c>
      <c r="L6" s="26">
        <v>2686478</v>
      </c>
      <c r="M6" s="26">
        <v>3252823.48</v>
      </c>
    </row>
    <row r="7" spans="1:13">
      <c r="A7" s="40">
        <v>42464</v>
      </c>
      <c r="B7" s="41" t="s">
        <v>132</v>
      </c>
      <c r="C7" s="47">
        <v>202510</v>
      </c>
      <c r="D7" s="47">
        <v>243012</v>
      </c>
      <c r="E7" s="47">
        <v>62373.08</v>
      </c>
      <c r="F7" s="47">
        <v>507895.08</v>
      </c>
      <c r="G7" s="48">
        <v>1634307</v>
      </c>
      <c r="I7" s="52" t="s">
        <v>230</v>
      </c>
      <c r="J7"/>
      <c r="K7" s="26">
        <v>1060066.26</v>
      </c>
      <c r="L7" s="26">
        <v>2686478</v>
      </c>
      <c r="M7" s="26">
        <v>3252823.48</v>
      </c>
    </row>
    <row r="8" spans="1:13">
      <c r="A8" s="40">
        <v>42495</v>
      </c>
      <c r="B8" s="41" t="s">
        <v>132</v>
      </c>
      <c r="C8" s="47">
        <v>449190</v>
      </c>
      <c r="D8" s="47">
        <v>539028</v>
      </c>
      <c r="E8" s="47">
        <v>138350.51999999999</v>
      </c>
      <c r="F8" s="47">
        <v>1126568.52</v>
      </c>
      <c r="G8" s="48">
        <v>252980</v>
      </c>
      <c r="I8" s="52" t="s">
        <v>231</v>
      </c>
      <c r="J8" t="s">
        <v>133</v>
      </c>
      <c r="K8" s="26">
        <v>385228.79999999999</v>
      </c>
      <c r="L8" s="26">
        <v>0</v>
      </c>
      <c r="M8" s="26">
        <v>-385228.79999999999</v>
      </c>
    </row>
    <row r="9" spans="1:13">
      <c r="A9" s="40">
        <v>42496</v>
      </c>
      <c r="B9" s="41" t="s">
        <v>131</v>
      </c>
      <c r="C9" s="47">
        <v>493810</v>
      </c>
      <c r="D9" s="47">
        <v>592572</v>
      </c>
      <c r="E9" s="47">
        <v>152093.48000000001</v>
      </c>
      <c r="F9" s="47">
        <v>1238475.48</v>
      </c>
      <c r="G9" s="48">
        <v>364887</v>
      </c>
      <c r="I9"/>
      <c r="J9" t="s">
        <v>134</v>
      </c>
      <c r="K9" s="26">
        <v>447778.32</v>
      </c>
      <c r="L9" s="26">
        <v>532342.5</v>
      </c>
      <c r="M9" s="26">
        <v>169128.36</v>
      </c>
    </row>
    <row r="10" spans="1:13">
      <c r="A10" s="40">
        <v>42497</v>
      </c>
      <c r="B10" s="41" t="s">
        <v>134</v>
      </c>
      <c r="C10" s="47">
        <v>163400</v>
      </c>
      <c r="D10" s="47">
        <v>196080</v>
      </c>
      <c r="E10" s="47">
        <v>50327.199999999997</v>
      </c>
      <c r="F10" s="47">
        <v>409807.2</v>
      </c>
      <c r="G10" s="48">
        <v>536219</v>
      </c>
      <c r="I10"/>
      <c r="J10" t="s">
        <v>135</v>
      </c>
      <c r="K10" s="26">
        <v>408778.92</v>
      </c>
      <c r="L10" s="26">
        <v>0</v>
      </c>
      <c r="M10" s="26">
        <v>-408778.92</v>
      </c>
    </row>
    <row r="11" spans="1:13">
      <c r="A11" s="40">
        <v>42498</v>
      </c>
      <c r="B11" s="41" t="s">
        <v>132</v>
      </c>
      <c r="C11" s="47">
        <v>276840</v>
      </c>
      <c r="D11" s="47">
        <v>332208</v>
      </c>
      <c r="E11" s="47">
        <v>85266.72</v>
      </c>
      <c r="F11" s="47">
        <v>694314.72</v>
      </c>
      <c r="G11" s="48">
        <v>820727</v>
      </c>
      <c r="I11"/>
      <c r="J11" t="s">
        <v>131</v>
      </c>
      <c r="K11" s="26">
        <v>1238475.48</v>
      </c>
      <c r="L11" s="26">
        <v>364887</v>
      </c>
      <c r="M11" s="26">
        <v>-873588.48</v>
      </c>
    </row>
    <row r="12" spans="1:13">
      <c r="A12" s="40">
        <v>42499</v>
      </c>
      <c r="B12" s="41" t="s">
        <v>132</v>
      </c>
      <c r="C12" s="47">
        <v>286560</v>
      </c>
      <c r="D12" s="47">
        <v>343872</v>
      </c>
      <c r="E12" s="47">
        <v>88260.479999999996</v>
      </c>
      <c r="F12" s="47">
        <v>718692.48</v>
      </c>
      <c r="G12" s="48">
        <v>845104</v>
      </c>
      <c r="I12"/>
      <c r="J12" t="s">
        <v>132</v>
      </c>
      <c r="K12" s="26">
        <v>706503.6</v>
      </c>
      <c r="L12" s="26">
        <v>832915.5</v>
      </c>
      <c r="M12" s="26">
        <v>252823.80000000005</v>
      </c>
    </row>
    <row r="13" spans="1:13">
      <c r="A13" s="40">
        <v>42500</v>
      </c>
      <c r="B13" s="41" t="s">
        <v>133</v>
      </c>
      <c r="C13" s="47">
        <v>153600</v>
      </c>
      <c r="D13" s="47">
        <v>184320</v>
      </c>
      <c r="E13" s="47">
        <v>47308.800000000003</v>
      </c>
      <c r="F13" s="47">
        <v>385228.79999999999</v>
      </c>
      <c r="G13" s="48">
        <v>0</v>
      </c>
      <c r="I13" s="52" t="s">
        <v>232</v>
      </c>
      <c r="J13"/>
      <c r="K13" s="26">
        <v>620149.57714285702</v>
      </c>
      <c r="L13" s="26">
        <v>442200.42857142858</v>
      </c>
      <c r="M13" s="26">
        <v>-1245644.0399999991</v>
      </c>
    </row>
    <row r="14" spans="1:13">
      <c r="A14" s="40">
        <v>42501</v>
      </c>
      <c r="B14" s="41" t="s">
        <v>134</v>
      </c>
      <c r="C14" s="47">
        <v>193680</v>
      </c>
      <c r="D14" s="47">
        <v>232416</v>
      </c>
      <c r="E14" s="47">
        <v>59653.440000000002</v>
      </c>
      <c r="F14" s="47">
        <v>485749.44</v>
      </c>
      <c r="G14" s="48">
        <v>528466</v>
      </c>
      <c r="I14" s="52" t="s">
        <v>233</v>
      </c>
      <c r="J14" t="s">
        <v>133</v>
      </c>
      <c r="K14" s="26">
        <v>1167085.26</v>
      </c>
      <c r="L14" s="26">
        <v>943497</v>
      </c>
      <c r="M14" s="26">
        <v>-447176.52</v>
      </c>
    </row>
    <row r="15" spans="1:13">
      <c r="A15" s="40">
        <v>42502</v>
      </c>
      <c r="B15" s="41" t="s">
        <v>135</v>
      </c>
      <c r="C15" s="47">
        <v>162990</v>
      </c>
      <c r="D15" s="47">
        <v>195588</v>
      </c>
      <c r="E15" s="47">
        <v>50200.92</v>
      </c>
      <c r="F15" s="47">
        <v>408778.92</v>
      </c>
      <c r="G15" s="48">
        <v>0</v>
      </c>
      <c r="I15"/>
      <c r="J15" t="s">
        <v>131</v>
      </c>
      <c r="K15" s="26">
        <v>909463.5</v>
      </c>
      <c r="L15" s="26">
        <v>4843129</v>
      </c>
      <c r="M15" s="26">
        <v>7867331</v>
      </c>
    </row>
    <row r="16" spans="1:13">
      <c r="A16" s="40">
        <v>42503</v>
      </c>
      <c r="B16" s="41" t="s">
        <v>131</v>
      </c>
      <c r="C16" s="47">
        <v>353800</v>
      </c>
      <c r="D16" s="47">
        <v>424560</v>
      </c>
      <c r="E16" s="47">
        <v>108970.4</v>
      </c>
      <c r="F16" s="47">
        <v>887330.4</v>
      </c>
      <c r="G16" s="48">
        <v>9686258</v>
      </c>
      <c r="I16"/>
      <c r="J16" t="s">
        <v>132</v>
      </c>
      <c r="K16" s="26">
        <v>688228.64</v>
      </c>
      <c r="L16" s="26">
        <v>1005637.6666666666</v>
      </c>
      <c r="M16" s="26">
        <v>952227.08000000007</v>
      </c>
    </row>
    <row r="17" spans="1:13">
      <c r="A17" s="40">
        <v>42504</v>
      </c>
      <c r="B17" s="41" t="s">
        <v>132</v>
      </c>
      <c r="C17" s="47">
        <v>229920</v>
      </c>
      <c r="D17" s="47">
        <v>275904</v>
      </c>
      <c r="E17" s="47">
        <v>70815.360000000001</v>
      </c>
      <c r="F17" s="47">
        <v>576639.36</v>
      </c>
      <c r="G17" s="48">
        <v>2303051</v>
      </c>
      <c r="I17" s="52" t="s">
        <v>234</v>
      </c>
      <c r="J17"/>
      <c r="K17" s="26">
        <v>888254.77714285708</v>
      </c>
      <c r="L17" s="26">
        <v>2084309.2857142857</v>
      </c>
      <c r="M17" s="26">
        <v>8372381.5600000005</v>
      </c>
    </row>
    <row r="18" spans="1:13">
      <c r="A18" s="40">
        <v>42505</v>
      </c>
      <c r="B18" s="41" t="s">
        <v>132</v>
      </c>
      <c r="C18" s="47">
        <v>199600</v>
      </c>
      <c r="D18" s="47">
        <v>239520</v>
      </c>
      <c r="E18" s="47">
        <v>61476.800000000003</v>
      </c>
      <c r="F18" s="47">
        <v>500596.8</v>
      </c>
      <c r="G18" s="48">
        <v>0</v>
      </c>
      <c r="I18" s="52" t="s">
        <v>136</v>
      </c>
      <c r="J18"/>
      <c r="K18" s="26">
        <v>822798.04200000002</v>
      </c>
      <c r="L18" s="26">
        <v>1967058.5</v>
      </c>
      <c r="M18" s="26">
        <v>22885209.16</v>
      </c>
    </row>
    <row r="19" spans="1:13">
      <c r="A19" s="40">
        <v>42506</v>
      </c>
      <c r="B19" s="41" t="s">
        <v>133</v>
      </c>
      <c r="C19" s="47">
        <v>558900</v>
      </c>
      <c r="D19" s="47">
        <v>670680</v>
      </c>
      <c r="E19" s="47">
        <v>172141.2</v>
      </c>
      <c r="F19" s="47">
        <v>1401721.2</v>
      </c>
      <c r="G19" s="48">
        <v>1128133</v>
      </c>
      <c r="I19"/>
      <c r="J19"/>
      <c r="K19"/>
      <c r="L19"/>
      <c r="M19"/>
    </row>
    <row r="20" spans="1:13">
      <c r="A20" s="40">
        <v>42507</v>
      </c>
      <c r="B20" s="41" t="s">
        <v>131</v>
      </c>
      <c r="C20" s="47">
        <v>371450</v>
      </c>
      <c r="D20" s="47">
        <v>445740</v>
      </c>
      <c r="E20" s="47">
        <v>114406.6</v>
      </c>
      <c r="F20" s="47">
        <v>931596.6</v>
      </c>
      <c r="G20" s="48">
        <v>0</v>
      </c>
      <c r="I20"/>
      <c r="J20"/>
      <c r="K20"/>
      <c r="L20"/>
      <c r="M20"/>
    </row>
    <row r="21" spans="1:13">
      <c r="A21" s="40">
        <v>42508</v>
      </c>
      <c r="B21" s="41" t="s">
        <v>133</v>
      </c>
      <c r="C21" s="47">
        <v>371790</v>
      </c>
      <c r="D21" s="47">
        <v>446148</v>
      </c>
      <c r="E21" s="47">
        <v>114511.32</v>
      </c>
      <c r="F21" s="47">
        <v>932449.32000000007</v>
      </c>
      <c r="G21" s="48">
        <v>758861</v>
      </c>
      <c r="I21"/>
      <c r="J21"/>
      <c r="K21"/>
      <c r="L21"/>
      <c r="M21"/>
    </row>
    <row r="22" spans="1:13">
      <c r="A22" s="42">
        <v>42509</v>
      </c>
      <c r="B22" s="43" t="s">
        <v>132</v>
      </c>
      <c r="C22" s="49">
        <v>393720</v>
      </c>
      <c r="D22" s="49">
        <v>472464</v>
      </c>
      <c r="E22" s="49">
        <v>121265.76</v>
      </c>
      <c r="F22" s="49">
        <v>987449.76</v>
      </c>
      <c r="G22" s="50">
        <v>713862</v>
      </c>
      <c r="I22"/>
      <c r="J22"/>
      <c r="K22"/>
      <c r="L22"/>
      <c r="M22"/>
    </row>
    <row r="23" spans="1:13">
      <c r="I23"/>
      <c r="J23"/>
      <c r="K23"/>
      <c r="L23"/>
      <c r="M23"/>
    </row>
    <row r="24" spans="1:13">
      <c r="I24"/>
      <c r="J24"/>
      <c r="K24"/>
      <c r="L24"/>
      <c r="M24"/>
    </row>
    <row r="25" spans="1:13">
      <c r="I25"/>
      <c r="J25"/>
      <c r="K25"/>
      <c r="L25"/>
      <c r="M25"/>
    </row>
    <row r="26" spans="1:13">
      <c r="I26"/>
      <c r="J26"/>
      <c r="K26"/>
      <c r="L26"/>
      <c r="M26"/>
    </row>
    <row r="27" spans="1:13">
      <c r="I27"/>
      <c r="J27"/>
      <c r="K27"/>
      <c r="L27"/>
      <c r="M27"/>
    </row>
    <row r="28" spans="1:13">
      <c r="I28"/>
      <c r="J28"/>
      <c r="K28"/>
      <c r="L28"/>
      <c r="M28"/>
    </row>
    <row r="29" spans="1:13">
      <c r="I29"/>
      <c r="J29"/>
      <c r="K29"/>
      <c r="L29"/>
      <c r="M29"/>
    </row>
    <row r="30" spans="1:13">
      <c r="I30"/>
      <c r="J30"/>
      <c r="K30"/>
      <c r="L30"/>
      <c r="M30"/>
    </row>
    <row r="31" spans="1:13">
      <c r="I31"/>
      <c r="J31"/>
      <c r="K31"/>
      <c r="L31"/>
      <c r="M31"/>
    </row>
    <row r="32" spans="1:13">
      <c r="I32"/>
      <c r="J32"/>
      <c r="K32"/>
      <c r="L32"/>
      <c r="M32"/>
    </row>
    <row r="33" spans="9:13">
      <c r="I33"/>
      <c r="J33"/>
      <c r="K33"/>
      <c r="L33"/>
      <c r="M33"/>
    </row>
    <row r="34" spans="9:13">
      <c r="I34"/>
      <c r="J34"/>
      <c r="K34"/>
      <c r="L34"/>
      <c r="M34"/>
    </row>
    <row r="35" spans="9:13">
      <c r="I35"/>
      <c r="J35"/>
      <c r="K35"/>
      <c r="L35"/>
      <c r="M35"/>
    </row>
    <row r="36" spans="9:13">
      <c r="I36"/>
      <c r="J36"/>
      <c r="K36"/>
      <c r="L36"/>
      <c r="M36"/>
    </row>
    <row r="37" spans="9:13">
      <c r="I37"/>
      <c r="J37"/>
      <c r="K37"/>
      <c r="L37"/>
      <c r="M37"/>
    </row>
    <row r="38" spans="9:13">
      <c r="I38"/>
      <c r="J38"/>
      <c r="K38"/>
      <c r="L38"/>
      <c r="M38"/>
    </row>
    <row r="39" spans="9:13">
      <c r="I39"/>
      <c r="J39"/>
      <c r="K39"/>
      <c r="L39"/>
      <c r="M39"/>
    </row>
    <row r="40" spans="9:13">
      <c r="I40"/>
      <c r="J40"/>
      <c r="K40"/>
      <c r="L40"/>
      <c r="M40"/>
    </row>
    <row r="41" spans="9:13">
      <c r="I41"/>
      <c r="J41"/>
      <c r="K41"/>
      <c r="L41"/>
      <c r="M41"/>
    </row>
    <row r="42" spans="9:13">
      <c r="I42"/>
      <c r="J42"/>
      <c r="K42"/>
      <c r="L42"/>
      <c r="M42"/>
    </row>
    <row r="43" spans="9:13">
      <c r="I43"/>
      <c r="J43"/>
      <c r="K43"/>
      <c r="L43"/>
      <c r="M43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20"/>
  <sheetViews>
    <sheetView workbookViewId="0">
      <selection sqref="A1:I1"/>
    </sheetView>
  </sheetViews>
  <sheetFormatPr defaultRowHeight="16.5" outlineLevelRow="3"/>
  <cols>
    <col min="1" max="2" width="7.375" style="27" bestFit="1" customWidth="1"/>
    <col min="3" max="4" width="5.5" style="27" bestFit="1" customWidth="1"/>
    <col min="5" max="5" width="9.25" style="1" bestFit="1" customWidth="1"/>
    <col min="6" max="6" width="13.375" style="1" customWidth="1"/>
    <col min="7" max="7" width="9.25" style="1" bestFit="1" customWidth="1"/>
    <col min="8" max="8" width="12.25" style="1" customWidth="1"/>
    <col min="9" max="9" width="13.875" style="1" customWidth="1"/>
    <col min="10" max="10" width="12.125" style="1" customWidth="1"/>
    <col min="11" max="16384" width="9" style="1"/>
  </cols>
  <sheetData>
    <row r="1" spans="1:9" ht="19.5">
      <c r="A1" s="64" t="s">
        <v>137</v>
      </c>
      <c r="B1" s="64"/>
      <c r="C1" s="64"/>
      <c r="D1" s="64"/>
      <c r="E1" s="64"/>
      <c r="F1" s="64"/>
      <c r="G1" s="64"/>
      <c r="H1" s="64"/>
      <c r="I1" s="64"/>
    </row>
    <row r="3" spans="1:9">
      <c r="A3" s="2" t="s">
        <v>87</v>
      </c>
      <c r="B3" s="2" t="s">
        <v>88</v>
      </c>
      <c r="C3" s="2" t="s">
        <v>138</v>
      </c>
      <c r="D3" s="2" t="s">
        <v>139</v>
      </c>
      <c r="E3" s="14" t="s">
        <v>140</v>
      </c>
      <c r="F3" s="14" t="s">
        <v>141</v>
      </c>
      <c r="G3" s="14" t="s">
        <v>142</v>
      </c>
      <c r="H3" s="14" t="s">
        <v>143</v>
      </c>
      <c r="I3" s="14" t="s">
        <v>144</v>
      </c>
    </row>
    <row r="4" spans="1:9" outlineLevel="3">
      <c r="A4" s="2" t="s">
        <v>145</v>
      </c>
      <c r="B4" s="2" t="s">
        <v>35</v>
      </c>
      <c r="C4" s="2" t="s">
        <v>146</v>
      </c>
      <c r="D4" s="2" t="s">
        <v>147</v>
      </c>
      <c r="E4" s="14">
        <v>10</v>
      </c>
      <c r="F4" s="15">
        <v>1350000</v>
      </c>
      <c r="G4" s="28">
        <v>0.05</v>
      </c>
      <c r="H4" s="15">
        <v>202500</v>
      </c>
      <c r="I4" s="15">
        <v>1552500</v>
      </c>
    </row>
    <row r="5" spans="1:9" outlineLevel="3">
      <c r="A5" s="2" t="s">
        <v>148</v>
      </c>
      <c r="B5" s="2" t="s">
        <v>149</v>
      </c>
      <c r="C5" s="2" t="s">
        <v>146</v>
      </c>
      <c r="D5" s="2" t="s">
        <v>147</v>
      </c>
      <c r="E5" s="14">
        <v>25</v>
      </c>
      <c r="F5" s="15">
        <v>1350000</v>
      </c>
      <c r="G5" s="28">
        <v>7.0000000000000007E-2</v>
      </c>
      <c r="H5" s="15">
        <v>229500</v>
      </c>
      <c r="I5" s="15">
        <v>1579500</v>
      </c>
    </row>
    <row r="6" spans="1:9" outlineLevel="3">
      <c r="A6" s="2" t="s">
        <v>150</v>
      </c>
      <c r="B6" s="2" t="s">
        <v>151</v>
      </c>
      <c r="C6" s="2" t="s">
        <v>146</v>
      </c>
      <c r="D6" s="2" t="s">
        <v>147</v>
      </c>
      <c r="E6" s="14">
        <v>20</v>
      </c>
      <c r="F6" s="15">
        <v>1350000</v>
      </c>
      <c r="G6" s="28">
        <v>7.0000000000000007E-2</v>
      </c>
      <c r="H6" s="15">
        <v>229500</v>
      </c>
      <c r="I6" s="15">
        <v>1579500</v>
      </c>
    </row>
    <row r="7" spans="1:9" outlineLevel="2">
      <c r="A7" s="53"/>
      <c r="B7" s="53"/>
      <c r="C7" s="53"/>
      <c r="D7" s="29" t="s">
        <v>152</v>
      </c>
      <c r="E7" s="14"/>
      <c r="F7" s="15">
        <f>SUBTOTAL(9,F4:F6)</f>
        <v>4050000</v>
      </c>
      <c r="G7" s="28"/>
      <c r="H7" s="15"/>
      <c r="I7" s="15"/>
    </row>
    <row r="8" spans="1:9" outlineLevel="1">
      <c r="A8" s="53"/>
      <c r="B8" s="53"/>
      <c r="C8" s="53"/>
      <c r="D8" s="39" t="s">
        <v>153</v>
      </c>
      <c r="E8" s="14"/>
      <c r="F8" s="15">
        <f>SUBTOTAL(1,F4:F6)</f>
        <v>1350000</v>
      </c>
      <c r="G8" s="28"/>
      <c r="H8" s="15"/>
      <c r="I8" s="15"/>
    </row>
    <row r="9" spans="1:9" outlineLevel="3">
      <c r="A9" s="2" t="s">
        <v>154</v>
      </c>
      <c r="B9" s="2" t="s">
        <v>149</v>
      </c>
      <c r="C9" s="2" t="s">
        <v>155</v>
      </c>
      <c r="D9" s="2" t="s">
        <v>156</v>
      </c>
      <c r="E9" s="14">
        <v>6</v>
      </c>
      <c r="F9" s="15">
        <v>1200000</v>
      </c>
      <c r="G9" s="28">
        <v>0.03</v>
      </c>
      <c r="H9" s="15">
        <v>156000</v>
      </c>
      <c r="I9" s="15">
        <v>1356000</v>
      </c>
    </row>
    <row r="10" spans="1:9" outlineLevel="3">
      <c r="A10" s="2" t="s">
        <v>157</v>
      </c>
      <c r="B10" s="2" t="s">
        <v>151</v>
      </c>
      <c r="C10" s="2" t="s">
        <v>155</v>
      </c>
      <c r="D10" s="2" t="s">
        <v>156</v>
      </c>
      <c r="E10" s="14">
        <v>18</v>
      </c>
      <c r="F10" s="15">
        <v>1200000</v>
      </c>
      <c r="G10" s="28">
        <v>0.05</v>
      </c>
      <c r="H10" s="15">
        <v>180000</v>
      </c>
      <c r="I10" s="15">
        <v>1380000</v>
      </c>
    </row>
    <row r="11" spans="1:9" outlineLevel="3">
      <c r="A11" s="2" t="s">
        <v>158</v>
      </c>
      <c r="B11" s="2" t="s">
        <v>35</v>
      </c>
      <c r="C11" s="2" t="s">
        <v>155</v>
      </c>
      <c r="D11" s="2" t="s">
        <v>156</v>
      </c>
      <c r="E11" s="14">
        <v>15</v>
      </c>
      <c r="F11" s="15">
        <v>1200000</v>
      </c>
      <c r="G11" s="28">
        <v>0.05</v>
      </c>
      <c r="H11" s="15">
        <v>180000</v>
      </c>
      <c r="I11" s="15">
        <v>1380000</v>
      </c>
    </row>
    <row r="12" spans="1:9" outlineLevel="2">
      <c r="A12" s="53"/>
      <c r="B12" s="53"/>
      <c r="C12" s="53"/>
      <c r="D12" s="29" t="s">
        <v>159</v>
      </c>
      <c r="E12" s="14"/>
      <c r="F12" s="15">
        <f>SUBTOTAL(9,F9:F11)</f>
        <v>3600000</v>
      </c>
      <c r="G12" s="28"/>
      <c r="H12" s="15"/>
      <c r="I12" s="15"/>
    </row>
    <row r="13" spans="1:9" outlineLevel="1">
      <c r="A13" s="53"/>
      <c r="B13" s="53"/>
      <c r="C13" s="53"/>
      <c r="D13" s="29" t="s">
        <v>160</v>
      </c>
      <c r="E13" s="14"/>
      <c r="F13" s="15">
        <f>SUBTOTAL(1,F9:F11)</f>
        <v>1200000</v>
      </c>
      <c r="G13" s="28"/>
      <c r="H13" s="15"/>
      <c r="I13" s="15"/>
    </row>
    <row r="14" spans="1:9" outlineLevel="3">
      <c r="A14" s="2" t="s">
        <v>161</v>
      </c>
      <c r="B14" s="2" t="s">
        <v>151</v>
      </c>
      <c r="C14" s="2" t="s">
        <v>162</v>
      </c>
      <c r="D14" s="2" t="s">
        <v>163</v>
      </c>
      <c r="E14" s="14">
        <v>30</v>
      </c>
      <c r="F14" s="15">
        <v>1450000</v>
      </c>
      <c r="G14" s="28">
        <v>0.1</v>
      </c>
      <c r="H14" s="15">
        <v>290000</v>
      </c>
      <c r="I14" s="15">
        <v>1740000</v>
      </c>
    </row>
    <row r="15" spans="1:9" outlineLevel="3">
      <c r="A15" s="2" t="s">
        <v>164</v>
      </c>
      <c r="B15" s="2" t="s">
        <v>35</v>
      </c>
      <c r="C15" s="2" t="s">
        <v>162</v>
      </c>
      <c r="D15" s="2" t="s">
        <v>163</v>
      </c>
      <c r="E15" s="14">
        <v>28</v>
      </c>
      <c r="F15" s="15">
        <v>1450000</v>
      </c>
      <c r="G15" s="28">
        <v>7.0000000000000007E-2</v>
      </c>
      <c r="H15" s="15">
        <v>246500</v>
      </c>
      <c r="I15" s="15">
        <v>1696500</v>
      </c>
    </row>
    <row r="16" spans="1:9" outlineLevel="3">
      <c r="A16" s="2" t="s">
        <v>165</v>
      </c>
      <c r="B16" s="2" t="s">
        <v>149</v>
      </c>
      <c r="C16" s="2" t="s">
        <v>162</v>
      </c>
      <c r="D16" s="2" t="s">
        <v>163</v>
      </c>
      <c r="E16" s="14">
        <v>24</v>
      </c>
      <c r="F16" s="15">
        <v>1450000</v>
      </c>
      <c r="G16" s="28">
        <v>7.0000000000000007E-2</v>
      </c>
      <c r="H16" s="15">
        <v>246500</v>
      </c>
      <c r="I16" s="15">
        <v>1696500</v>
      </c>
    </row>
    <row r="17" spans="1:9" outlineLevel="2">
      <c r="A17" s="30"/>
      <c r="B17" s="30"/>
      <c r="C17" s="30"/>
      <c r="D17" s="31" t="s">
        <v>166</v>
      </c>
      <c r="E17" s="32"/>
      <c r="F17" s="33">
        <f>SUBTOTAL(9,F14:F16)</f>
        <v>4350000</v>
      </c>
      <c r="G17" s="34"/>
      <c r="H17" s="33"/>
      <c r="I17" s="33"/>
    </row>
    <row r="18" spans="1:9" outlineLevel="1">
      <c r="A18" s="30"/>
      <c r="B18" s="30"/>
      <c r="C18" s="30"/>
      <c r="D18" s="31" t="s">
        <v>167</v>
      </c>
      <c r="E18" s="32"/>
      <c r="F18" s="33">
        <f>SUBTOTAL(1,F14:F16)</f>
        <v>1450000</v>
      </c>
      <c r="G18" s="34"/>
      <c r="H18" s="33"/>
      <c r="I18" s="33"/>
    </row>
    <row r="19" spans="1:9">
      <c r="A19" s="30"/>
      <c r="B19" s="30"/>
      <c r="C19" s="30"/>
      <c r="D19" s="31" t="s">
        <v>136</v>
      </c>
      <c r="E19" s="32"/>
      <c r="F19" s="33">
        <f>SUBTOTAL(9,F4:F16)</f>
        <v>12000000</v>
      </c>
      <c r="G19" s="34"/>
      <c r="H19" s="33"/>
      <c r="I19" s="33"/>
    </row>
    <row r="20" spans="1:9">
      <c r="A20" s="30"/>
      <c r="B20" s="30"/>
      <c r="C20" s="30"/>
      <c r="D20" s="31" t="s">
        <v>168</v>
      </c>
      <c r="E20" s="32"/>
      <c r="F20" s="33">
        <f>SUBTOTAL(1,F4:F16)</f>
        <v>1333333.3333333333</v>
      </c>
      <c r="G20" s="34"/>
      <c r="H20" s="33"/>
      <c r="I20" s="33"/>
    </row>
  </sheetData>
  <sortState ref="A4:I12">
    <sortCondition ref="D4:D12"/>
  </sortState>
  <mergeCells count="1">
    <mergeCell ref="A1:I1"/>
  </mergeCells>
  <phoneticPr fontId="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부분합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J13"/>
  <sheetViews>
    <sheetView workbookViewId="0"/>
  </sheetViews>
  <sheetFormatPr defaultRowHeight="16.5"/>
  <cols>
    <col min="1" max="1" width="2" style="1" customWidth="1"/>
    <col min="2" max="3" width="9" style="1"/>
    <col min="4" max="4" width="13.125" style="1" bestFit="1" customWidth="1"/>
    <col min="5" max="16384" width="9" style="1"/>
  </cols>
  <sheetData>
    <row r="1" spans="2:10" ht="20.25">
      <c r="B1" s="65" t="s">
        <v>169</v>
      </c>
      <c r="C1" s="65"/>
      <c r="D1" s="65"/>
      <c r="E1" s="65"/>
      <c r="F1" s="65"/>
      <c r="G1" s="65"/>
      <c r="H1" s="65"/>
      <c r="I1" s="65"/>
      <c r="J1" s="65"/>
    </row>
    <row r="3" spans="2:10">
      <c r="B3" s="2" t="s">
        <v>170</v>
      </c>
      <c r="C3" s="2" t="s">
        <v>1</v>
      </c>
      <c r="D3" s="2" t="s">
        <v>171</v>
      </c>
      <c r="E3" s="2" t="s">
        <v>172</v>
      </c>
      <c r="F3" s="2" t="s">
        <v>173</v>
      </c>
      <c r="G3" s="2" t="s">
        <v>174</v>
      </c>
      <c r="H3" s="2" t="s">
        <v>175</v>
      </c>
      <c r="I3" s="2" t="s">
        <v>176</v>
      </c>
      <c r="J3" s="2" t="s">
        <v>177</v>
      </c>
    </row>
    <row r="4" spans="2:10">
      <c r="B4" s="2" t="s">
        <v>178</v>
      </c>
      <c r="C4" s="2" t="s">
        <v>179</v>
      </c>
      <c r="D4" s="2" t="s">
        <v>180</v>
      </c>
      <c r="E4" s="2" t="s">
        <v>181</v>
      </c>
      <c r="F4" s="2">
        <v>28</v>
      </c>
      <c r="G4" s="2">
        <v>38</v>
      </c>
      <c r="H4" s="2">
        <v>8</v>
      </c>
      <c r="I4" s="2">
        <v>17</v>
      </c>
      <c r="J4" s="2">
        <f t="shared" ref="J4:J13" si="0">SUM(F4:I4)</f>
        <v>91</v>
      </c>
    </row>
    <row r="5" spans="2:10">
      <c r="B5" s="2" t="s">
        <v>182</v>
      </c>
      <c r="C5" s="2" t="s">
        <v>183</v>
      </c>
      <c r="D5" s="2" t="s">
        <v>180</v>
      </c>
      <c r="E5" s="2" t="s">
        <v>184</v>
      </c>
      <c r="F5" s="2">
        <v>25</v>
      </c>
      <c r="G5" s="2">
        <v>33</v>
      </c>
      <c r="H5" s="2">
        <v>5</v>
      </c>
      <c r="I5" s="2">
        <v>20</v>
      </c>
      <c r="J5" s="2">
        <f t="shared" si="0"/>
        <v>83</v>
      </c>
    </row>
    <row r="6" spans="2:10">
      <c r="B6" s="2" t="s">
        <v>185</v>
      </c>
      <c r="C6" s="2" t="s">
        <v>186</v>
      </c>
      <c r="D6" s="2" t="s">
        <v>187</v>
      </c>
      <c r="E6" s="2" t="s">
        <v>188</v>
      </c>
      <c r="F6" s="2">
        <v>20</v>
      </c>
      <c r="G6" s="2">
        <v>35</v>
      </c>
      <c r="H6" s="2">
        <v>9</v>
      </c>
      <c r="I6" s="2">
        <v>18</v>
      </c>
      <c r="J6" s="2">
        <f t="shared" si="0"/>
        <v>82</v>
      </c>
    </row>
    <row r="7" spans="2:10">
      <c r="B7" s="2" t="s">
        <v>189</v>
      </c>
      <c r="C7" s="2" t="s">
        <v>190</v>
      </c>
      <c r="D7" s="2" t="s">
        <v>187</v>
      </c>
      <c r="E7" s="2" t="s">
        <v>184</v>
      </c>
      <c r="F7" s="2">
        <v>29</v>
      </c>
      <c r="G7" s="2">
        <v>38</v>
      </c>
      <c r="H7" s="2">
        <v>10</v>
      </c>
      <c r="I7" s="2">
        <v>19</v>
      </c>
      <c r="J7" s="2">
        <f t="shared" si="0"/>
        <v>96</v>
      </c>
    </row>
    <row r="8" spans="2:10">
      <c r="B8" s="2" t="s">
        <v>191</v>
      </c>
      <c r="C8" s="2" t="s">
        <v>192</v>
      </c>
      <c r="D8" s="2" t="s">
        <v>193</v>
      </c>
      <c r="E8" s="2" t="s">
        <v>194</v>
      </c>
      <c r="F8" s="2">
        <v>27</v>
      </c>
      <c r="G8" s="2">
        <v>30</v>
      </c>
      <c r="H8" s="2">
        <v>8</v>
      </c>
      <c r="I8" s="2">
        <v>12</v>
      </c>
      <c r="J8" s="2">
        <f t="shared" si="0"/>
        <v>77</v>
      </c>
    </row>
    <row r="9" spans="2:10">
      <c r="B9" s="2" t="s">
        <v>195</v>
      </c>
      <c r="C9" s="2" t="s">
        <v>196</v>
      </c>
      <c r="D9" s="2" t="s">
        <v>180</v>
      </c>
      <c r="E9" s="2" t="s">
        <v>181</v>
      </c>
      <c r="F9" s="2">
        <v>26</v>
      </c>
      <c r="G9" s="2">
        <v>32</v>
      </c>
      <c r="H9" s="2">
        <v>10</v>
      </c>
      <c r="I9" s="2">
        <v>18</v>
      </c>
      <c r="J9" s="2">
        <f t="shared" si="0"/>
        <v>86</v>
      </c>
    </row>
    <row r="10" spans="2:10">
      <c r="B10" s="2" t="s">
        <v>197</v>
      </c>
      <c r="C10" s="2" t="s">
        <v>198</v>
      </c>
      <c r="D10" s="2" t="s">
        <v>187</v>
      </c>
      <c r="E10" s="2" t="s">
        <v>181</v>
      </c>
      <c r="F10" s="2">
        <v>25</v>
      </c>
      <c r="G10" s="2">
        <v>34</v>
      </c>
      <c r="H10" s="2">
        <v>8</v>
      </c>
      <c r="I10" s="2">
        <v>20</v>
      </c>
      <c r="J10" s="2">
        <f t="shared" si="0"/>
        <v>87</v>
      </c>
    </row>
    <row r="11" spans="2:10">
      <c r="B11" s="2" t="s">
        <v>199</v>
      </c>
      <c r="C11" s="2" t="s">
        <v>200</v>
      </c>
      <c r="D11" s="2" t="s">
        <v>193</v>
      </c>
      <c r="E11" s="2" t="s">
        <v>188</v>
      </c>
      <c r="F11" s="2">
        <v>29</v>
      </c>
      <c r="G11" s="2">
        <v>40</v>
      </c>
      <c r="H11" s="2">
        <v>10</v>
      </c>
      <c r="I11" s="2">
        <v>18</v>
      </c>
      <c r="J11" s="2">
        <f t="shared" si="0"/>
        <v>97</v>
      </c>
    </row>
    <row r="12" spans="2:10">
      <c r="B12" s="2" t="s">
        <v>201</v>
      </c>
      <c r="C12" s="2" t="s">
        <v>202</v>
      </c>
      <c r="D12" s="2" t="s">
        <v>180</v>
      </c>
      <c r="E12" s="2" t="s">
        <v>181</v>
      </c>
      <c r="F12" s="2">
        <v>30</v>
      </c>
      <c r="G12" s="2">
        <v>37</v>
      </c>
      <c r="H12" s="2">
        <v>8</v>
      </c>
      <c r="I12" s="2">
        <v>18</v>
      </c>
      <c r="J12" s="2">
        <f t="shared" si="0"/>
        <v>93</v>
      </c>
    </row>
    <row r="13" spans="2:10">
      <c r="B13" s="2" t="s">
        <v>203</v>
      </c>
      <c r="C13" s="2" t="s">
        <v>204</v>
      </c>
      <c r="D13" s="2" t="s">
        <v>180</v>
      </c>
      <c r="E13" s="2" t="s">
        <v>184</v>
      </c>
      <c r="F13" s="2">
        <v>25</v>
      </c>
      <c r="G13" s="2">
        <v>28</v>
      </c>
      <c r="H13" s="2">
        <v>5</v>
      </c>
      <c r="I13" s="2">
        <v>15</v>
      </c>
      <c r="J13" s="2">
        <f t="shared" si="0"/>
        <v>73</v>
      </c>
    </row>
  </sheetData>
  <mergeCells count="1">
    <mergeCell ref="B1:J1"/>
  </mergeCells>
  <phoneticPr fontId="3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J15"/>
  <sheetViews>
    <sheetView workbookViewId="0"/>
  </sheetViews>
  <sheetFormatPr defaultRowHeight="16.5"/>
  <cols>
    <col min="1" max="1" width="10.125" style="1" customWidth="1"/>
    <col min="2" max="2" width="9" style="1"/>
    <col min="3" max="3" width="12.125" style="1" customWidth="1"/>
    <col min="4" max="4" width="11.875" style="1" customWidth="1"/>
    <col min="5" max="5" width="9" style="1"/>
    <col min="6" max="6" width="5" style="1" customWidth="1"/>
    <col min="7" max="7" width="9" style="1"/>
    <col min="8" max="9" width="12.625" style="1" bestFit="1" customWidth="1"/>
    <col min="10" max="10" width="12.875" style="1" bestFit="1" customWidth="1"/>
    <col min="11" max="16384" width="9" style="1"/>
  </cols>
  <sheetData>
    <row r="1" spans="1:10" ht="20.25">
      <c r="A1" s="35" t="s">
        <v>205</v>
      </c>
    </row>
    <row r="2" spans="1:10">
      <c r="G2" s="1" t="s">
        <v>206</v>
      </c>
    </row>
    <row r="3" spans="1:10">
      <c r="A3" s="36" t="s">
        <v>207</v>
      </c>
      <c r="B3" s="36" t="s">
        <v>208</v>
      </c>
      <c r="C3" s="36" t="s">
        <v>209</v>
      </c>
      <c r="D3" s="36" t="s">
        <v>210</v>
      </c>
      <c r="E3" s="36" t="s">
        <v>211</v>
      </c>
      <c r="F3" s="36"/>
      <c r="G3" s="29" t="s">
        <v>208</v>
      </c>
      <c r="H3" s="29" t="s">
        <v>209</v>
      </c>
      <c r="I3" s="29" t="s">
        <v>212</v>
      </c>
      <c r="J3" s="29" t="s">
        <v>211</v>
      </c>
    </row>
    <row r="4" spans="1:10">
      <c r="A4" s="37" t="s">
        <v>154</v>
      </c>
      <c r="B4" s="1" t="s">
        <v>213</v>
      </c>
      <c r="C4" s="1">
        <v>86</v>
      </c>
      <c r="D4" s="1">
        <v>45000</v>
      </c>
      <c r="E4" s="1">
        <v>4500</v>
      </c>
      <c r="G4" s="2" t="s">
        <v>214</v>
      </c>
      <c r="H4" s="14">
        <v>86</v>
      </c>
      <c r="I4" s="14">
        <v>45000</v>
      </c>
      <c r="J4" s="14">
        <v>4500</v>
      </c>
    </row>
    <row r="5" spans="1:10">
      <c r="A5" s="1" t="s">
        <v>215</v>
      </c>
      <c r="B5" s="1" t="s">
        <v>216</v>
      </c>
      <c r="C5" s="1">
        <v>104</v>
      </c>
      <c r="D5" s="1">
        <v>30000</v>
      </c>
      <c r="E5" s="1">
        <v>1500</v>
      </c>
      <c r="G5" s="2" t="s">
        <v>217</v>
      </c>
      <c r="H5" s="14">
        <v>81</v>
      </c>
      <c r="I5" s="14">
        <v>40000</v>
      </c>
      <c r="J5" s="14">
        <v>4000</v>
      </c>
    </row>
    <row r="6" spans="1:10">
      <c r="A6" s="1" t="s">
        <v>218</v>
      </c>
      <c r="B6" s="1" t="s">
        <v>219</v>
      </c>
      <c r="C6" s="1">
        <v>81</v>
      </c>
      <c r="D6" s="1">
        <v>40000</v>
      </c>
      <c r="E6" s="1">
        <v>4000</v>
      </c>
      <c r="G6" s="2" t="s">
        <v>220</v>
      </c>
      <c r="H6" s="14">
        <v>104</v>
      </c>
      <c r="I6" s="14">
        <v>30000</v>
      </c>
      <c r="J6" s="14">
        <v>1500</v>
      </c>
    </row>
    <row r="7" spans="1:10">
      <c r="E7" s="38"/>
      <c r="F7" s="38"/>
      <c r="G7" s="2" t="s">
        <v>221</v>
      </c>
      <c r="H7" s="14">
        <v>52</v>
      </c>
      <c r="I7" s="14">
        <v>25000</v>
      </c>
      <c r="J7" s="14">
        <v>1250</v>
      </c>
    </row>
    <row r="8" spans="1:10">
      <c r="A8" s="37"/>
    </row>
    <row r="9" spans="1:10">
      <c r="A9" s="37"/>
      <c r="F9" s="38"/>
    </row>
    <row r="10" spans="1:10">
      <c r="A10" s="37"/>
      <c r="F10" s="38"/>
    </row>
    <row r="11" spans="1:10">
      <c r="A11" s="37"/>
      <c r="F11" s="38"/>
    </row>
    <row r="12" spans="1:10">
      <c r="A12" s="37"/>
      <c r="F12" s="38"/>
    </row>
    <row r="13" spans="1:10">
      <c r="A13" s="37"/>
      <c r="F13" s="38"/>
    </row>
    <row r="14" spans="1:10">
      <c r="A14" s="37"/>
    </row>
    <row r="15" spans="1:10">
      <c r="A15" s="37"/>
      <c r="F15" s="38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</xdr:col>
                <xdr:colOff>752475</xdr:colOff>
                <xdr:row>0</xdr:row>
                <xdr:rowOff>28575</xdr:rowOff>
              </from>
              <to>
                <xdr:col>5</xdr:col>
                <xdr:colOff>0</xdr:colOff>
                <xdr:row>1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5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  <vt:lpstr>기준</vt:lpstr>
      <vt:lpstr>요금내역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2017-09-06T06:14:38Z</cp:lastPrinted>
  <dcterms:created xsi:type="dcterms:W3CDTF">2017-08-29T06:38:27Z</dcterms:created>
  <dcterms:modified xsi:type="dcterms:W3CDTF">2019-09-09T02:48:27Z</dcterms:modified>
</cp:coreProperties>
</file>