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hidePivotFieldList="1" defaultThemeVersion="124226"/>
  <bookViews>
    <workbookView xWindow="480" yWindow="135" windowWidth="26955" windowHeight="13005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</sheets>
  <functionGroups builtInGroupCount="17"/>
  <definedNames>
    <definedName name="_xlnm._FilterDatabase" localSheetId="1" hidden="1">'기본작업-2'!$A$20:$I$29</definedName>
    <definedName name="_xlnm.Criteria" localSheetId="1">'기본작업-2'!$G$34:$I$36</definedName>
    <definedName name="_xlnm.Extract" localSheetId="1">'기본작업-2'!$A$40:$I$40</definedName>
    <definedName name="_xlnm.Print_Area" localSheetId="1">'기본작업-2'!$A$18:$I$46</definedName>
    <definedName name="부서자료">'기타작업-2'!$H$4:$I$8</definedName>
  </definedNames>
  <calcPr calcId="145621"/>
  <pivotCaches>
    <pivotCache cacheId="16" r:id="rId8"/>
  </pivotCaches>
</workbook>
</file>

<file path=xl/calcChain.xml><?xml version="1.0" encoding="utf-8"?>
<calcChain xmlns="http://schemas.openxmlformats.org/spreadsheetml/2006/main">
  <c r="C10" i="6" l="1"/>
  <c r="F9" i="6"/>
  <c r="G9" i="6" s="1"/>
  <c r="D9" i="6"/>
  <c r="F8" i="6"/>
  <c r="G8" i="6" s="1"/>
  <c r="D8" i="6"/>
  <c r="F7" i="6"/>
  <c r="G7" i="6" s="1"/>
  <c r="D7" i="6"/>
  <c r="F6" i="6"/>
  <c r="G6" i="6" s="1"/>
  <c r="D6" i="6"/>
  <c r="F5" i="6"/>
  <c r="G5" i="6" s="1"/>
  <c r="F4" i="6"/>
  <c r="G4" i="6" s="1"/>
  <c r="D4" i="6"/>
  <c r="D10" i="6" s="1"/>
  <c r="G37" i="3"/>
  <c r="K29" i="3"/>
  <c r="I29" i="3"/>
  <c r="L25" i="3" a="1"/>
  <c r="L25" i="3" s="1"/>
  <c r="K25" i="3" a="1"/>
  <c r="K25" i="3" s="1"/>
  <c r="J25" i="3" a="1"/>
  <c r="J25" i="3" s="1"/>
  <c r="L24" i="3"/>
  <c r="L24" i="3" a="1"/>
  <c r="K24" i="3" a="1"/>
  <c r="K24" i="3" s="1"/>
  <c r="J24" i="3" a="1"/>
  <c r="J24" i="3" s="1"/>
  <c r="L23" i="3" a="1"/>
  <c r="L23" i="3" s="1"/>
  <c r="K23" i="3" a="1"/>
  <c r="K23" i="3" s="1"/>
  <c r="J23" i="3" a="1"/>
  <c r="J23" i="3" s="1"/>
  <c r="D18" i="3"/>
  <c r="D17" i="3"/>
  <c r="D16" i="3"/>
  <c r="D15" i="3"/>
  <c r="D14" i="3"/>
  <c r="D13" i="3"/>
  <c r="D12" i="3"/>
  <c r="E8" i="3"/>
  <c r="E7" i="3"/>
  <c r="E6" i="3"/>
  <c r="E5" i="3"/>
  <c r="E4" i="3"/>
  <c r="E3" i="3"/>
  <c r="I30" i="2"/>
  <c r="H30" i="2"/>
  <c r="F30" i="2"/>
  <c r="D29" i="2"/>
  <c r="D28" i="2"/>
  <c r="D27" i="2"/>
  <c r="D26" i="2"/>
  <c r="D25" i="2"/>
  <c r="D24" i="2"/>
  <c r="D23" i="2"/>
  <c r="D22" i="2"/>
  <c r="D21" i="2"/>
  <c r="D14" i="2"/>
  <c r="F13" i="2"/>
  <c r="E13" i="2"/>
  <c r="G13" i="2" s="1"/>
  <c r="H13" i="2" s="1"/>
  <c r="F12" i="2"/>
  <c r="E12" i="2"/>
  <c r="G12" i="2" s="1"/>
  <c r="H12" i="2" s="1"/>
  <c r="F11" i="2"/>
  <c r="E11" i="2"/>
  <c r="G11" i="2" s="1"/>
  <c r="H11" i="2" s="1"/>
  <c r="F10" i="2"/>
  <c r="E10" i="2"/>
  <c r="G10" i="2" s="1"/>
  <c r="H10" i="2" s="1"/>
  <c r="F9" i="2"/>
  <c r="E9" i="2"/>
  <c r="G9" i="2" s="1"/>
  <c r="H9" i="2" s="1"/>
  <c r="F8" i="2"/>
  <c r="E8" i="2"/>
  <c r="G8" i="2" s="1"/>
  <c r="H8" i="2" s="1"/>
  <c r="F7" i="2"/>
  <c r="E7" i="2"/>
  <c r="G7" i="2" s="1"/>
  <c r="H7" i="2" s="1"/>
  <c r="F6" i="2"/>
  <c r="E6" i="2"/>
  <c r="G6" i="2" s="1"/>
  <c r="H6" i="2" s="1"/>
  <c r="F5" i="2"/>
  <c r="E5" i="2"/>
  <c r="G34" i="3"/>
  <c r="G27" i="3"/>
  <c r="G25" i="3"/>
  <c r="G36" i="3"/>
  <c r="G33" i="3"/>
  <c r="G29" i="3"/>
  <c r="G23" i="3"/>
  <c r="G35" i="3"/>
  <c r="G30" i="3"/>
  <c r="G32" i="3"/>
  <c r="G22" i="3"/>
  <c r="G26" i="3"/>
  <c r="G31" i="3"/>
  <c r="G28" i="3"/>
  <c r="G24" i="3"/>
  <c r="E14" i="2" l="1"/>
  <c r="F14" i="2"/>
  <c r="G5" i="2"/>
  <c r="G14" i="2" l="1"/>
  <c r="H5" i="2"/>
</calcChain>
</file>

<file path=xl/comments1.xml><?xml version="1.0" encoding="utf-8"?>
<comments xmlns="http://schemas.openxmlformats.org/spreadsheetml/2006/main">
  <authors>
    <author>김용갑</author>
  </authors>
  <commentList>
    <comment ref="D3" authorId="0">
      <text>
        <r>
          <rPr>
            <sz val="9"/>
            <color indexed="81"/>
            <rFont val="굴림"/>
            <family val="3"/>
            <charset val="129"/>
          </rPr>
          <t>개당 4,000원</t>
        </r>
      </text>
    </comment>
  </commentList>
</comments>
</file>

<file path=xl/sharedStrings.xml><?xml version="1.0" encoding="utf-8"?>
<sst xmlns="http://schemas.openxmlformats.org/spreadsheetml/2006/main" count="376" uniqueCount="233">
  <si>
    <t>제품별 판매현황</t>
    <phoneticPr fontId="5" type="noConversion"/>
  </si>
  <si>
    <t>[표1]</t>
    <phoneticPr fontId="5" type="noConversion"/>
  </si>
  <si>
    <t>11월분 사원임금 계산표</t>
    <phoneticPr fontId="5" type="noConversion"/>
  </si>
  <si>
    <t>사원이름</t>
    <phoneticPr fontId="5" type="noConversion"/>
  </si>
  <si>
    <t>직급명</t>
    <phoneticPr fontId="5" type="noConversion"/>
  </si>
  <si>
    <t>부서명</t>
    <phoneticPr fontId="5" type="noConversion"/>
  </si>
  <si>
    <t>판매금액</t>
    <phoneticPr fontId="5" type="noConversion"/>
  </si>
  <si>
    <t>활동수당</t>
    <phoneticPr fontId="5" type="noConversion"/>
  </si>
  <si>
    <t>직급수당</t>
    <phoneticPr fontId="5" type="noConversion"/>
  </si>
  <si>
    <t>총수령액</t>
    <phoneticPr fontId="5" type="noConversion"/>
  </si>
  <si>
    <t>등급</t>
    <phoneticPr fontId="5" type="noConversion"/>
  </si>
  <si>
    <t>이수지</t>
    <phoneticPr fontId="5" type="noConversion"/>
  </si>
  <si>
    <t>사원</t>
    <phoneticPr fontId="5" type="noConversion"/>
  </si>
  <si>
    <t>기획팀</t>
    <phoneticPr fontId="5" type="noConversion"/>
  </si>
  <si>
    <t>김종서</t>
    <phoneticPr fontId="5" type="noConversion"/>
  </si>
  <si>
    <t>과장</t>
    <phoneticPr fontId="5" type="noConversion"/>
  </si>
  <si>
    <t>인사팀</t>
    <phoneticPr fontId="5" type="noConversion"/>
  </si>
  <si>
    <t>유동근</t>
    <phoneticPr fontId="5" type="noConversion"/>
  </si>
  <si>
    <t>대리</t>
    <phoneticPr fontId="5" type="noConversion"/>
  </si>
  <si>
    <t>생산팀</t>
    <phoneticPr fontId="5" type="noConversion"/>
  </si>
  <si>
    <t>최수종</t>
    <phoneticPr fontId="5" type="noConversion"/>
  </si>
  <si>
    <t>R&amp;D팀</t>
    <phoneticPr fontId="5" type="noConversion"/>
  </si>
  <si>
    <t>김미화</t>
    <phoneticPr fontId="5" type="noConversion"/>
  </si>
  <si>
    <t>경리팀</t>
    <phoneticPr fontId="5" type="noConversion"/>
  </si>
  <si>
    <t>강감찬</t>
    <phoneticPr fontId="5" type="noConversion"/>
  </si>
  <si>
    <t>이순신</t>
    <phoneticPr fontId="5" type="noConversion"/>
  </si>
  <si>
    <t>관리팀</t>
    <phoneticPr fontId="5" type="noConversion"/>
  </si>
  <si>
    <t>김유신</t>
    <phoneticPr fontId="5" type="noConversion"/>
  </si>
  <si>
    <t>한소리</t>
    <phoneticPr fontId="5" type="noConversion"/>
  </si>
  <si>
    <t>합  계</t>
    <phoneticPr fontId="5" type="noConversion"/>
  </si>
  <si>
    <t>[표2]</t>
    <phoneticPr fontId="5" type="noConversion"/>
  </si>
  <si>
    <t>월말 상여금 지급 내역서</t>
    <phoneticPr fontId="5" type="noConversion"/>
  </si>
  <si>
    <t>사원코드</t>
    <phoneticPr fontId="5" type="noConversion"/>
  </si>
  <si>
    <t>사원명</t>
    <phoneticPr fontId="5" type="noConversion"/>
  </si>
  <si>
    <t>관리부서</t>
    <phoneticPr fontId="5" type="noConversion"/>
  </si>
  <si>
    <t>직위</t>
    <phoneticPr fontId="5" type="noConversion"/>
  </si>
  <si>
    <t>근무년수</t>
    <phoneticPr fontId="5" type="noConversion"/>
  </si>
  <si>
    <t>기본급</t>
    <phoneticPr fontId="5" type="noConversion"/>
  </si>
  <si>
    <t>상여비율</t>
    <phoneticPr fontId="5" type="noConversion"/>
  </si>
  <si>
    <t>수당</t>
    <phoneticPr fontId="5" type="noConversion"/>
  </si>
  <si>
    <t>지급액</t>
    <phoneticPr fontId="5" type="noConversion"/>
  </si>
  <si>
    <t>P1</t>
    <phoneticPr fontId="5" type="noConversion"/>
  </si>
  <si>
    <t>신소진</t>
    <phoneticPr fontId="5" type="noConversion"/>
  </si>
  <si>
    <t>판매1부</t>
    <phoneticPr fontId="5" type="noConversion"/>
  </si>
  <si>
    <t>K2</t>
    <phoneticPr fontId="5" type="noConversion"/>
  </si>
  <si>
    <t>이은철</t>
    <phoneticPr fontId="5" type="noConversion"/>
  </si>
  <si>
    <t>판매2부</t>
    <phoneticPr fontId="5" type="noConversion"/>
  </si>
  <si>
    <t>D3</t>
    <phoneticPr fontId="5" type="noConversion"/>
  </si>
  <si>
    <t>박희천</t>
    <phoneticPr fontId="5" type="noConversion"/>
  </si>
  <si>
    <t>판매3부</t>
    <phoneticPr fontId="5" type="noConversion"/>
  </si>
  <si>
    <t>K1</t>
    <phoneticPr fontId="5" type="noConversion"/>
  </si>
  <si>
    <t>노수용</t>
    <phoneticPr fontId="5" type="noConversion"/>
  </si>
  <si>
    <t>D2</t>
    <phoneticPr fontId="5" type="noConversion"/>
  </si>
  <si>
    <t>조명섭</t>
    <phoneticPr fontId="5" type="noConversion"/>
  </si>
  <si>
    <t>P3</t>
    <phoneticPr fontId="5" type="noConversion"/>
  </si>
  <si>
    <t>이기수</t>
    <phoneticPr fontId="5" type="noConversion"/>
  </si>
  <si>
    <t>D1</t>
    <phoneticPr fontId="5" type="noConversion"/>
  </si>
  <si>
    <t>최신호</t>
    <phoneticPr fontId="5" type="noConversion"/>
  </si>
  <si>
    <t>P2</t>
    <phoneticPr fontId="5" type="noConversion"/>
  </si>
  <si>
    <t>박건창</t>
    <phoneticPr fontId="5" type="noConversion"/>
  </si>
  <si>
    <t>K3</t>
    <phoneticPr fontId="5" type="noConversion"/>
  </si>
  <si>
    <t>김재규</t>
    <phoneticPr fontId="5" type="noConversion"/>
  </si>
  <si>
    <t>합계</t>
    <phoneticPr fontId="5" type="noConversion"/>
  </si>
  <si>
    <t>주) 추가상여율</t>
    <phoneticPr fontId="5" type="noConversion"/>
  </si>
  <si>
    <t>상여지급율표</t>
    <phoneticPr fontId="5" type="noConversion"/>
  </si>
  <si>
    <t>직위</t>
    <phoneticPr fontId="4" type="noConversion"/>
  </si>
  <si>
    <t>근무년수</t>
    <phoneticPr fontId="4" type="noConversion"/>
  </si>
  <si>
    <t>기본급</t>
    <phoneticPr fontId="4" type="noConversion"/>
  </si>
  <si>
    <t>과장</t>
    <phoneticPr fontId="4" type="noConversion"/>
  </si>
  <si>
    <t>&gt;=5</t>
    <phoneticPr fontId="4" type="noConversion"/>
  </si>
  <si>
    <t>&gt;=1350000</t>
    <phoneticPr fontId="4" type="noConversion"/>
  </si>
  <si>
    <t>부장</t>
  </si>
  <si>
    <t>과장</t>
  </si>
  <si>
    <t>[표1] 가전제품 판매현황</t>
    <phoneticPr fontId="5" type="noConversion"/>
  </si>
  <si>
    <t>품목</t>
    <phoneticPr fontId="5" type="noConversion"/>
  </si>
  <si>
    <t>수량</t>
    <phoneticPr fontId="5" type="noConversion"/>
  </si>
  <si>
    <t>단가</t>
    <phoneticPr fontId="5" type="noConversion"/>
  </si>
  <si>
    <t>매출액</t>
    <phoneticPr fontId="5" type="noConversion"/>
  </si>
  <si>
    <t>비고</t>
    <phoneticPr fontId="5" type="noConversion"/>
  </si>
  <si>
    <t>세탁기</t>
    <phoneticPr fontId="5" type="noConversion"/>
  </si>
  <si>
    <t>DVD 재생기</t>
    <phoneticPr fontId="5" type="noConversion"/>
  </si>
  <si>
    <t>냉장고</t>
    <phoneticPr fontId="5" type="noConversion"/>
  </si>
  <si>
    <t>[표2] 졸업 인증제 평가표</t>
    <phoneticPr fontId="5" type="noConversion"/>
  </si>
  <si>
    <t>이름</t>
    <phoneticPr fontId="5" type="noConversion"/>
  </si>
  <si>
    <t>토익</t>
    <phoneticPr fontId="5" type="noConversion"/>
  </si>
  <si>
    <t>토플</t>
    <phoneticPr fontId="5" type="noConversion"/>
  </si>
  <si>
    <t>최저가산점</t>
    <phoneticPr fontId="5" type="noConversion"/>
  </si>
  <si>
    <t>김진성</t>
    <phoneticPr fontId="5" type="noConversion"/>
  </si>
  <si>
    <t>토익점수에 따른 가산점</t>
    <phoneticPr fontId="5" type="noConversion"/>
  </si>
  <si>
    <t>토플점수에 따른 가산점</t>
    <phoneticPr fontId="5" type="noConversion"/>
  </si>
  <si>
    <t>서혁진</t>
    <phoneticPr fontId="5" type="noConversion"/>
  </si>
  <si>
    <t>토익</t>
    <phoneticPr fontId="5" type="noConversion"/>
  </si>
  <si>
    <t>가산점</t>
    <phoneticPr fontId="5" type="noConversion"/>
  </si>
  <si>
    <t>토플</t>
    <phoneticPr fontId="5" type="noConversion"/>
  </si>
  <si>
    <t>이상흠</t>
    <phoneticPr fontId="5" type="noConversion"/>
  </si>
  <si>
    <t>김성균</t>
    <phoneticPr fontId="5" type="noConversion"/>
  </si>
  <si>
    <t>윤향기</t>
    <phoneticPr fontId="5" type="noConversion"/>
  </si>
  <si>
    <t>김필승</t>
    <phoneticPr fontId="5" type="noConversion"/>
  </si>
  <si>
    <t>한성수</t>
    <phoneticPr fontId="5" type="noConversion"/>
  </si>
  <si>
    <r>
      <t>[표3</t>
    </r>
    <r>
      <rPr>
        <sz val="11"/>
        <color theme="1"/>
        <rFont val="맑은 고딕"/>
        <family val="3"/>
        <charset val="129"/>
        <scheme val="major"/>
      </rPr>
      <t>]</t>
    </r>
    <phoneticPr fontId="5" type="noConversion"/>
  </si>
  <si>
    <r>
      <t>[표4</t>
    </r>
    <r>
      <rPr>
        <sz val="11"/>
        <color theme="1"/>
        <rFont val="맑은 고딕"/>
        <family val="3"/>
        <charset val="129"/>
        <scheme val="major"/>
      </rPr>
      <t>] 상여비율 우수 사원의 기본급합계</t>
    </r>
    <phoneticPr fontId="5" type="noConversion"/>
  </si>
  <si>
    <t>사원명</t>
  </si>
  <si>
    <t>관리부서</t>
  </si>
  <si>
    <t>직위</t>
  </si>
  <si>
    <t>근무년수</t>
  </si>
  <si>
    <t>기본급</t>
  </si>
  <si>
    <t>상여비율</t>
  </si>
  <si>
    <t>비고</t>
    <phoneticPr fontId="4" type="noConversion"/>
  </si>
  <si>
    <t>부서</t>
    <phoneticPr fontId="5" type="noConversion"/>
  </si>
  <si>
    <t>직위</t>
    <phoneticPr fontId="5" type="noConversion"/>
  </si>
  <si>
    <t>신소진</t>
  </si>
  <si>
    <t>기획부</t>
  </si>
  <si>
    <t>부장</t>
    <phoneticPr fontId="5" type="noConversion"/>
  </si>
  <si>
    <t>차장</t>
    <phoneticPr fontId="5" type="noConversion"/>
  </si>
  <si>
    <t>대리</t>
    <phoneticPr fontId="5" type="noConversion"/>
  </si>
  <si>
    <t>이은철</t>
  </si>
  <si>
    <t>경리부</t>
  </si>
  <si>
    <t>차장</t>
  </si>
  <si>
    <t>기획부</t>
    <phoneticPr fontId="5" type="noConversion"/>
  </si>
  <si>
    <t>박희천</t>
  </si>
  <si>
    <t>영업부</t>
  </si>
  <si>
    <t>대리</t>
  </si>
  <si>
    <t>경리부</t>
    <phoneticPr fontId="5" type="noConversion"/>
  </si>
  <si>
    <t>노수용</t>
  </si>
  <si>
    <t>영업부</t>
    <phoneticPr fontId="5" type="noConversion"/>
  </si>
  <si>
    <t>조명섭</t>
  </si>
  <si>
    <t>이기수</t>
  </si>
  <si>
    <t>최신호</t>
  </si>
  <si>
    <t>조건</t>
    <phoneticPr fontId="4" type="noConversion"/>
  </si>
  <si>
    <r>
      <t xml:space="preserve">기본급의 50%가 </t>
    </r>
    <r>
      <rPr>
        <sz val="11"/>
        <color theme="1"/>
        <rFont val="맑은 고딕"/>
        <family val="3"/>
        <charset val="129"/>
        <scheme val="major"/>
      </rPr>
      <t>450000 이상인 사원수</t>
    </r>
    <phoneticPr fontId="5" type="noConversion"/>
  </si>
  <si>
    <t>박건창</t>
  </si>
  <si>
    <t>김재규</t>
  </si>
  <si>
    <t>사연홍</t>
    <phoneticPr fontId="5" type="noConversion"/>
  </si>
  <si>
    <t>인정국</t>
    <phoneticPr fontId="5" type="noConversion"/>
  </si>
  <si>
    <t>강도훈</t>
    <phoneticPr fontId="5" type="noConversion"/>
  </si>
  <si>
    <t>안영철</t>
    <phoneticPr fontId="5" type="noConversion"/>
  </si>
  <si>
    <t>김보현</t>
    <phoneticPr fontId="5" type="noConversion"/>
  </si>
  <si>
    <t>류남규</t>
    <phoneticPr fontId="5" type="noConversion"/>
  </si>
  <si>
    <t>주) 추가상여율</t>
  </si>
  <si>
    <t>평균</t>
    <phoneticPr fontId="5" type="noConversion"/>
  </si>
  <si>
    <t>강북 가전제품 판매현황</t>
    <phoneticPr fontId="5" type="noConversion"/>
  </si>
  <si>
    <t>강남 가전제품 판매현황</t>
    <phoneticPr fontId="5" type="noConversion"/>
  </si>
  <si>
    <t>월별</t>
    <phoneticPr fontId="5" type="noConversion"/>
  </si>
  <si>
    <t>냉장고</t>
    <phoneticPr fontId="5" type="noConversion"/>
  </si>
  <si>
    <t>청소기</t>
    <phoneticPr fontId="5" type="noConversion"/>
  </si>
  <si>
    <t>VTR</t>
    <phoneticPr fontId="5" type="noConversion"/>
  </si>
  <si>
    <t>1월</t>
    <phoneticPr fontId="5" type="noConversion"/>
  </si>
  <si>
    <t>2월</t>
  </si>
  <si>
    <t>3월</t>
  </si>
  <si>
    <t>4월</t>
  </si>
  <si>
    <t>5월</t>
  </si>
  <si>
    <t>6월</t>
  </si>
  <si>
    <t>강북/강남 가전제품 판매현황</t>
    <phoneticPr fontId="5" type="noConversion"/>
  </si>
  <si>
    <t>네트워크 장비 판매 내역</t>
    <phoneticPr fontId="5" type="noConversion"/>
  </si>
  <si>
    <t>(단위 : 천원)</t>
    <phoneticPr fontId="5" type="noConversion"/>
  </si>
  <si>
    <t>품목</t>
    <phoneticPr fontId="5" type="noConversion"/>
  </si>
  <si>
    <t>단가</t>
    <phoneticPr fontId="5" type="noConversion"/>
  </si>
  <si>
    <t>판매량</t>
    <phoneticPr fontId="5" type="noConversion"/>
  </si>
  <si>
    <t>판매액</t>
    <phoneticPr fontId="5" type="noConversion"/>
  </si>
  <si>
    <t>목표량</t>
    <phoneticPr fontId="5" type="noConversion"/>
  </si>
  <si>
    <t>달성율</t>
    <phoneticPr fontId="5" type="noConversion"/>
  </si>
  <si>
    <t>평  가</t>
    <phoneticPr fontId="5" type="noConversion"/>
  </si>
  <si>
    <t>스위칭 HUB</t>
    <phoneticPr fontId="5" type="noConversion"/>
  </si>
  <si>
    <t>더미 HUB</t>
    <phoneticPr fontId="5" type="noConversion"/>
  </si>
  <si>
    <t>RACK</t>
    <phoneticPr fontId="5" type="noConversion"/>
  </si>
  <si>
    <t>패치패널</t>
    <phoneticPr fontId="5" type="noConversion"/>
  </si>
  <si>
    <r>
      <t>UTP</t>
    </r>
    <r>
      <rPr>
        <sz val="11"/>
        <color theme="1"/>
        <rFont val="맑은 고딕"/>
        <family val="3"/>
        <charset val="129"/>
        <scheme val="major"/>
      </rPr>
      <t>케이블</t>
    </r>
    <phoneticPr fontId="5" type="noConversion"/>
  </si>
  <si>
    <r>
      <t>LAN</t>
    </r>
    <r>
      <rPr>
        <sz val="11"/>
        <color theme="1"/>
        <rFont val="맑은 고딕"/>
        <family val="3"/>
        <charset val="129"/>
        <scheme val="major"/>
      </rPr>
      <t>카드</t>
    </r>
    <phoneticPr fontId="5" type="noConversion"/>
  </si>
  <si>
    <r>
      <t xml:space="preserve"> </t>
    </r>
    <r>
      <rPr>
        <sz val="11"/>
        <color theme="1"/>
        <rFont val="맑은 고딕"/>
        <family val="3"/>
        <charset val="129"/>
        <scheme val="major"/>
      </rPr>
      <t>합</t>
    </r>
    <r>
      <rPr>
        <sz val="11"/>
        <rFont val="맑은 고딕"/>
        <family val="3"/>
        <charset val="129"/>
        <scheme val="major"/>
      </rPr>
      <t xml:space="preserve">  </t>
    </r>
    <r>
      <rPr>
        <sz val="11"/>
        <color theme="1"/>
        <rFont val="맑은 고딕"/>
        <family val="3"/>
        <charset val="129"/>
        <scheme val="major"/>
      </rPr>
      <t>계</t>
    </r>
    <phoneticPr fontId="5" type="noConversion"/>
  </si>
  <si>
    <t>영업 사원별 수당</t>
    <phoneticPr fontId="5" type="noConversion"/>
  </si>
  <si>
    <t>사원번호</t>
    <phoneticPr fontId="5" type="noConversion"/>
  </si>
  <si>
    <t>부서</t>
    <phoneticPr fontId="5" type="noConversion"/>
  </si>
  <si>
    <t>기본수당</t>
    <phoneticPr fontId="5" type="noConversion"/>
  </si>
  <si>
    <t>판매수량</t>
    <phoneticPr fontId="5" type="noConversion"/>
  </si>
  <si>
    <t>수당합계</t>
    <phoneticPr fontId="5" type="noConversion"/>
  </si>
  <si>
    <t>부서명</t>
    <phoneticPr fontId="5" type="noConversion"/>
  </si>
  <si>
    <t>영업 4팀</t>
  </si>
  <si>
    <t>영업1팀</t>
    <phoneticPr fontId="5" type="noConversion"/>
  </si>
  <si>
    <t>영업2팀</t>
    <phoneticPr fontId="5" type="noConversion"/>
  </si>
  <si>
    <t>영업 1팀</t>
  </si>
  <si>
    <t>영업3팀</t>
    <phoneticPr fontId="5" type="noConversion"/>
  </si>
  <si>
    <t>영업4팀</t>
    <phoneticPr fontId="5" type="noConversion"/>
  </si>
  <si>
    <t>특별영업팀</t>
    <phoneticPr fontId="5" type="noConversion"/>
  </si>
  <si>
    <t>매출번호</t>
  </si>
  <si>
    <t>거래처명</t>
  </si>
  <si>
    <t>제품명</t>
  </si>
  <si>
    <t>수량</t>
  </si>
  <si>
    <t>공급가액</t>
  </si>
  <si>
    <t>세액</t>
  </si>
  <si>
    <t>합계</t>
  </si>
  <si>
    <t>RG홈쇼핑</t>
  </si>
  <si>
    <t>스캐너</t>
  </si>
  <si>
    <t>한솔CSN</t>
  </si>
  <si>
    <t>한국위성방송</t>
  </si>
  <si>
    <t>즐겨찾기</t>
  </si>
  <si>
    <t>온누리홈쇼핑</t>
  </si>
  <si>
    <t>영상코퍼레이션</t>
  </si>
  <si>
    <t>가나통상</t>
  </si>
  <si>
    <t>성명</t>
  </si>
  <si>
    <t>부서명</t>
  </si>
  <si>
    <t>직책</t>
  </si>
  <si>
    <t>근속기간</t>
  </si>
  <si>
    <t>상여금</t>
  </si>
  <si>
    <t>수당</t>
  </si>
  <si>
    <t>퇴직금</t>
  </si>
  <si>
    <t>강감찬</t>
  </si>
  <si>
    <t>회계부</t>
  </si>
  <si>
    <t>25</t>
  </si>
  <si>
    <t>최재석</t>
  </si>
  <si>
    <t>12</t>
  </si>
  <si>
    <t>최강석</t>
  </si>
  <si>
    <t>기획인사부</t>
  </si>
  <si>
    <t>21</t>
  </si>
  <si>
    <t>조민준</t>
  </si>
  <si>
    <t>사원</t>
  </si>
  <si>
    <t>1</t>
  </si>
  <si>
    <t>이충렬</t>
  </si>
  <si>
    <t>9</t>
  </si>
  <si>
    <t>김재욱</t>
  </si>
  <si>
    <t>18</t>
  </si>
  <si>
    <t>서정화</t>
  </si>
  <si>
    <t>22</t>
  </si>
  <si>
    <t>송치윤</t>
  </si>
  <si>
    <t>14</t>
  </si>
  <si>
    <t>송혜영</t>
  </si>
  <si>
    <t>김구완</t>
  </si>
  <si>
    <t>7</t>
  </si>
  <si>
    <t>(모두)</t>
  </si>
  <si>
    <t>총합계</t>
  </si>
  <si>
    <t>합계 : 기본급</t>
  </si>
  <si>
    <t>합계 : 상여금</t>
  </si>
  <si>
    <t>합계 : 퇴직금</t>
  </si>
  <si>
    <t>합계 : 비율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</si>
</sst>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2" formatCode="_-&quot;₩&quot;* #,##0_-;\-&quot;₩&quot;* #,##0_-;_-&quot;₩&quot;* &quot;-&quot;_-;_-@_-"/>
    <numFmt numFmtId="41" formatCode="_-* #,##0_-;\-* #,##0_-;_-* &quot;-&quot;_-;_-@_-"/>
    <numFmt numFmtId="176" formatCode="0.0_ "/>
    <numFmt numFmtId="177" formatCode="&quot;₩&quot;#,##0;&quot;-₩&quot;#,##0"/>
    <numFmt numFmtId="178" formatCode="#,##0_ "/>
  </numFmts>
  <fonts count="15"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aj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2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4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6"/>
      <name val="맑은 고딕"/>
      <family val="3"/>
      <charset val="129"/>
      <scheme val="major"/>
    </font>
    <font>
      <sz val="9"/>
      <color indexed="81"/>
      <name val="굴림"/>
      <family val="3"/>
      <charset val="129"/>
    </font>
    <font>
      <sz val="11"/>
      <color indexed="8"/>
      <name val="맑은 고딕"/>
      <family val="3"/>
      <charset val="129"/>
    </font>
    <font>
      <sz val="12"/>
      <color indexed="8"/>
      <name val="굴림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22"/>
        <bgColor indexed="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 style="thin">
        <color indexed="64"/>
      </diagonal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">
    <xf numFmtId="0" fontId="0" fillId="0" borderId="0">
      <alignment vertical="center"/>
    </xf>
    <xf numFmtId="0" fontId="2" fillId="0" borderId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0" fontId="14" fillId="0" borderId="0"/>
  </cellStyleXfs>
  <cellXfs count="103">
    <xf numFmtId="0" fontId="0" fillId="0" borderId="0" xfId="0">
      <alignment vertical="center"/>
    </xf>
    <xf numFmtId="0" fontId="3" fillId="0" borderId="0" xfId="1" applyFont="1"/>
    <xf numFmtId="0" fontId="7" fillId="0" borderId="0" xfId="1" applyFont="1"/>
    <xf numFmtId="0" fontId="7" fillId="0" borderId="1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41" fontId="7" fillId="0" borderId="2" xfId="2" applyFont="1" applyBorder="1"/>
    <xf numFmtId="0" fontId="7" fillId="0" borderId="2" xfId="1" applyFont="1" applyBorder="1"/>
    <xf numFmtId="0" fontId="7" fillId="0" borderId="3" xfId="1" applyFont="1" applyBorder="1" applyAlignment="1">
      <alignment horizontal="center" vertical="center"/>
    </xf>
    <xf numFmtId="41" fontId="7" fillId="0" borderId="3" xfId="2" applyFont="1" applyBorder="1"/>
    <xf numFmtId="0" fontId="7" fillId="0" borderId="3" xfId="1" applyFont="1" applyBorder="1"/>
    <xf numFmtId="41" fontId="7" fillId="0" borderId="1" xfId="2" applyFont="1" applyBorder="1"/>
    <xf numFmtId="0" fontId="7" fillId="0" borderId="1" xfId="1" applyFont="1" applyBorder="1"/>
    <xf numFmtId="0" fontId="7" fillId="0" borderId="4" xfId="1" applyFont="1" applyBorder="1"/>
    <xf numFmtId="0" fontId="7" fillId="0" borderId="0" xfId="1" applyFont="1" applyBorder="1" applyAlignment="1">
      <alignment horizontal="center"/>
    </xf>
    <xf numFmtId="41" fontId="7" fillId="0" borderId="0" xfId="2" applyFont="1" applyBorder="1"/>
    <xf numFmtId="0" fontId="7" fillId="0" borderId="0" xfId="1" applyFont="1" applyBorder="1"/>
    <xf numFmtId="0" fontId="3" fillId="0" borderId="0" xfId="1" applyFont="1" applyFill="1"/>
    <xf numFmtId="14" fontId="3" fillId="0" borderId="0" xfId="1" applyNumberFormat="1" applyFont="1"/>
    <xf numFmtId="0" fontId="3" fillId="0" borderId="5" xfId="1" applyFont="1" applyBorder="1" applyAlignment="1">
      <alignment horizontal="center"/>
    </xf>
    <xf numFmtId="0" fontId="3" fillId="0" borderId="0" xfId="1" applyFont="1" applyAlignment="1">
      <alignment horizontal="center"/>
    </xf>
    <xf numFmtId="41" fontId="3" fillId="0" borderId="0" xfId="2" applyFont="1"/>
    <xf numFmtId="9" fontId="9" fillId="0" borderId="0" xfId="3" applyNumberFormat="1" applyFont="1"/>
    <xf numFmtId="41" fontId="9" fillId="0" borderId="0" xfId="2" applyFont="1"/>
    <xf numFmtId="42" fontId="9" fillId="0" borderId="0" xfId="4" applyFont="1"/>
    <xf numFmtId="41" fontId="3" fillId="0" borderId="6" xfId="1" applyNumberFormat="1" applyFont="1" applyBorder="1"/>
    <xf numFmtId="0" fontId="3" fillId="0" borderId="6" xfId="1" applyFont="1" applyBorder="1"/>
    <xf numFmtId="41" fontId="3" fillId="0" borderId="6" xfId="2" applyFont="1" applyBorder="1"/>
    <xf numFmtId="42" fontId="3" fillId="0" borderId="6" xfId="4" applyFont="1" applyBorder="1"/>
    <xf numFmtId="9" fontId="3" fillId="0" borderId="0" xfId="1" applyNumberFormat="1" applyFont="1"/>
    <xf numFmtId="0" fontId="3" fillId="0" borderId="7" xfId="1" applyFont="1" applyBorder="1"/>
    <xf numFmtId="0" fontId="3" fillId="0" borderId="8" xfId="1" applyFont="1" applyBorder="1"/>
    <xf numFmtId="9" fontId="3" fillId="0" borderId="8" xfId="1" applyNumberFormat="1" applyFont="1" applyBorder="1"/>
    <xf numFmtId="0" fontId="10" fillId="0" borderId="0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3" fillId="2" borderId="3" xfId="1" applyFont="1" applyFill="1" applyBorder="1" applyAlignment="1">
      <alignment horizontal="center"/>
    </xf>
    <xf numFmtId="0" fontId="3" fillId="0" borderId="3" xfId="1" applyFont="1" applyBorder="1"/>
    <xf numFmtId="41" fontId="9" fillId="0" borderId="3" xfId="2" applyFont="1" applyBorder="1"/>
    <xf numFmtId="0" fontId="3" fillId="0" borderId="3" xfId="1" applyFont="1" applyFill="1" applyBorder="1" applyAlignment="1">
      <alignment horizontal="center"/>
    </xf>
    <xf numFmtId="0" fontId="3" fillId="0" borderId="3" xfId="1" applyFont="1" applyFill="1" applyBorder="1"/>
    <xf numFmtId="0" fontId="3" fillId="0" borderId="0" xfId="1" applyFont="1" applyFill="1" applyBorder="1"/>
    <xf numFmtId="0" fontId="3" fillId="0" borderId="0" xfId="1" applyFont="1" applyBorder="1"/>
    <xf numFmtId="176" fontId="3" fillId="0" borderId="0" xfId="1" applyNumberFormat="1" applyFont="1" applyFill="1" applyBorder="1"/>
    <xf numFmtId="41" fontId="3" fillId="0" borderId="3" xfId="2" applyFont="1" applyBorder="1"/>
    <xf numFmtId="9" fontId="3" fillId="0" borderId="3" xfId="3" applyFont="1" applyBorder="1"/>
    <xf numFmtId="0" fontId="3" fillId="2" borderId="3" xfId="1" applyNumberFormat="1" applyFont="1" applyFill="1" applyBorder="1" applyAlignment="1">
      <alignment horizontal="center"/>
    </xf>
    <xf numFmtId="0" fontId="3" fillId="2" borderId="3" xfId="1" applyFont="1" applyFill="1" applyBorder="1"/>
    <xf numFmtId="0" fontId="7" fillId="2" borderId="3" xfId="1" applyFont="1" applyFill="1" applyBorder="1"/>
    <xf numFmtId="9" fontId="3" fillId="2" borderId="3" xfId="1" applyNumberFormat="1" applyFont="1" applyFill="1" applyBorder="1"/>
    <xf numFmtId="41" fontId="3" fillId="0" borderId="3" xfId="2" applyFont="1" applyFill="1" applyBorder="1"/>
    <xf numFmtId="9" fontId="3" fillId="0" borderId="0" xfId="3" applyFont="1"/>
    <xf numFmtId="41" fontId="3" fillId="0" borderId="3" xfId="1" applyNumberFormat="1" applyFont="1" applyBorder="1"/>
    <xf numFmtId="0" fontId="3" fillId="0" borderId="0" xfId="1" applyFont="1" applyBorder="1" applyAlignment="1">
      <alignment horizontal="center"/>
    </xf>
    <xf numFmtId="0" fontId="10" fillId="0" borderId="0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3" fillId="0" borderId="14" xfId="1" applyFont="1" applyBorder="1" applyAlignment="1">
      <alignment horizontal="center"/>
    </xf>
    <xf numFmtId="0" fontId="3" fillId="0" borderId="15" xfId="1" applyFont="1" applyBorder="1" applyAlignment="1">
      <alignment horizontal="center"/>
    </xf>
    <xf numFmtId="0" fontId="3" fillId="0" borderId="16" xfId="1" applyFont="1" applyBorder="1" applyAlignment="1">
      <alignment horizontal="center"/>
    </xf>
    <xf numFmtId="0" fontId="3" fillId="0" borderId="17" xfId="1" applyFont="1" applyBorder="1"/>
    <xf numFmtId="41" fontId="3" fillId="0" borderId="2" xfId="2" applyFont="1" applyBorder="1"/>
    <xf numFmtId="10" fontId="3" fillId="0" borderId="2" xfId="3" applyNumberFormat="1" applyFont="1" applyBorder="1"/>
    <xf numFmtId="0" fontId="3" fillId="0" borderId="18" xfId="1" applyFont="1" applyBorder="1" applyAlignment="1">
      <alignment horizontal="center"/>
    </xf>
    <xf numFmtId="0" fontId="3" fillId="0" borderId="19" xfId="1" applyFont="1" applyBorder="1"/>
    <xf numFmtId="10" fontId="3" fillId="0" borderId="3" xfId="3" applyNumberFormat="1" applyFont="1" applyBorder="1"/>
    <xf numFmtId="0" fontId="3" fillId="0" borderId="20" xfId="1" applyFont="1" applyBorder="1" applyAlignment="1">
      <alignment horizontal="center"/>
    </xf>
    <xf numFmtId="41" fontId="3" fillId="0" borderId="22" xfId="2" applyFont="1" applyBorder="1"/>
    <xf numFmtId="41" fontId="3" fillId="0" borderId="23" xfId="2" applyFont="1" applyBorder="1"/>
    <xf numFmtId="0" fontId="10" fillId="0" borderId="0" xfId="1" applyFont="1" applyAlignment="1">
      <alignment horizontal="center"/>
    </xf>
    <xf numFmtId="3" fontId="3" fillId="0" borderId="0" xfId="1" applyNumberFormat="1" applyFont="1"/>
    <xf numFmtId="0" fontId="0" fillId="4" borderId="24" xfId="0" applyFont="1" applyFill="1" applyBorder="1">
      <alignment vertical="center"/>
    </xf>
    <xf numFmtId="0" fontId="0" fillId="4" borderId="25" xfId="0" applyFont="1" applyFill="1" applyBorder="1">
      <alignment vertical="center"/>
    </xf>
    <xf numFmtId="0" fontId="0" fillId="4" borderId="26" xfId="0" applyFont="1" applyFill="1" applyBorder="1">
      <alignment vertical="center"/>
    </xf>
    <xf numFmtId="0" fontId="1" fillId="3" borderId="27" xfId="0" applyFont="1" applyFill="1" applyBorder="1">
      <alignment vertical="center"/>
    </xf>
    <xf numFmtId="0" fontId="1" fillId="3" borderId="28" xfId="0" applyFont="1" applyFill="1" applyBorder="1">
      <alignment vertical="center"/>
    </xf>
    <xf numFmtId="0" fontId="1" fillId="3" borderId="29" xfId="0" applyFont="1" applyFill="1" applyBorder="1">
      <alignment vertical="center"/>
    </xf>
    <xf numFmtId="0" fontId="0" fillId="4" borderId="27" xfId="0" applyFont="1" applyFill="1" applyBorder="1">
      <alignment vertical="center"/>
    </xf>
    <xf numFmtId="0" fontId="0" fillId="4" borderId="28" xfId="0" applyFont="1" applyFill="1" applyBorder="1">
      <alignment vertical="center"/>
    </xf>
    <xf numFmtId="0" fontId="0" fillId="4" borderId="29" xfId="0" applyFont="1" applyFill="1" applyBorder="1">
      <alignment vertical="center"/>
    </xf>
    <xf numFmtId="0" fontId="0" fillId="0" borderId="27" xfId="0" applyFont="1" applyBorder="1">
      <alignment vertical="center"/>
    </xf>
    <xf numFmtId="0" fontId="0" fillId="0" borderId="28" xfId="0" applyFont="1" applyBorder="1">
      <alignment vertical="center"/>
    </xf>
    <xf numFmtId="0" fontId="0" fillId="0" borderId="29" xfId="0" applyFont="1" applyBorder="1">
      <alignment vertical="center"/>
    </xf>
    <xf numFmtId="0" fontId="13" fillId="5" borderId="30" xfId="5" applyFont="1" applyFill="1" applyBorder="1" applyAlignment="1">
      <alignment horizontal="center"/>
    </xf>
    <xf numFmtId="0" fontId="13" fillId="0" borderId="31" xfId="5" applyFont="1" applyFill="1" applyBorder="1" applyAlignment="1">
      <alignment wrapText="1"/>
    </xf>
    <xf numFmtId="177" fontId="13" fillId="0" borderId="31" xfId="5" applyNumberFormat="1" applyFont="1" applyFill="1" applyBorder="1" applyAlignment="1">
      <alignment horizontal="right" wrapText="1"/>
    </xf>
    <xf numFmtId="0" fontId="14" fillId="0" borderId="0" xfId="5"/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6" fillId="0" borderId="0" xfId="1" applyFont="1" applyAlignment="1">
      <alignment horizontal="center"/>
    </xf>
    <xf numFmtId="0" fontId="7" fillId="0" borderId="2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3" fillId="0" borderId="6" xfId="1" applyFont="1" applyBorder="1" applyAlignment="1">
      <alignment horizontal="center"/>
    </xf>
    <xf numFmtId="0" fontId="3" fillId="0" borderId="3" xfId="1" applyFont="1" applyBorder="1" applyAlignment="1">
      <alignment horizontal="center" vertical="center"/>
    </xf>
    <xf numFmtId="0" fontId="3" fillId="0" borderId="3" xfId="1" applyFont="1" applyBorder="1" applyAlignment="1">
      <alignment horizontal="center"/>
    </xf>
    <xf numFmtId="0" fontId="3" fillId="0" borderId="9" xfId="1" applyFont="1" applyBorder="1" applyAlignment="1">
      <alignment horizontal="center"/>
    </xf>
    <xf numFmtId="0" fontId="3" fillId="0" borderId="10" xfId="1" applyFont="1" applyBorder="1" applyAlignment="1">
      <alignment horizontal="center"/>
    </xf>
    <xf numFmtId="0" fontId="3" fillId="0" borderId="11" xfId="1" applyFont="1" applyBorder="1" applyAlignment="1">
      <alignment horizontal="center"/>
    </xf>
    <xf numFmtId="0" fontId="3" fillId="0" borderId="12" xfId="1" applyFont="1" applyBorder="1" applyAlignment="1">
      <alignment horizontal="center"/>
    </xf>
    <xf numFmtId="0" fontId="10" fillId="0" borderId="13" xfId="1" applyFont="1" applyBorder="1" applyAlignment="1">
      <alignment horizontal="center" vertical="center"/>
    </xf>
    <xf numFmtId="0" fontId="11" fillId="0" borderId="0" xfId="1" applyFont="1" applyAlignment="1">
      <alignment horizontal="center"/>
    </xf>
    <xf numFmtId="0" fontId="3" fillId="0" borderId="21" xfId="1" applyFont="1" applyBorder="1" applyAlignment="1">
      <alignment horizontal="center"/>
    </xf>
    <xf numFmtId="0" fontId="3" fillId="0" borderId="22" xfId="1" applyFont="1" applyBorder="1" applyAlignment="1">
      <alignment horizontal="center"/>
    </xf>
  </cellXfs>
  <cellStyles count="6">
    <cellStyle name="백분율 2" xfId="3"/>
    <cellStyle name="쉼표 [0] 2" xfId="2"/>
    <cellStyle name="통화 [0] 2" xfId="4"/>
    <cellStyle name="표준" xfId="0" builtinId="0"/>
    <cellStyle name="표준 2" xfId="1"/>
    <cellStyle name="표준_분석작업-1" xfId="5"/>
  </cellStyles>
  <dxfs count="3">
    <dxf>
      <alignment horizontal="center" readingOrder="0"/>
    </dxf>
    <dxf>
      <alignment vertical="center" readingOrder="0"/>
    </dxf>
    <dxf>
      <font>
        <b/>
        <i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0">
                <a:latin typeface="굴림체" panose="020B0609000101010101" pitchFamily="49" charset="-127"/>
                <a:ea typeface="굴림체" panose="020B0609000101010101" pitchFamily="49" charset="-127"/>
              </a:defRPr>
            </a:pPr>
            <a:r>
              <a:rPr lang="ko-KR" altLang="en-US" sz="1500">
                <a:latin typeface="굴림체" panose="020B0609000101010101" pitchFamily="49" charset="-127"/>
                <a:ea typeface="굴림체" panose="020B0609000101010101" pitchFamily="49" charset="-127"/>
              </a:rPr>
              <a:t>장비 판매 내역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판매액</c:v>
                </c:pt>
              </c:strCache>
            </c:strRef>
          </c:tx>
          <c:invertIfNegative val="0"/>
          <c:dLbls>
            <c:dLbl>
              <c:idx val="1"/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'기타작업-1'!$D$4:$D$9</c:f>
              <c:numCache>
                <c:formatCode>_(* #,##0_);_(* \(#,##0\);_(* "-"_);_(@_)</c:formatCode>
                <c:ptCount val="6"/>
                <c:pt idx="0">
                  <c:v>125000</c:v>
                </c:pt>
                <c:pt idx="1">
                  <c:v>180000</c:v>
                </c:pt>
                <c:pt idx="2">
                  <c:v>6750</c:v>
                </c:pt>
                <c:pt idx="3">
                  <c:v>22500</c:v>
                </c:pt>
                <c:pt idx="4">
                  <c:v>23100</c:v>
                </c:pt>
                <c:pt idx="5">
                  <c:v>34680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5595520"/>
        <c:axId val="146058048"/>
      </c:barChart>
      <c:lineChart>
        <c:grouping val="standard"/>
        <c:varyColors val="0"/>
        <c:ser>
          <c:idx val="1"/>
          <c:order val="1"/>
          <c:tx>
            <c:strRef>
              <c:f>'기타작업-1'!$E$3</c:f>
              <c:strCache>
                <c:ptCount val="1"/>
                <c:pt idx="0">
                  <c:v>목표량</c:v>
                </c:pt>
              </c:strCache>
            </c:strRef>
          </c:tx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'기타작업-1'!$E$4:$E$9</c:f>
              <c:numCache>
                <c:formatCode>_(* #,##0_);_(* \(#,##0\);_(* "-"_);_(@_)</c:formatCode>
                <c:ptCount val="6"/>
                <c:pt idx="0">
                  <c:v>45</c:v>
                </c:pt>
                <c:pt idx="1">
                  <c:v>245</c:v>
                </c:pt>
                <c:pt idx="2">
                  <c:v>50</c:v>
                </c:pt>
                <c:pt idx="3">
                  <c:v>150</c:v>
                </c:pt>
                <c:pt idx="4">
                  <c:v>250</c:v>
                </c:pt>
                <c:pt idx="5">
                  <c:v>450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597056"/>
        <c:axId val="146058624"/>
      </c:lineChart>
      <c:catAx>
        <c:axId val="13559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품목</a:t>
                </a:r>
              </a:p>
            </c:rich>
          </c:tx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800" i="1"/>
            </a:pPr>
            <a:endParaRPr lang="ko-KR"/>
          </a:p>
        </c:txPr>
        <c:crossAx val="146058048"/>
        <c:crosses val="autoZero"/>
        <c:auto val="1"/>
        <c:lblAlgn val="ctr"/>
        <c:lblOffset val="100"/>
        <c:noMultiLvlLbl val="0"/>
      </c:catAx>
      <c:valAx>
        <c:axId val="1460580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35595520"/>
        <c:crosses val="autoZero"/>
        <c:crossBetween val="between"/>
        <c:dispUnits>
          <c:builtInUnit val="thousands"/>
          <c:dispUnitsLbl/>
        </c:dispUnits>
      </c:valAx>
      <c:valAx>
        <c:axId val="146058624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35597056"/>
        <c:crosses val="max"/>
        <c:crossBetween val="between"/>
      </c:valAx>
      <c:catAx>
        <c:axId val="135597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46058624"/>
        <c:crosses val="autoZero"/>
        <c:auto val="1"/>
        <c:lblAlgn val="ctr"/>
        <c:lblOffset val="100"/>
        <c:noMultiLvlLbl val="0"/>
      </c:catAx>
    </c:plotArea>
    <c:legend>
      <c:legendPos val="t"/>
      <c:overlay val="0"/>
      <c:spPr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11</xdr:row>
      <xdr:rowOff>0</xdr:rowOff>
    </xdr:from>
    <xdr:to>
      <xdr:col>4</xdr:col>
      <xdr:colOff>857250</xdr:colOff>
      <xdr:row>13</xdr:row>
      <xdr:rowOff>133350</xdr:rowOff>
    </xdr:to>
    <xdr:sp macro="[0]!평균" textlink="">
      <xdr:nvSpPr>
        <xdr:cNvPr id="2" name="모서리가 둥근 사각형 설명선 1"/>
        <xdr:cNvSpPr/>
      </xdr:nvSpPr>
      <xdr:spPr>
        <a:xfrm>
          <a:off x="2743200" y="2305050"/>
          <a:ext cx="857250" cy="552450"/>
        </a:xfrm>
        <a:prstGeom prst="wedgeRoundRect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 i="1"/>
            <a:t>월별평균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0</xdr:rowOff>
    </xdr:from>
    <xdr:to>
      <xdr:col>1</xdr:col>
      <xdr:colOff>704850</xdr:colOff>
      <xdr:row>0</xdr:row>
      <xdr:rowOff>0</xdr:rowOff>
    </xdr:to>
    <xdr:sp macro="" textlink="">
      <xdr:nvSpPr>
        <xdr:cNvPr id="2" name="Oval 1"/>
        <xdr:cNvSpPr>
          <a:spLocks noChangeArrowheads="1"/>
        </xdr:cNvSpPr>
      </xdr:nvSpPr>
      <xdr:spPr bwMode="auto">
        <a:xfrm>
          <a:off x="95250" y="0"/>
          <a:ext cx="1466850" cy="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오름차순정렬</a:t>
          </a:r>
        </a:p>
      </xdr:txBody>
    </xdr:sp>
    <xdr:clientData/>
  </xdr:twoCellAnchor>
  <xdr:twoCellAnchor>
    <xdr:from>
      <xdr:col>2</xdr:col>
      <xdr:colOff>9525</xdr:colOff>
      <xdr:row>0</xdr:row>
      <xdr:rowOff>0</xdr:rowOff>
    </xdr:from>
    <xdr:to>
      <xdr:col>4</xdr:col>
      <xdr:colOff>0</xdr:colOff>
      <xdr:row>0</xdr:row>
      <xdr:rowOff>0</xdr:rowOff>
    </xdr:to>
    <xdr:sp macro="" textlink="">
      <xdr:nvSpPr>
        <xdr:cNvPr id="3" name="AutoShape 2"/>
        <xdr:cNvSpPr>
          <a:spLocks noChangeArrowheads="1"/>
        </xdr:cNvSpPr>
      </xdr:nvSpPr>
      <xdr:spPr bwMode="auto">
        <a:xfrm>
          <a:off x="1600200" y="0"/>
          <a:ext cx="1381125" cy="0"/>
        </a:xfrm>
        <a:prstGeom prst="plus">
          <a:avLst>
            <a:gd name="adj" fmla="val 250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0" i="0" u="none" strike="noStrike" baseline="0">
              <a:solidFill>
                <a:srgbClr val="000000"/>
              </a:solidFill>
              <a:latin typeface="돋움"/>
              <a:ea typeface="돋움"/>
            </a:rPr>
            <a:t>표시형식</a:t>
          </a: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7</xdr:col>
      <xdr:colOff>0</xdr:colOff>
      <xdr:row>28</xdr:row>
      <xdr:rowOff>0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19050</xdr:rowOff>
        </xdr:from>
        <xdr:to>
          <xdr:col>3</xdr:col>
          <xdr:colOff>466725</xdr:colOff>
          <xdr:row>1</xdr:row>
          <xdr:rowOff>133350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77.000728472223" createdVersion="4" refreshedVersion="4" minRefreshableVersion="3" recordCount="10">
  <cacheSource type="worksheet">
    <worksheetSource ref="A2:H12" sheet="분석작업-1"/>
  </cacheSource>
  <cacheFields count="9">
    <cacheField name="성명" numFmtId="0">
      <sharedItems count="10">
        <s v="강감찬"/>
        <s v="최재석"/>
        <s v="최강석"/>
        <s v="조민준"/>
        <s v="이충렬"/>
        <s v="김재욱"/>
        <s v="서정화"/>
        <s v="송치윤"/>
        <s v="송혜영"/>
        <s v="김구완"/>
      </sharedItems>
    </cacheField>
    <cacheField name="부서명" numFmtId="0">
      <sharedItems count="3">
        <s v="회계부"/>
        <s v="기획인사부"/>
        <s v="영업부"/>
      </sharedItems>
    </cacheField>
    <cacheField name="직책" numFmtId="0">
      <sharedItems count="5">
        <s v="부장"/>
        <s v="과장"/>
        <s v="사원"/>
        <s v="대리"/>
        <s v="차장"/>
      </sharedItems>
    </cacheField>
    <cacheField name="근속기간" numFmtId="0">
      <sharedItems/>
    </cacheField>
    <cacheField name="기본급" numFmtId="177">
      <sharedItems containsSemiMixedTypes="0" containsString="0" containsNumber="1" containsInteger="1" minValue="1500" maxValue="2800"/>
    </cacheField>
    <cacheField name="상여금" numFmtId="177">
      <sharedItems containsSemiMixedTypes="0" containsString="0" containsNumber="1" containsInteger="1" minValue="5000" maxValue="11200"/>
    </cacheField>
    <cacheField name="수당" numFmtId="177">
      <sharedItems containsSemiMixedTypes="0" containsString="0" containsNumber="1" containsInteger="1" minValue="20" maxValue="140"/>
    </cacheField>
    <cacheField name="퇴직금" numFmtId="0">
      <sharedItems containsString="0" containsBlank="1" containsNumber="1" containsInteger="1" minValue="18340" maxValue="70140"/>
    </cacheField>
    <cacheField name="비율" numFmtId="0" formula="퇴직금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">
  <r>
    <x v="0"/>
    <x v="0"/>
    <x v="0"/>
    <s v="25"/>
    <n v="2800"/>
    <n v="11200"/>
    <n v="140"/>
    <n v="18340"/>
  </r>
  <r>
    <x v="1"/>
    <x v="0"/>
    <x v="1"/>
    <s v="12"/>
    <n v="2000"/>
    <n v="8000"/>
    <n v="40"/>
    <n v="32040"/>
  </r>
  <r>
    <x v="2"/>
    <x v="1"/>
    <x v="0"/>
    <s v="21"/>
    <n v="2800"/>
    <n v="11200"/>
    <n v="140"/>
    <n v="70140"/>
  </r>
  <r>
    <x v="3"/>
    <x v="2"/>
    <x v="2"/>
    <s v="1"/>
    <n v="1500"/>
    <n v="5000"/>
    <n v="20"/>
    <m/>
  </r>
  <r>
    <x v="4"/>
    <x v="2"/>
    <x v="3"/>
    <s v="9"/>
    <n v="1800"/>
    <n v="7200"/>
    <n v="36"/>
    <n v="23436"/>
  </r>
  <r>
    <x v="5"/>
    <x v="0"/>
    <x v="1"/>
    <s v="18"/>
    <n v="2000"/>
    <n v="8000"/>
    <n v="40"/>
    <n v="44040"/>
  </r>
  <r>
    <x v="6"/>
    <x v="0"/>
    <x v="4"/>
    <s v="22"/>
    <n v="2500"/>
    <n v="10000"/>
    <n v="125"/>
    <n v="65125"/>
  </r>
  <r>
    <x v="7"/>
    <x v="1"/>
    <x v="3"/>
    <s v="14"/>
    <n v="1800"/>
    <n v="7200"/>
    <n v="36"/>
    <n v="32436"/>
  </r>
  <r>
    <x v="8"/>
    <x v="0"/>
    <x v="2"/>
    <s v="1"/>
    <n v="1500"/>
    <n v="5000"/>
    <n v="20"/>
    <m/>
  </r>
  <r>
    <x v="9"/>
    <x v="2"/>
    <x v="3"/>
    <s v="7"/>
    <n v="1800"/>
    <n v="7200"/>
    <n v="36"/>
    <n v="198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4" cacheId="16" applyNumberFormats="0" applyBorderFormats="0" applyFontFormats="0" applyPatternFormats="0" applyAlignmentFormats="0" applyWidthHeightFormats="1" dataCaption="값" updatedVersion="4" minRefreshableVersion="3" showDrill="0" useAutoFormatting="1" itemPrintTitles="1" createdVersion="4" indent="0" compact="0" outline="1" outlineData="1" compactData="0" multipleFieldFilters="0">
  <location ref="A17:F31" firstHeaderRow="0" firstDataRow="1" firstDataCol="2" rowPageCount="1" colPageCount="1"/>
  <pivotFields count="9">
    <pivotField axis="axisPage" compact="0" showAll="0">
      <items count="11">
        <item x="0"/>
        <item x="9"/>
        <item x="5"/>
        <item x="6"/>
        <item x="7"/>
        <item x="8"/>
        <item x="4"/>
        <item x="3"/>
        <item x="2"/>
        <item x="1"/>
        <item t="default"/>
      </items>
    </pivotField>
    <pivotField axis="axisRow" compact="0" showAll="0">
      <items count="4">
        <item x="1"/>
        <item x="2"/>
        <item x="0"/>
        <item t="default"/>
      </items>
    </pivotField>
    <pivotField axis="axisRow" compact="0" showAll="0">
      <items count="6">
        <item x="1"/>
        <item x="3"/>
        <item x="0"/>
        <item x="2"/>
        <item x="4"/>
        <item t="default"/>
      </items>
    </pivotField>
    <pivotField compact="0" showAll="0"/>
    <pivotField dataField="1" compact="0" numFmtId="177" showAll="0"/>
    <pivotField dataField="1" compact="0" numFmtId="177" showAll="0"/>
    <pivotField compact="0" numFmtId="177" showAll="0"/>
    <pivotField dataField="1" compact="0" showAll="0"/>
    <pivotField dataField="1" compact="0" dragToRow="0" dragToCol="0" dragToPage="0" showAll="0" defaultSubtotal="0"/>
  </pivotFields>
  <rowFields count="2">
    <field x="2"/>
    <field x="1"/>
  </rowFields>
  <rowItems count="14">
    <i>
      <x/>
    </i>
    <i r="1">
      <x v="2"/>
    </i>
    <i>
      <x v="1"/>
    </i>
    <i r="1">
      <x/>
    </i>
    <i r="1">
      <x v="1"/>
    </i>
    <i>
      <x v="2"/>
    </i>
    <i r="1">
      <x/>
    </i>
    <i r="1">
      <x v="2"/>
    </i>
    <i>
      <x v="3"/>
    </i>
    <i r="1">
      <x v="1"/>
    </i>
    <i r="1">
      <x v="2"/>
    </i>
    <i>
      <x v="4"/>
    </i>
    <i r="1">
      <x v="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합계 : 기본급" fld="4" baseField="2" baseItem="0" numFmtId="178"/>
    <dataField name="합계 : 상여금" fld="5" baseField="2" baseItem="0" numFmtId="178"/>
    <dataField name="합계 : 퇴직금" fld="7" baseField="2" baseItem="0" numFmtId="178"/>
    <dataField name="합계 : 비율" fld="8" showDataAs="percentOfCol" baseField="0" baseItem="0" numFmtId="10"/>
  </dataFields>
  <formats count="2">
    <format dxfId="1">
      <pivotArea type="all" dataOnly="0" outline="0" fieldPosition="0"/>
    </format>
    <format dxfId="0">
      <pivotArea type="all" dataOnly="0" outline="0" fieldPosition="0"/>
    </format>
  </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"/>
  <sheetViews>
    <sheetView tabSelected="1" workbookViewId="0"/>
  </sheetViews>
  <sheetFormatPr defaultRowHeight="16.5"/>
  <cols>
    <col min="1" max="1" width="11.25" customWidth="1"/>
    <col min="2" max="2" width="15.125" customWidth="1"/>
    <col min="3" max="3" width="9.375" customWidth="1"/>
    <col min="4" max="4" width="7.5" customWidth="1"/>
    <col min="5" max="5" width="11.25" customWidth="1"/>
    <col min="6" max="6" width="7.5" customWidth="1"/>
    <col min="7" max="7" width="8.5" customWidth="1"/>
    <col min="8" max="8" width="13" customWidth="1"/>
    <col min="9" max="9" width="16.125" bestFit="1" customWidth="1"/>
  </cols>
  <sheetData>
    <row r="1" spans="1:7">
      <c r="A1" s="1"/>
      <c r="B1" s="1"/>
      <c r="C1" s="1"/>
    </row>
    <row r="2" spans="1:7">
      <c r="A2" s="1"/>
      <c r="B2" s="1"/>
      <c r="C2" s="1" t="s">
        <v>0</v>
      </c>
    </row>
    <row r="4" spans="1:7">
      <c r="A4" s="71" t="s">
        <v>183</v>
      </c>
      <c r="B4" s="72" t="s">
        <v>184</v>
      </c>
      <c r="C4" s="72" t="s">
        <v>185</v>
      </c>
      <c r="D4" s="72" t="s">
        <v>186</v>
      </c>
      <c r="E4" s="72" t="s">
        <v>187</v>
      </c>
      <c r="F4" s="72" t="s">
        <v>188</v>
      </c>
      <c r="G4" s="73" t="s">
        <v>189</v>
      </c>
    </row>
    <row r="5" spans="1:7">
      <c r="A5" s="74">
        <v>11</v>
      </c>
      <c r="B5" s="75" t="s">
        <v>190</v>
      </c>
      <c r="C5" s="75" t="s">
        <v>191</v>
      </c>
      <c r="D5" s="75">
        <v>20</v>
      </c>
      <c r="E5" s="75">
        <v>290909</v>
      </c>
      <c r="F5" s="75">
        <v>29091</v>
      </c>
      <c r="G5" s="76">
        <v>320000</v>
      </c>
    </row>
    <row r="6" spans="1:7">
      <c r="A6" s="77">
        <v>9</v>
      </c>
      <c r="B6" s="78" t="s">
        <v>192</v>
      </c>
      <c r="C6" s="78" t="s">
        <v>191</v>
      </c>
      <c r="D6" s="78">
        <v>300</v>
      </c>
      <c r="E6" s="78">
        <v>2400000</v>
      </c>
      <c r="F6" s="78">
        <v>240000</v>
      </c>
      <c r="G6" s="79">
        <v>2640000</v>
      </c>
    </row>
    <row r="7" spans="1:7">
      <c r="A7" s="74">
        <v>6</v>
      </c>
      <c r="B7" s="75" t="s">
        <v>192</v>
      </c>
      <c r="C7" s="75" t="s">
        <v>191</v>
      </c>
      <c r="D7" s="75">
        <v>50</v>
      </c>
      <c r="E7" s="75">
        <v>568182</v>
      </c>
      <c r="F7" s="75">
        <v>56818</v>
      </c>
      <c r="G7" s="76">
        <v>625000</v>
      </c>
    </row>
    <row r="8" spans="1:7">
      <c r="A8" s="77">
        <v>8</v>
      </c>
      <c r="B8" s="78" t="s">
        <v>193</v>
      </c>
      <c r="C8" s="78" t="s">
        <v>191</v>
      </c>
      <c r="D8" s="78">
        <v>0</v>
      </c>
      <c r="E8" s="78">
        <v>327273</v>
      </c>
      <c r="F8" s="78">
        <v>-87273</v>
      </c>
      <c r="G8" s="79">
        <v>0</v>
      </c>
    </row>
    <row r="9" spans="1:7">
      <c r="A9" s="74">
        <v>15</v>
      </c>
      <c r="B9" s="75" t="s">
        <v>194</v>
      </c>
      <c r="C9" s="75" t="s">
        <v>191</v>
      </c>
      <c r="D9" s="75">
        <v>1</v>
      </c>
      <c r="E9" s="75">
        <v>21818</v>
      </c>
      <c r="F9" s="75">
        <v>2182</v>
      </c>
      <c r="G9" s="76">
        <v>24000</v>
      </c>
    </row>
    <row r="10" spans="1:7">
      <c r="A10" s="77">
        <v>10</v>
      </c>
      <c r="B10" s="78" t="s">
        <v>194</v>
      </c>
      <c r="C10" s="78" t="s">
        <v>191</v>
      </c>
      <c r="D10" s="78">
        <v>-3</v>
      </c>
      <c r="E10" s="78">
        <v>-34091</v>
      </c>
      <c r="F10" s="78">
        <v>-3409</v>
      </c>
      <c r="G10" s="79">
        <v>-37500</v>
      </c>
    </row>
    <row r="11" spans="1:7">
      <c r="A11" s="74">
        <v>17</v>
      </c>
      <c r="B11" s="75" t="s">
        <v>195</v>
      </c>
      <c r="C11" s="75" t="s">
        <v>191</v>
      </c>
      <c r="D11" s="75">
        <v>200</v>
      </c>
      <c r="E11" s="75">
        <v>2272727</v>
      </c>
      <c r="F11" s="75">
        <v>227273</v>
      </c>
      <c r="G11" s="76">
        <v>2500000</v>
      </c>
    </row>
    <row r="12" spans="1:7">
      <c r="A12" s="77">
        <v>26</v>
      </c>
      <c r="B12" s="78" t="s">
        <v>196</v>
      </c>
      <c r="C12" s="78" t="s">
        <v>191</v>
      </c>
      <c r="D12" s="78">
        <v>200</v>
      </c>
      <c r="E12" s="78">
        <v>1454545</v>
      </c>
      <c r="F12" s="78">
        <v>145455</v>
      </c>
      <c r="G12" s="79">
        <v>1600000</v>
      </c>
    </row>
    <row r="13" spans="1:7">
      <c r="A13" s="68">
        <v>6</v>
      </c>
      <c r="B13" s="69" t="s">
        <v>197</v>
      </c>
      <c r="C13" s="69" t="s">
        <v>191</v>
      </c>
      <c r="D13" s="69">
        <v>300</v>
      </c>
      <c r="E13" s="69">
        <v>3409091</v>
      </c>
      <c r="F13" s="69">
        <v>340909</v>
      </c>
      <c r="G13" s="70">
        <v>3750000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6"/>
  <sheetViews>
    <sheetView workbookViewId="0"/>
  </sheetViews>
  <sheetFormatPr defaultRowHeight="16.5"/>
  <cols>
    <col min="1" max="1" width="14.375" bestFit="1" customWidth="1"/>
    <col min="2" max="2" width="7.125" bestFit="1" customWidth="1"/>
    <col min="3" max="3" width="9" bestFit="1" customWidth="1"/>
    <col min="4" max="5" width="11.125" bestFit="1" customWidth="1"/>
    <col min="6" max="6" width="11.875" bestFit="1" customWidth="1"/>
    <col min="7" max="7" width="11.125" bestFit="1" customWidth="1"/>
    <col min="8" max="8" width="10.875" bestFit="1" customWidth="1"/>
    <col min="9" max="9" width="13.5" bestFit="1" customWidth="1"/>
  </cols>
  <sheetData>
    <row r="1" spans="1:9">
      <c r="A1" s="1" t="s">
        <v>1</v>
      </c>
      <c r="B1" s="1"/>
      <c r="C1" s="1"/>
      <c r="D1" s="1"/>
      <c r="E1" s="1"/>
      <c r="F1" s="1"/>
      <c r="G1" s="1"/>
      <c r="H1" s="1"/>
      <c r="I1" s="1"/>
    </row>
    <row r="2" spans="1:9" ht="31.5">
      <c r="A2" s="89" t="s">
        <v>2</v>
      </c>
      <c r="B2" s="89"/>
      <c r="C2" s="89"/>
      <c r="D2" s="89"/>
      <c r="E2" s="89"/>
      <c r="F2" s="89"/>
      <c r="G2" s="89"/>
      <c r="H2" s="89"/>
      <c r="I2" s="1"/>
    </row>
    <row r="3" spans="1:9">
      <c r="A3" s="2"/>
      <c r="B3" s="2"/>
      <c r="C3" s="2"/>
      <c r="D3" s="2"/>
      <c r="E3" s="2"/>
      <c r="F3" s="2"/>
      <c r="G3" s="2"/>
      <c r="H3" s="2"/>
      <c r="I3" s="1"/>
    </row>
    <row r="4" spans="1:9" ht="17.25" thickBot="1">
      <c r="A4" s="3" t="s">
        <v>3</v>
      </c>
      <c r="B4" s="3" t="s">
        <v>4</v>
      </c>
      <c r="C4" s="3" t="s">
        <v>5</v>
      </c>
      <c r="D4" s="3" t="s">
        <v>6</v>
      </c>
      <c r="E4" s="3" t="s">
        <v>7</v>
      </c>
      <c r="F4" s="3" t="s">
        <v>8</v>
      </c>
      <c r="G4" s="3" t="s">
        <v>9</v>
      </c>
      <c r="H4" s="3" t="s">
        <v>10</v>
      </c>
      <c r="I4" s="1"/>
    </row>
    <row r="5" spans="1:9" ht="17.25" thickTop="1">
      <c r="A5" s="4" t="s">
        <v>11</v>
      </c>
      <c r="B5" s="4" t="s">
        <v>12</v>
      </c>
      <c r="C5" s="4" t="s">
        <v>13</v>
      </c>
      <c r="D5" s="5">
        <v>2988000</v>
      </c>
      <c r="E5" s="5">
        <f t="shared" ref="E5:E13" si="0">IF(B5="과장",D5*0.5,IF(B5="대리",D5*0.25,IF(B5="사원",D5*0.15)))</f>
        <v>448200</v>
      </c>
      <c r="F5" s="5">
        <f t="shared" ref="F5:F13" si="1">IF(B5="과장",500000,IF(B5="대리",400000,IF(B5="사원",250000)))</f>
        <v>250000</v>
      </c>
      <c r="G5" s="5">
        <f t="shared" ref="G5:G13" si="2">E5+F5</f>
        <v>698200</v>
      </c>
      <c r="H5" s="6" t="str">
        <f t="shared" ref="H5:H13" si="3">IF(G5&gt;=1000000,"A",IF(AND(G5&gt;=500000,G5&lt;1000000),"B",IF(G5&lt;500000,"C")))</f>
        <v>B</v>
      </c>
      <c r="I5" s="1"/>
    </row>
    <row r="6" spans="1:9">
      <c r="A6" s="7" t="s">
        <v>14</v>
      </c>
      <c r="B6" s="7" t="s">
        <v>15</v>
      </c>
      <c r="C6" s="7" t="s">
        <v>16</v>
      </c>
      <c r="D6" s="8">
        <v>2498000</v>
      </c>
      <c r="E6" s="8">
        <f t="shared" si="0"/>
        <v>1249000</v>
      </c>
      <c r="F6" s="8">
        <f t="shared" si="1"/>
        <v>500000</v>
      </c>
      <c r="G6" s="8">
        <f t="shared" si="2"/>
        <v>1749000</v>
      </c>
      <c r="H6" s="9" t="str">
        <f t="shared" si="3"/>
        <v>A</v>
      </c>
      <c r="I6" s="1"/>
    </row>
    <row r="7" spans="1:9">
      <c r="A7" s="7" t="s">
        <v>17</v>
      </c>
      <c r="B7" s="7" t="s">
        <v>18</v>
      </c>
      <c r="C7" s="7" t="s">
        <v>19</v>
      </c>
      <c r="D7" s="8">
        <v>3250000</v>
      </c>
      <c r="E7" s="8">
        <f t="shared" si="0"/>
        <v>812500</v>
      </c>
      <c r="F7" s="8">
        <f t="shared" si="1"/>
        <v>400000</v>
      </c>
      <c r="G7" s="8">
        <f t="shared" si="2"/>
        <v>1212500</v>
      </c>
      <c r="H7" s="9" t="str">
        <f t="shared" si="3"/>
        <v>A</v>
      </c>
      <c r="I7" s="1"/>
    </row>
    <row r="8" spans="1:9">
      <c r="A8" s="7" t="s">
        <v>20</v>
      </c>
      <c r="B8" s="7" t="s">
        <v>12</v>
      </c>
      <c r="C8" s="7" t="s">
        <v>21</v>
      </c>
      <c r="D8" s="8">
        <v>1500000</v>
      </c>
      <c r="E8" s="8">
        <f t="shared" si="0"/>
        <v>225000</v>
      </c>
      <c r="F8" s="8">
        <f t="shared" si="1"/>
        <v>250000</v>
      </c>
      <c r="G8" s="8">
        <f t="shared" si="2"/>
        <v>475000</v>
      </c>
      <c r="H8" s="9" t="str">
        <f t="shared" si="3"/>
        <v>C</v>
      </c>
      <c r="I8" s="1"/>
    </row>
    <row r="9" spans="1:9">
      <c r="A9" s="7" t="s">
        <v>22</v>
      </c>
      <c r="B9" s="7" t="s">
        <v>15</v>
      </c>
      <c r="C9" s="7" t="s">
        <v>23</v>
      </c>
      <c r="D9" s="8">
        <v>2580000</v>
      </c>
      <c r="E9" s="8">
        <f t="shared" si="0"/>
        <v>1290000</v>
      </c>
      <c r="F9" s="8">
        <f t="shared" si="1"/>
        <v>500000</v>
      </c>
      <c r="G9" s="8">
        <f t="shared" si="2"/>
        <v>1790000</v>
      </c>
      <c r="H9" s="9" t="str">
        <f t="shared" si="3"/>
        <v>A</v>
      </c>
      <c r="I9" s="1"/>
    </row>
    <row r="10" spans="1:9">
      <c r="A10" s="7" t="s">
        <v>24</v>
      </c>
      <c r="B10" s="7" t="s">
        <v>15</v>
      </c>
      <c r="C10" s="7" t="s">
        <v>16</v>
      </c>
      <c r="D10" s="8">
        <v>2300000</v>
      </c>
      <c r="E10" s="8">
        <f t="shared" si="0"/>
        <v>1150000</v>
      </c>
      <c r="F10" s="8">
        <f t="shared" si="1"/>
        <v>500000</v>
      </c>
      <c r="G10" s="8">
        <f t="shared" si="2"/>
        <v>1650000</v>
      </c>
      <c r="H10" s="9" t="str">
        <f t="shared" si="3"/>
        <v>A</v>
      </c>
      <c r="I10" s="1"/>
    </row>
    <row r="11" spans="1:9">
      <c r="A11" s="7" t="s">
        <v>25</v>
      </c>
      <c r="B11" s="7" t="s">
        <v>12</v>
      </c>
      <c r="C11" s="7" t="s">
        <v>26</v>
      </c>
      <c r="D11" s="8">
        <v>1200000</v>
      </c>
      <c r="E11" s="8">
        <f t="shared" si="0"/>
        <v>180000</v>
      </c>
      <c r="F11" s="8">
        <f t="shared" si="1"/>
        <v>250000</v>
      </c>
      <c r="G11" s="8">
        <f t="shared" si="2"/>
        <v>430000</v>
      </c>
      <c r="H11" s="9" t="str">
        <f t="shared" si="3"/>
        <v>C</v>
      </c>
      <c r="I11" s="1"/>
    </row>
    <row r="12" spans="1:9">
      <c r="A12" s="7" t="s">
        <v>27</v>
      </c>
      <c r="B12" s="7" t="s">
        <v>18</v>
      </c>
      <c r="C12" s="7" t="s">
        <v>16</v>
      </c>
      <c r="D12" s="8">
        <v>1860000</v>
      </c>
      <c r="E12" s="8">
        <f t="shared" si="0"/>
        <v>465000</v>
      </c>
      <c r="F12" s="8">
        <f t="shared" si="1"/>
        <v>400000</v>
      </c>
      <c r="G12" s="8">
        <f t="shared" si="2"/>
        <v>865000</v>
      </c>
      <c r="H12" s="9" t="str">
        <f t="shared" si="3"/>
        <v>B</v>
      </c>
      <c r="I12" s="1"/>
    </row>
    <row r="13" spans="1:9" ht="17.25" thickBot="1">
      <c r="A13" s="3" t="s">
        <v>28</v>
      </c>
      <c r="B13" s="3" t="s">
        <v>15</v>
      </c>
      <c r="C13" s="3" t="s">
        <v>19</v>
      </c>
      <c r="D13" s="10">
        <v>2700000</v>
      </c>
      <c r="E13" s="10">
        <f t="shared" si="0"/>
        <v>1350000</v>
      </c>
      <c r="F13" s="10">
        <f t="shared" si="1"/>
        <v>500000</v>
      </c>
      <c r="G13" s="10">
        <f t="shared" si="2"/>
        <v>1850000</v>
      </c>
      <c r="H13" s="11" t="str">
        <f t="shared" si="3"/>
        <v>A</v>
      </c>
      <c r="I13" s="1"/>
    </row>
    <row r="14" spans="1:9" ht="17.25" thickTop="1">
      <c r="A14" s="90" t="s">
        <v>29</v>
      </c>
      <c r="B14" s="90"/>
      <c r="C14" s="90"/>
      <c r="D14" s="5">
        <f>SUM(D5:D13)</f>
        <v>20876000</v>
      </c>
      <c r="E14" s="5">
        <f>SUM(E5:E13)</f>
        <v>7169700</v>
      </c>
      <c r="F14" s="5">
        <f>SUM(F5:F13)</f>
        <v>3550000</v>
      </c>
      <c r="G14" s="5">
        <f>SUM(G5:G13)</f>
        <v>10719700</v>
      </c>
      <c r="H14" s="12"/>
      <c r="I14" s="1"/>
    </row>
    <row r="15" spans="1:9">
      <c r="A15" s="13"/>
      <c r="B15" s="13"/>
      <c r="C15" s="13"/>
      <c r="D15" s="14"/>
      <c r="E15" s="14"/>
      <c r="F15" s="14"/>
      <c r="G15" s="14"/>
      <c r="H15" s="15"/>
      <c r="I15" s="1"/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6" t="s">
        <v>30</v>
      </c>
      <c r="B17" s="1"/>
      <c r="C17" s="1"/>
      <c r="D17" s="1"/>
      <c r="E17" s="1"/>
      <c r="F17" s="1"/>
      <c r="G17" s="1"/>
      <c r="H17" s="1"/>
      <c r="I17" s="1"/>
    </row>
    <row r="18" spans="1:9" ht="20.25">
      <c r="A18" s="91" t="s">
        <v>31</v>
      </c>
      <c r="B18" s="91"/>
      <c r="C18" s="91"/>
      <c r="D18" s="91"/>
      <c r="E18" s="91"/>
      <c r="F18" s="91"/>
      <c r="G18" s="91"/>
      <c r="H18" s="91"/>
      <c r="I18" s="91"/>
    </row>
    <row r="19" spans="1:9" ht="17.25" thickBot="1">
      <c r="A19" s="1"/>
      <c r="B19" s="1"/>
      <c r="C19" s="1"/>
      <c r="D19" s="1"/>
      <c r="E19" s="1"/>
      <c r="F19" s="1"/>
      <c r="G19" s="1"/>
      <c r="H19" s="1"/>
      <c r="I19" s="17"/>
    </row>
    <row r="20" spans="1:9" ht="17.25" thickBot="1">
      <c r="A20" s="18" t="s">
        <v>32</v>
      </c>
      <c r="B20" s="18" t="s">
        <v>33</v>
      </c>
      <c r="C20" s="18" t="s">
        <v>34</v>
      </c>
      <c r="D20" s="18" t="s">
        <v>35</v>
      </c>
      <c r="E20" s="18" t="s">
        <v>36</v>
      </c>
      <c r="F20" s="18" t="s">
        <v>37</v>
      </c>
      <c r="G20" s="18" t="s">
        <v>38</v>
      </c>
      <c r="H20" s="18" t="s">
        <v>39</v>
      </c>
      <c r="I20" s="18" t="s">
        <v>40</v>
      </c>
    </row>
    <row r="21" spans="1:9" ht="17.25" thickTop="1">
      <c r="A21" s="19" t="s">
        <v>41</v>
      </c>
      <c r="B21" s="19" t="s">
        <v>42</v>
      </c>
      <c r="C21" s="19" t="s">
        <v>43</v>
      </c>
      <c r="D21" s="19" t="str">
        <f>IF(LEFT(A21,1)="P","부장",IF(LEFT(A21,1)="K","과장","대리"))</f>
        <v>부장</v>
      </c>
      <c r="E21" s="1">
        <v>15</v>
      </c>
      <c r="F21" s="20">
        <v>1450000</v>
      </c>
      <c r="G21" s="21">
        <v>0.1</v>
      </c>
      <c r="H21" s="22">
        <v>290000</v>
      </c>
      <c r="I21" s="23">
        <v>1740000</v>
      </c>
    </row>
    <row r="22" spans="1:9">
      <c r="A22" s="19" t="s">
        <v>44</v>
      </c>
      <c r="B22" s="19" t="s">
        <v>45</v>
      </c>
      <c r="C22" s="19" t="s">
        <v>46</v>
      </c>
      <c r="D22" s="19" t="str">
        <f t="shared" ref="D22:D29" si="4">IF(LEFT(A22,1)="P","부장",IF(LEFT(A22,1)="K","과장","대리"))</f>
        <v>과장</v>
      </c>
      <c r="E22" s="1">
        <v>7</v>
      </c>
      <c r="F22" s="20">
        <v>1350000</v>
      </c>
      <c r="G22" s="21">
        <v>0.05</v>
      </c>
      <c r="H22" s="22">
        <v>202500</v>
      </c>
      <c r="I22" s="23">
        <v>1552500</v>
      </c>
    </row>
    <row r="23" spans="1:9">
      <c r="A23" s="19" t="s">
        <v>47</v>
      </c>
      <c r="B23" s="19" t="s">
        <v>48</v>
      </c>
      <c r="C23" s="19" t="s">
        <v>49</v>
      </c>
      <c r="D23" s="19" t="str">
        <f t="shared" si="4"/>
        <v>대리</v>
      </c>
      <c r="E23" s="1">
        <v>3</v>
      </c>
      <c r="F23" s="20">
        <v>1050000</v>
      </c>
      <c r="G23" s="21">
        <v>0.03</v>
      </c>
      <c r="H23" s="22">
        <v>136500</v>
      </c>
      <c r="I23" s="23">
        <v>1186500</v>
      </c>
    </row>
    <row r="24" spans="1:9">
      <c r="A24" s="19" t="s">
        <v>50</v>
      </c>
      <c r="B24" s="19" t="s">
        <v>51</v>
      </c>
      <c r="C24" s="19" t="s">
        <v>43</v>
      </c>
      <c r="D24" s="19" t="str">
        <f t="shared" si="4"/>
        <v>과장</v>
      </c>
      <c r="E24" s="1">
        <v>8</v>
      </c>
      <c r="F24" s="20">
        <v>1300000</v>
      </c>
      <c r="G24" s="21">
        <v>0.05</v>
      </c>
      <c r="H24" s="22">
        <v>195000</v>
      </c>
      <c r="I24" s="23">
        <v>1495000</v>
      </c>
    </row>
    <row r="25" spans="1:9">
      <c r="A25" s="19" t="s">
        <v>52</v>
      </c>
      <c r="B25" s="19" t="s">
        <v>53</v>
      </c>
      <c r="C25" s="19" t="s">
        <v>46</v>
      </c>
      <c r="D25" s="19" t="str">
        <f t="shared" si="4"/>
        <v>대리</v>
      </c>
      <c r="E25" s="1">
        <v>5</v>
      </c>
      <c r="F25" s="20">
        <v>1150000</v>
      </c>
      <c r="G25" s="21">
        <v>0.05</v>
      </c>
      <c r="H25" s="22">
        <v>172500</v>
      </c>
      <c r="I25" s="23">
        <v>1322500</v>
      </c>
    </row>
    <row r="26" spans="1:9">
      <c r="A26" s="19" t="s">
        <v>54</v>
      </c>
      <c r="B26" s="19" t="s">
        <v>55</v>
      </c>
      <c r="C26" s="19" t="s">
        <v>49</v>
      </c>
      <c r="D26" s="19" t="str">
        <f t="shared" si="4"/>
        <v>부장</v>
      </c>
      <c r="E26" s="1">
        <v>10</v>
      </c>
      <c r="F26" s="20">
        <v>1450000</v>
      </c>
      <c r="G26" s="21">
        <v>7.0000000000000007E-2</v>
      </c>
      <c r="H26" s="22">
        <v>246500</v>
      </c>
      <c r="I26" s="23">
        <v>1696500</v>
      </c>
    </row>
    <row r="27" spans="1:9">
      <c r="A27" s="19" t="s">
        <v>56</v>
      </c>
      <c r="B27" s="19" t="s">
        <v>57</v>
      </c>
      <c r="C27" s="19" t="s">
        <v>43</v>
      </c>
      <c r="D27" s="19" t="str">
        <f t="shared" si="4"/>
        <v>대리</v>
      </c>
      <c r="E27" s="1">
        <v>6</v>
      </c>
      <c r="F27" s="20">
        <v>1200000</v>
      </c>
      <c r="G27" s="21">
        <v>0.05</v>
      </c>
      <c r="H27" s="22">
        <v>180000</v>
      </c>
      <c r="I27" s="23">
        <v>1380000</v>
      </c>
    </row>
    <row r="28" spans="1:9">
      <c r="A28" s="19" t="s">
        <v>58</v>
      </c>
      <c r="B28" s="19" t="s">
        <v>59</v>
      </c>
      <c r="C28" s="19" t="s">
        <v>46</v>
      </c>
      <c r="D28" s="19" t="str">
        <f t="shared" si="4"/>
        <v>부장</v>
      </c>
      <c r="E28" s="1">
        <v>13</v>
      </c>
      <c r="F28" s="20">
        <v>1550000</v>
      </c>
      <c r="G28" s="21">
        <v>7.0000000000000007E-2</v>
      </c>
      <c r="H28" s="22">
        <v>263500</v>
      </c>
      <c r="I28" s="23">
        <v>1813500</v>
      </c>
    </row>
    <row r="29" spans="1:9">
      <c r="A29" s="19" t="s">
        <v>60</v>
      </c>
      <c r="B29" s="19" t="s">
        <v>61</v>
      </c>
      <c r="C29" s="19" t="s">
        <v>49</v>
      </c>
      <c r="D29" s="19" t="str">
        <f t="shared" si="4"/>
        <v>과장</v>
      </c>
      <c r="E29" s="1">
        <v>7</v>
      </c>
      <c r="F29" s="20">
        <v>1350000</v>
      </c>
      <c r="G29" s="21">
        <v>0.05</v>
      </c>
      <c r="H29" s="22">
        <v>202500</v>
      </c>
      <c r="I29" s="23">
        <v>1552500</v>
      </c>
    </row>
    <row r="30" spans="1:9" ht="17.25" thickBot="1">
      <c r="A30" s="92" t="s">
        <v>62</v>
      </c>
      <c r="B30" s="92"/>
      <c r="C30" s="92"/>
      <c r="D30" s="92"/>
      <c r="E30" s="92"/>
      <c r="F30" s="24">
        <f>SUM(F21:F29)</f>
        <v>11850000</v>
      </c>
      <c r="G30" s="25"/>
      <c r="H30" s="26">
        <f>SUM(H21:H29)</f>
        <v>1889000</v>
      </c>
      <c r="I30" s="27">
        <f>SUM(I21:I29)</f>
        <v>13739000</v>
      </c>
    </row>
    <row r="31" spans="1:9">
      <c r="A31" s="1" t="s">
        <v>63</v>
      </c>
      <c r="B31" s="1"/>
      <c r="C31" s="28">
        <v>0.1</v>
      </c>
      <c r="D31" s="1"/>
      <c r="E31" s="1"/>
      <c r="F31" s="1"/>
      <c r="G31" s="1"/>
      <c r="H31" s="1"/>
      <c r="I31" s="1"/>
    </row>
    <row r="32" spans="1:9">
      <c r="A32" s="1"/>
      <c r="B32" s="1"/>
      <c r="C32" s="1"/>
      <c r="D32" s="1"/>
      <c r="E32" s="1"/>
      <c r="F32" s="1"/>
      <c r="G32" s="1"/>
      <c r="H32" s="1"/>
      <c r="I32" s="1"/>
    </row>
    <row r="33" spans="1:9" ht="17.25" thickBot="1">
      <c r="A33" s="1" t="s">
        <v>64</v>
      </c>
      <c r="B33" s="1"/>
      <c r="C33" s="1"/>
      <c r="D33" s="1"/>
      <c r="E33" s="1"/>
      <c r="F33" s="1"/>
      <c r="G33" s="1"/>
      <c r="H33" s="1"/>
      <c r="I33" s="1"/>
    </row>
    <row r="34" spans="1:9">
      <c r="A34" s="29" t="s">
        <v>36</v>
      </c>
      <c r="B34" s="29">
        <v>1</v>
      </c>
      <c r="C34" s="29">
        <v>5</v>
      </c>
      <c r="D34" s="29">
        <v>10</v>
      </c>
      <c r="E34" s="29">
        <v>15</v>
      </c>
      <c r="F34" s="1"/>
      <c r="G34" s="1" t="s">
        <v>65</v>
      </c>
      <c r="H34" s="1" t="s">
        <v>66</v>
      </c>
      <c r="I34" s="1" t="s">
        <v>67</v>
      </c>
    </row>
    <row r="35" spans="1:9" ht="17.25" thickBot="1">
      <c r="A35" s="30" t="s">
        <v>38</v>
      </c>
      <c r="B35" s="31">
        <v>0.03</v>
      </c>
      <c r="C35" s="31">
        <v>0.05</v>
      </c>
      <c r="D35" s="31">
        <v>7.0000000000000007E-2</v>
      </c>
      <c r="E35" s="31">
        <v>0.1</v>
      </c>
      <c r="F35" s="1"/>
      <c r="G35" s="1" t="s">
        <v>68</v>
      </c>
      <c r="H35" s="1" t="s">
        <v>69</v>
      </c>
      <c r="I35" s="1"/>
    </row>
    <row r="36" spans="1:9">
      <c r="I36" t="s">
        <v>70</v>
      </c>
    </row>
    <row r="39" spans="1:9" ht="17.25" thickBot="1"/>
    <row r="40" spans="1:9" ht="17.25" thickBot="1">
      <c r="A40" s="18" t="s">
        <v>32</v>
      </c>
      <c r="B40" s="18" t="s">
        <v>33</v>
      </c>
      <c r="C40" s="18" t="s">
        <v>34</v>
      </c>
      <c r="D40" s="18" t="s">
        <v>35</v>
      </c>
      <c r="E40" s="18" t="s">
        <v>36</v>
      </c>
      <c r="F40" s="18" t="s">
        <v>37</v>
      </c>
      <c r="G40" s="18" t="s">
        <v>38</v>
      </c>
      <c r="H40" s="18" t="s">
        <v>39</v>
      </c>
      <c r="I40" s="18" t="s">
        <v>40</v>
      </c>
    </row>
    <row r="41" spans="1:9" ht="17.25" thickTop="1">
      <c r="A41" s="19" t="s">
        <v>41</v>
      </c>
      <c r="B41" s="19" t="s">
        <v>42</v>
      </c>
      <c r="C41" s="19" t="s">
        <v>43</v>
      </c>
      <c r="D41" s="19" t="s">
        <v>71</v>
      </c>
      <c r="E41" s="1">
        <v>15</v>
      </c>
      <c r="F41" s="20">
        <v>1450000</v>
      </c>
      <c r="G41" s="21">
        <v>0.1</v>
      </c>
      <c r="H41" s="22">
        <v>290000</v>
      </c>
      <c r="I41" s="23">
        <v>1740000</v>
      </c>
    </row>
    <row r="42" spans="1:9">
      <c r="A42" s="19" t="s">
        <v>44</v>
      </c>
      <c r="B42" s="19" t="s">
        <v>45</v>
      </c>
      <c r="C42" s="19" t="s">
        <v>46</v>
      </c>
      <c r="D42" s="19" t="s">
        <v>72</v>
      </c>
      <c r="E42" s="1">
        <v>7</v>
      </c>
      <c r="F42" s="20">
        <v>1350000</v>
      </c>
      <c r="G42" s="21">
        <v>0.05</v>
      </c>
      <c r="H42" s="22">
        <v>202500</v>
      </c>
      <c r="I42" s="23">
        <v>1552500</v>
      </c>
    </row>
    <row r="43" spans="1:9">
      <c r="A43" s="19" t="s">
        <v>50</v>
      </c>
      <c r="B43" s="19" t="s">
        <v>51</v>
      </c>
      <c r="C43" s="19" t="s">
        <v>43</v>
      </c>
      <c r="D43" s="19" t="s">
        <v>72</v>
      </c>
      <c r="E43" s="1">
        <v>8</v>
      </c>
      <c r="F43" s="20">
        <v>1300000</v>
      </c>
      <c r="G43" s="21">
        <v>0.05</v>
      </c>
      <c r="H43" s="22">
        <v>195000</v>
      </c>
      <c r="I43" s="23">
        <v>1495000</v>
      </c>
    </row>
    <row r="44" spans="1:9">
      <c r="A44" s="19" t="s">
        <v>54</v>
      </c>
      <c r="B44" s="19" t="s">
        <v>55</v>
      </c>
      <c r="C44" s="19" t="s">
        <v>49</v>
      </c>
      <c r="D44" s="19" t="s">
        <v>71</v>
      </c>
      <c r="E44" s="1">
        <v>10</v>
      </c>
      <c r="F44" s="20">
        <v>1450000</v>
      </c>
      <c r="G44" s="21">
        <v>7.0000000000000007E-2</v>
      </c>
      <c r="H44" s="22">
        <v>246500</v>
      </c>
      <c r="I44" s="23">
        <v>1696500</v>
      </c>
    </row>
    <row r="45" spans="1:9">
      <c r="A45" s="19" t="s">
        <v>58</v>
      </c>
      <c r="B45" s="19" t="s">
        <v>59</v>
      </c>
      <c r="C45" s="19" t="s">
        <v>46</v>
      </c>
      <c r="D45" s="19" t="s">
        <v>71</v>
      </c>
      <c r="E45" s="1">
        <v>13</v>
      </c>
      <c r="F45" s="20">
        <v>1550000</v>
      </c>
      <c r="G45" s="21">
        <v>7.0000000000000007E-2</v>
      </c>
      <c r="H45" s="22">
        <v>263500</v>
      </c>
      <c r="I45" s="23">
        <v>1813500</v>
      </c>
    </row>
    <row r="46" spans="1:9">
      <c r="A46" s="19" t="s">
        <v>60</v>
      </c>
      <c r="B46" s="19" t="s">
        <v>61</v>
      </c>
      <c r="C46" s="19" t="s">
        <v>49</v>
      </c>
      <c r="D46" s="19" t="s">
        <v>72</v>
      </c>
      <c r="E46" s="1">
        <v>7</v>
      </c>
      <c r="F46" s="20">
        <v>1350000</v>
      </c>
      <c r="G46" s="21">
        <v>0.05</v>
      </c>
      <c r="H46" s="22">
        <v>202500</v>
      </c>
      <c r="I46" s="23">
        <v>1552500</v>
      </c>
    </row>
  </sheetData>
  <mergeCells count="4">
    <mergeCell ref="A2:H2"/>
    <mergeCell ref="A14:C14"/>
    <mergeCell ref="A18:I18"/>
    <mergeCell ref="A30:E30"/>
  </mergeCells>
  <phoneticPr fontId="4" type="noConversion"/>
  <conditionalFormatting sqref="A5:H13">
    <cfRule type="expression" dxfId="2" priority="1">
      <formula>AND($C5="인사팀", $H5="A")</formula>
    </cfRule>
  </conditionalFormatting>
  <printOptions horizontalCentered="1" verticalCentered="1" gridLines="1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&amp;C&amp;P쪽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37"/>
  <sheetViews>
    <sheetView workbookViewId="0"/>
  </sheetViews>
  <sheetFormatPr defaultRowHeight="16.5"/>
  <cols>
    <col min="1" max="1" width="10.875" style="1" bestFit="1" customWidth="1"/>
    <col min="2" max="2" width="9.25" style="1" bestFit="1" customWidth="1"/>
    <col min="3" max="3" width="9" style="1"/>
    <col min="4" max="4" width="14.125" style="1" bestFit="1" customWidth="1"/>
    <col min="5" max="5" width="13.125" style="1" customWidth="1"/>
    <col min="6" max="6" width="9.25" style="1" bestFit="1" customWidth="1"/>
    <col min="7" max="7" width="11.125" style="1" bestFit="1" customWidth="1"/>
    <col min="8" max="8" width="2" style="1" customWidth="1"/>
    <col min="9" max="9" width="9" style="1"/>
    <col min="10" max="10" width="12.625" style="1" customWidth="1"/>
    <col min="11" max="11" width="12.5" style="1" customWidth="1"/>
    <col min="12" max="12" width="11.125" style="1" customWidth="1"/>
    <col min="13" max="13" width="10.875" style="1" customWidth="1"/>
    <col min="14" max="16384" width="9" style="1"/>
  </cols>
  <sheetData>
    <row r="1" spans="1:10">
      <c r="A1" s="1" t="s">
        <v>73</v>
      </c>
      <c r="E1" s="32"/>
    </row>
    <row r="2" spans="1:10">
      <c r="A2" s="33" t="s">
        <v>74</v>
      </c>
      <c r="B2" s="33" t="s">
        <v>75</v>
      </c>
      <c r="C2" s="33" t="s">
        <v>76</v>
      </c>
      <c r="D2" s="33" t="s">
        <v>77</v>
      </c>
      <c r="E2" s="34" t="s">
        <v>78</v>
      </c>
    </row>
    <row r="3" spans="1:10">
      <c r="A3" s="35" t="s">
        <v>79</v>
      </c>
      <c r="B3" s="35">
        <v>15</v>
      </c>
      <c r="C3" s="36">
        <v>1575</v>
      </c>
      <c r="D3" s="36">
        <v>23625</v>
      </c>
      <c r="E3" s="33" t="str">
        <f>IF(AND(B3&gt;=15,C3&gt;=2000,D3&gt;=30000),REPT("★",B3/10),"")</f>
        <v/>
      </c>
    </row>
    <row r="4" spans="1:10">
      <c r="A4" s="35" t="s">
        <v>80</v>
      </c>
      <c r="B4" s="35">
        <v>20</v>
      </c>
      <c r="C4" s="36">
        <v>3287</v>
      </c>
      <c r="D4" s="36">
        <v>65740</v>
      </c>
      <c r="E4" s="33" t="str">
        <f t="shared" ref="E4:E8" si="0">IF(AND(B4&gt;=15,C4&gt;=2000,D4&gt;=30000),REPT("★",B4/10),"")</f>
        <v>★★</v>
      </c>
    </row>
    <row r="5" spans="1:10">
      <c r="A5" s="35" t="s">
        <v>81</v>
      </c>
      <c r="B5" s="35">
        <v>13</v>
      </c>
      <c r="C5" s="36">
        <v>1795</v>
      </c>
      <c r="D5" s="36">
        <v>23335</v>
      </c>
      <c r="E5" s="33" t="str">
        <f t="shared" si="0"/>
        <v/>
      </c>
    </row>
    <row r="6" spans="1:10">
      <c r="A6" s="35" t="s">
        <v>80</v>
      </c>
      <c r="B6" s="35">
        <v>18</v>
      </c>
      <c r="C6" s="36">
        <v>3687</v>
      </c>
      <c r="D6" s="36">
        <v>66366</v>
      </c>
      <c r="E6" s="33" t="str">
        <f t="shared" si="0"/>
        <v>★</v>
      </c>
    </row>
    <row r="7" spans="1:10">
      <c r="A7" s="35" t="s">
        <v>79</v>
      </c>
      <c r="B7" s="35">
        <v>11</v>
      </c>
      <c r="C7" s="36">
        <v>2874</v>
      </c>
      <c r="D7" s="36">
        <v>31614</v>
      </c>
      <c r="E7" s="33" t="str">
        <f t="shared" si="0"/>
        <v/>
      </c>
    </row>
    <row r="8" spans="1:10">
      <c r="A8" s="35" t="s">
        <v>79</v>
      </c>
      <c r="B8" s="35">
        <v>35</v>
      </c>
      <c r="C8" s="36">
        <v>12959</v>
      </c>
      <c r="D8" s="36">
        <v>194385</v>
      </c>
      <c r="E8" s="33" t="str">
        <f t="shared" si="0"/>
        <v>★★★</v>
      </c>
    </row>
    <row r="10" spans="1:10">
      <c r="A10" s="1" t="s">
        <v>82</v>
      </c>
    </row>
    <row r="11" spans="1:10">
      <c r="A11" s="37" t="s">
        <v>83</v>
      </c>
      <c r="B11" s="37" t="s">
        <v>84</v>
      </c>
      <c r="C11" s="37" t="s">
        <v>85</v>
      </c>
      <c r="D11" s="34" t="s">
        <v>86</v>
      </c>
    </row>
    <row r="12" spans="1:10">
      <c r="A12" s="35" t="s">
        <v>87</v>
      </c>
      <c r="B12" s="35">
        <v>670</v>
      </c>
      <c r="C12" s="35">
        <v>220</v>
      </c>
      <c r="D12" s="33">
        <f>MIN(VLOOKUP(B12,$F$14:$G$18,2),VLOOKUP(C12,$I$14:$J$18,2))</f>
        <v>5</v>
      </c>
      <c r="F12" s="1" t="s">
        <v>88</v>
      </c>
      <c r="I12" s="1" t="s">
        <v>89</v>
      </c>
    </row>
    <row r="13" spans="1:10">
      <c r="A13" s="35" t="s">
        <v>90</v>
      </c>
      <c r="B13" s="35">
        <v>720</v>
      </c>
      <c r="C13" s="35">
        <v>150</v>
      </c>
      <c r="D13" s="33">
        <f t="shared" ref="D13:D18" si="1">MIN(VLOOKUP(B13,$F$14:$G$18,2),VLOOKUP(C13,$I$14:$J$18,2))</f>
        <v>5</v>
      </c>
      <c r="F13" s="37" t="s">
        <v>91</v>
      </c>
      <c r="G13" s="37" t="s">
        <v>92</v>
      </c>
      <c r="I13" s="37" t="s">
        <v>93</v>
      </c>
      <c r="J13" s="37" t="s">
        <v>92</v>
      </c>
    </row>
    <row r="14" spans="1:10">
      <c r="A14" s="35" t="s">
        <v>94</v>
      </c>
      <c r="B14" s="35">
        <v>870</v>
      </c>
      <c r="C14" s="35">
        <v>280</v>
      </c>
      <c r="D14" s="33">
        <f t="shared" si="1"/>
        <v>10</v>
      </c>
      <c r="F14" s="35">
        <v>400</v>
      </c>
      <c r="G14" s="38">
        <v>1</v>
      </c>
      <c r="I14" s="35">
        <v>50</v>
      </c>
      <c r="J14" s="38">
        <v>1</v>
      </c>
    </row>
    <row r="15" spans="1:10">
      <c r="A15" s="35" t="s">
        <v>95</v>
      </c>
      <c r="B15" s="35">
        <v>570</v>
      </c>
      <c r="C15" s="35">
        <v>100</v>
      </c>
      <c r="D15" s="33">
        <f t="shared" si="1"/>
        <v>1</v>
      </c>
      <c r="F15" s="35">
        <v>600</v>
      </c>
      <c r="G15" s="38">
        <v>5</v>
      </c>
      <c r="I15" s="35">
        <v>100</v>
      </c>
      <c r="J15" s="38">
        <v>5</v>
      </c>
    </row>
    <row r="16" spans="1:10" s="40" customFormat="1">
      <c r="A16" s="35" t="s">
        <v>96</v>
      </c>
      <c r="B16" s="35">
        <v>890</v>
      </c>
      <c r="C16" s="35">
        <v>180</v>
      </c>
      <c r="D16" s="33">
        <f t="shared" si="1"/>
        <v>10</v>
      </c>
      <c r="E16" s="39"/>
      <c r="F16" s="35">
        <v>800</v>
      </c>
      <c r="G16" s="38">
        <v>10</v>
      </c>
      <c r="I16" s="35">
        <v>150</v>
      </c>
      <c r="J16" s="38">
        <v>10</v>
      </c>
    </row>
    <row r="17" spans="1:13" s="40" customFormat="1">
      <c r="A17" s="35" t="s">
        <v>97</v>
      </c>
      <c r="B17" s="35">
        <v>800</v>
      </c>
      <c r="C17" s="35">
        <v>270</v>
      </c>
      <c r="D17" s="33">
        <f t="shared" si="1"/>
        <v>10</v>
      </c>
      <c r="E17" s="39"/>
      <c r="F17" s="38">
        <v>900</v>
      </c>
      <c r="G17" s="38">
        <v>15</v>
      </c>
      <c r="I17" s="38">
        <v>200</v>
      </c>
      <c r="J17" s="38">
        <v>15</v>
      </c>
    </row>
    <row r="18" spans="1:13" s="40" customFormat="1">
      <c r="A18" s="35" t="s">
        <v>98</v>
      </c>
      <c r="B18" s="35">
        <v>700</v>
      </c>
      <c r="C18" s="35">
        <v>140</v>
      </c>
      <c r="D18" s="33">
        <f t="shared" si="1"/>
        <v>5</v>
      </c>
      <c r="E18" s="39"/>
      <c r="F18" s="38">
        <v>999</v>
      </c>
      <c r="G18" s="38">
        <v>20</v>
      </c>
      <c r="I18" s="38">
        <v>300</v>
      </c>
      <c r="J18" s="38">
        <v>20</v>
      </c>
    </row>
    <row r="19" spans="1:13" s="40" customFormat="1">
      <c r="A19" s="39"/>
      <c r="B19" s="39"/>
      <c r="C19" s="41"/>
      <c r="D19" s="41"/>
      <c r="E19" s="39"/>
      <c r="F19" s="39"/>
    </row>
    <row r="20" spans="1:13">
      <c r="A20" s="1" t="s">
        <v>99</v>
      </c>
      <c r="I20" s="1" t="s">
        <v>100</v>
      </c>
    </row>
    <row r="21" spans="1:13">
      <c r="A21" s="33" t="s">
        <v>101</v>
      </c>
      <c r="B21" s="33" t="s">
        <v>102</v>
      </c>
      <c r="C21" s="33" t="s">
        <v>103</v>
      </c>
      <c r="D21" s="33" t="s">
        <v>104</v>
      </c>
      <c r="E21" s="33" t="s">
        <v>105</v>
      </c>
      <c r="F21" s="33" t="s">
        <v>106</v>
      </c>
      <c r="G21" s="34" t="s">
        <v>107</v>
      </c>
      <c r="I21" s="93" t="s">
        <v>108</v>
      </c>
      <c r="J21" s="94" t="s">
        <v>109</v>
      </c>
      <c r="K21" s="94"/>
      <c r="L21" s="94"/>
    </row>
    <row r="22" spans="1:13">
      <c r="A22" s="33" t="s">
        <v>110</v>
      </c>
      <c r="B22" s="33" t="s">
        <v>111</v>
      </c>
      <c r="C22" s="33" t="s">
        <v>71</v>
      </c>
      <c r="D22" s="35">
        <v>15</v>
      </c>
      <c r="E22" s="42">
        <v>1400000</v>
      </c>
      <c r="F22" s="43">
        <v>0.1</v>
      </c>
      <c r="G22" s="42" t="str">
        <f>fn비고(D22)</f>
        <v/>
      </c>
      <c r="I22" s="93"/>
      <c r="J22" s="44" t="s">
        <v>112</v>
      </c>
      <c r="K22" s="44" t="s">
        <v>113</v>
      </c>
      <c r="L22" s="44" t="s">
        <v>114</v>
      </c>
    </row>
    <row r="23" spans="1:13">
      <c r="A23" s="33" t="s">
        <v>115</v>
      </c>
      <c r="B23" s="33" t="s">
        <v>116</v>
      </c>
      <c r="C23" s="33" t="s">
        <v>117</v>
      </c>
      <c r="D23" s="35">
        <v>7</v>
      </c>
      <c r="E23" s="42">
        <v>900000</v>
      </c>
      <c r="F23" s="43">
        <v>0.08</v>
      </c>
      <c r="G23" s="42" t="str">
        <f t="shared" ref="G23" si="2">fn비고(D23)</f>
        <v/>
      </c>
      <c r="I23" s="33" t="s">
        <v>118</v>
      </c>
      <c r="J23" s="42">
        <f t="array" ref="J23">SUM(($B$22:$B$36=$I23)*($C$22:$C$36=J$22)*($F$22:$F$36&gt;=AVERAGE($F$22:$F$36))*$E$22:$E$36)</f>
        <v>2350000</v>
      </c>
      <c r="K23" s="42">
        <f t="array" ref="K23">SUM(($B$22:$B$36=$I23)*($C$22:$C$36=K$22)*($F$22:$F$36&gt;=AVERAGE($F$22:$F$36))*$E$22:$E$36)</f>
        <v>940000</v>
      </c>
      <c r="L23" s="42">
        <f t="array" ref="L23">SUM(($B$22:$B$36=$I23)*($C$22:$C$36=L$22)*($F$22:$F$36&gt;=AVERAGE($F$22:$F$36))*$E$22:$E$36)</f>
        <v>0</v>
      </c>
    </row>
    <row r="24" spans="1:13">
      <c r="A24" s="33" t="s">
        <v>119</v>
      </c>
      <c r="B24" s="33" t="s">
        <v>120</v>
      </c>
      <c r="C24" s="33" t="s">
        <v>121</v>
      </c>
      <c r="D24" s="35">
        <v>3</v>
      </c>
      <c r="E24" s="42">
        <v>650000</v>
      </c>
      <c r="F24" s="43">
        <v>0.06</v>
      </c>
      <c r="G24" s="42" t="str">
        <f t="shared" ref="G24" si="3">fn비고(D24)</f>
        <v/>
      </c>
      <c r="I24" s="33" t="s">
        <v>122</v>
      </c>
      <c r="J24" s="42">
        <f t="array" ref="J24">SUM(($B$22:$B$36=$I24)*($C$22:$C$36=J$22)*($F$22:$F$36&gt;=AVERAGE($F$22:$F$36))*$E$22:$E$36)</f>
        <v>1000000</v>
      </c>
      <c r="K24" s="42">
        <f t="array" ref="K24">SUM(($B$22:$B$36=$I24)*($C$22:$C$36=K$22)*($F$22:$F$36&gt;=AVERAGE($F$22:$F$36))*$E$22:$E$36)</f>
        <v>1780000</v>
      </c>
      <c r="L24" s="42">
        <f t="array" ref="L24">SUM(($B$22:$B$36=$I24)*($C$22:$C$36=L$22)*($F$22:$F$36&gt;=AVERAGE($F$22:$F$36))*$E$22:$E$36)</f>
        <v>700000</v>
      </c>
    </row>
    <row r="25" spans="1:13">
      <c r="A25" s="33" t="s">
        <v>123</v>
      </c>
      <c r="B25" s="33" t="s">
        <v>111</v>
      </c>
      <c r="C25" s="33" t="s">
        <v>117</v>
      </c>
      <c r="D25" s="35">
        <v>8</v>
      </c>
      <c r="E25" s="42">
        <v>920000</v>
      </c>
      <c r="F25" s="43">
        <v>0.02</v>
      </c>
      <c r="G25" s="42" t="str">
        <f t="shared" ref="G25" si="4">fn비고(D25)</f>
        <v>승진대상</v>
      </c>
      <c r="I25" s="33" t="s">
        <v>124</v>
      </c>
      <c r="J25" s="42">
        <f t="array" ref="J25">SUM(($B$22:$B$36=$I25)*($C$22:$C$36=J$22)*($F$22:$F$36&gt;=AVERAGE($F$22:$F$36))*$E$22:$E$36)</f>
        <v>1100000</v>
      </c>
      <c r="K25" s="42">
        <f t="array" ref="K25">SUM(($B$22:$B$36=$I25)*($C$22:$C$36=K$22)*($F$22:$F$36&gt;=AVERAGE($F$22:$F$36))*$E$22:$E$36)</f>
        <v>0</v>
      </c>
      <c r="L25" s="42">
        <f t="array" ref="L25">SUM(($B$22:$B$36=$I25)*($C$22:$C$36=L$22)*($F$22:$F$36&gt;=AVERAGE($F$22:$F$36))*$E$22:$E$36)</f>
        <v>650000</v>
      </c>
    </row>
    <row r="26" spans="1:13">
      <c r="A26" s="33" t="s">
        <v>125</v>
      </c>
      <c r="B26" s="33" t="s">
        <v>116</v>
      </c>
      <c r="C26" s="33" t="s">
        <v>121</v>
      </c>
      <c r="D26" s="35">
        <v>5</v>
      </c>
      <c r="E26" s="42">
        <v>750000</v>
      </c>
      <c r="F26" s="43">
        <v>0.04</v>
      </c>
      <c r="G26" s="42" t="str">
        <f t="shared" ref="G26:G36" si="5">fn비고(D26)</f>
        <v>승진대상</v>
      </c>
    </row>
    <row r="27" spans="1:13">
      <c r="A27" s="33" t="s">
        <v>126</v>
      </c>
      <c r="B27" s="33" t="s">
        <v>120</v>
      </c>
      <c r="C27" s="33" t="s">
        <v>71</v>
      </c>
      <c r="D27" s="35">
        <v>12</v>
      </c>
      <c r="E27" s="42">
        <v>1100000</v>
      </c>
      <c r="F27" s="43">
        <v>0.12</v>
      </c>
      <c r="G27" s="42" t="str">
        <f t="shared" si="5"/>
        <v/>
      </c>
    </row>
    <row r="28" spans="1:13">
      <c r="A28" s="33" t="s">
        <v>127</v>
      </c>
      <c r="B28" s="33" t="s">
        <v>111</v>
      </c>
      <c r="C28" s="33" t="s">
        <v>121</v>
      </c>
      <c r="D28" s="35">
        <v>4</v>
      </c>
      <c r="E28" s="42">
        <v>700000</v>
      </c>
      <c r="F28" s="43">
        <v>7.0000000000000007E-2</v>
      </c>
      <c r="G28" s="42" t="str">
        <f t="shared" si="5"/>
        <v>승진대상</v>
      </c>
      <c r="I28" s="34" t="s">
        <v>128</v>
      </c>
      <c r="J28" s="45"/>
      <c r="K28" s="45" t="s">
        <v>129</v>
      </c>
      <c r="L28" s="46"/>
      <c r="M28" s="46"/>
    </row>
    <row r="29" spans="1:13">
      <c r="A29" s="33" t="s">
        <v>130</v>
      </c>
      <c r="B29" s="33" t="s">
        <v>116</v>
      </c>
      <c r="C29" s="33" t="s">
        <v>71</v>
      </c>
      <c r="D29" s="35">
        <v>11</v>
      </c>
      <c r="E29" s="42">
        <v>1000000</v>
      </c>
      <c r="F29" s="43">
        <v>0.08</v>
      </c>
      <c r="G29" s="42" t="str">
        <f t="shared" si="5"/>
        <v/>
      </c>
      <c r="I29" s="47" t="b">
        <f>E22*50%&gt;=450000</f>
        <v>1</v>
      </c>
      <c r="J29" s="45"/>
      <c r="K29" s="95">
        <f>DCOUNTA(A21:G36,1,I28:I29)</f>
        <v>9</v>
      </c>
      <c r="L29" s="96"/>
      <c r="M29" s="97"/>
    </row>
    <row r="30" spans="1:13">
      <c r="A30" s="33" t="s">
        <v>131</v>
      </c>
      <c r="B30" s="33" t="s">
        <v>120</v>
      </c>
      <c r="C30" s="33" t="s">
        <v>117</v>
      </c>
      <c r="D30" s="35">
        <v>7</v>
      </c>
      <c r="E30" s="42">
        <v>900000</v>
      </c>
      <c r="F30" s="43">
        <v>0.04</v>
      </c>
      <c r="G30" s="42" t="str">
        <f t="shared" si="5"/>
        <v/>
      </c>
    </row>
    <row r="31" spans="1:13">
      <c r="A31" s="37" t="s">
        <v>132</v>
      </c>
      <c r="B31" s="37" t="s">
        <v>118</v>
      </c>
      <c r="C31" s="37" t="s">
        <v>112</v>
      </c>
      <c r="D31" s="38">
        <v>10</v>
      </c>
      <c r="E31" s="48">
        <v>950000</v>
      </c>
      <c r="F31" s="43">
        <v>0.1</v>
      </c>
      <c r="G31" s="42" t="str">
        <f t="shared" si="5"/>
        <v/>
      </c>
    </row>
    <row r="32" spans="1:13">
      <c r="A32" s="37" t="s">
        <v>133</v>
      </c>
      <c r="B32" s="37" t="s">
        <v>124</v>
      </c>
      <c r="C32" s="37" t="s">
        <v>112</v>
      </c>
      <c r="D32" s="38">
        <v>8</v>
      </c>
      <c r="E32" s="48">
        <v>920000</v>
      </c>
      <c r="F32" s="43">
        <v>7.0000000000000007E-2</v>
      </c>
      <c r="G32" s="42" t="str">
        <f t="shared" si="5"/>
        <v>승진대상</v>
      </c>
    </row>
    <row r="33" spans="1:7">
      <c r="A33" s="37" t="s">
        <v>134</v>
      </c>
      <c r="B33" s="37" t="s">
        <v>122</v>
      </c>
      <c r="C33" s="37" t="s">
        <v>113</v>
      </c>
      <c r="D33" s="38">
        <v>6</v>
      </c>
      <c r="E33" s="48">
        <v>880000</v>
      </c>
      <c r="F33" s="43">
        <v>0.11</v>
      </c>
      <c r="G33" s="42" t="str">
        <f t="shared" si="5"/>
        <v/>
      </c>
    </row>
    <row r="34" spans="1:7">
      <c r="A34" s="37" t="s">
        <v>135</v>
      </c>
      <c r="B34" s="37" t="s">
        <v>122</v>
      </c>
      <c r="C34" s="37" t="s">
        <v>114</v>
      </c>
      <c r="D34" s="38">
        <v>4</v>
      </c>
      <c r="E34" s="48">
        <v>700000</v>
      </c>
      <c r="F34" s="43">
        <v>0.08</v>
      </c>
      <c r="G34" s="42" t="str">
        <f t="shared" si="5"/>
        <v>승진대상</v>
      </c>
    </row>
    <row r="35" spans="1:7">
      <c r="A35" s="37" t="s">
        <v>136</v>
      </c>
      <c r="B35" s="37" t="s">
        <v>118</v>
      </c>
      <c r="C35" s="37" t="s">
        <v>113</v>
      </c>
      <c r="D35" s="38">
        <v>9</v>
      </c>
      <c r="E35" s="48">
        <v>940000</v>
      </c>
      <c r="F35" s="43">
        <v>0.09</v>
      </c>
      <c r="G35" s="42" t="str">
        <f t="shared" si="5"/>
        <v>승진대상</v>
      </c>
    </row>
    <row r="36" spans="1:7">
      <c r="A36" s="37" t="s">
        <v>137</v>
      </c>
      <c r="B36" s="37" t="s">
        <v>124</v>
      </c>
      <c r="C36" s="37" t="s">
        <v>114</v>
      </c>
      <c r="D36" s="38">
        <v>3</v>
      </c>
      <c r="E36" s="48">
        <v>650000</v>
      </c>
      <c r="F36" s="43">
        <v>0.1</v>
      </c>
      <c r="G36" s="42" t="str">
        <f t="shared" si="5"/>
        <v/>
      </c>
    </row>
    <row r="37" spans="1:7">
      <c r="A37" s="98" t="s">
        <v>138</v>
      </c>
      <c r="B37" s="98"/>
      <c r="C37" s="98"/>
      <c r="D37" s="49">
        <v>0.15</v>
      </c>
      <c r="F37" s="34" t="s">
        <v>139</v>
      </c>
      <c r="G37" s="50">
        <f>ROUND(AVERAGE(E22:E36),-1)</f>
        <v>890670</v>
      </c>
    </row>
  </sheetData>
  <mergeCells count="4">
    <mergeCell ref="I21:I22"/>
    <mergeCell ref="J21:L21"/>
    <mergeCell ref="K29:M29"/>
    <mergeCell ref="A37:C37"/>
  </mergeCells>
  <phoneticPr fontId="4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H34"/>
  <sheetViews>
    <sheetView workbookViewId="0">
      <selection activeCell="D23" sqref="D23"/>
    </sheetView>
  </sheetViews>
  <sheetFormatPr defaultRowHeight="16.5"/>
  <cols>
    <col min="1" max="1" width="15.5" style="1" customWidth="1"/>
    <col min="2" max="2" width="11.375" style="1" customWidth="1"/>
    <col min="3" max="5" width="13.125" style="1" bestFit="1" customWidth="1"/>
    <col min="6" max="6" width="11.125" style="1" bestFit="1" customWidth="1"/>
    <col min="7" max="16384" width="9" style="1"/>
  </cols>
  <sheetData>
    <row r="2" spans="1:8">
      <c r="A2" s="80" t="s">
        <v>198</v>
      </c>
      <c r="B2" s="80" t="s">
        <v>199</v>
      </c>
      <c r="C2" s="80" t="s">
        <v>200</v>
      </c>
      <c r="D2" s="80" t="s">
        <v>201</v>
      </c>
      <c r="E2" s="80" t="s">
        <v>105</v>
      </c>
      <c r="F2" s="80" t="s">
        <v>202</v>
      </c>
      <c r="G2" s="80" t="s">
        <v>203</v>
      </c>
      <c r="H2" s="80" t="s">
        <v>204</v>
      </c>
    </row>
    <row r="3" spans="1:8">
      <c r="A3" s="81" t="s">
        <v>205</v>
      </c>
      <c r="B3" s="81" t="s">
        <v>206</v>
      </c>
      <c r="C3" s="81" t="s">
        <v>71</v>
      </c>
      <c r="D3" s="81" t="s">
        <v>207</v>
      </c>
      <c r="E3" s="82">
        <v>2800</v>
      </c>
      <c r="F3" s="82">
        <v>11200</v>
      </c>
      <c r="G3" s="82">
        <v>140</v>
      </c>
      <c r="H3" s="82">
        <v>18340</v>
      </c>
    </row>
    <row r="4" spans="1:8">
      <c r="A4" s="81" t="s">
        <v>208</v>
      </c>
      <c r="B4" s="81" t="s">
        <v>206</v>
      </c>
      <c r="C4" s="81" t="s">
        <v>72</v>
      </c>
      <c r="D4" s="81" t="s">
        <v>209</v>
      </c>
      <c r="E4" s="82">
        <v>2000</v>
      </c>
      <c r="F4" s="82">
        <v>8000</v>
      </c>
      <c r="G4" s="82">
        <v>40</v>
      </c>
      <c r="H4" s="82">
        <v>32040</v>
      </c>
    </row>
    <row r="5" spans="1:8">
      <c r="A5" s="81" t="s">
        <v>210</v>
      </c>
      <c r="B5" s="81" t="s">
        <v>211</v>
      </c>
      <c r="C5" s="81" t="s">
        <v>71</v>
      </c>
      <c r="D5" s="81" t="s">
        <v>212</v>
      </c>
      <c r="E5" s="82">
        <v>2800</v>
      </c>
      <c r="F5" s="82">
        <v>11200</v>
      </c>
      <c r="G5" s="82">
        <v>140</v>
      </c>
      <c r="H5" s="82">
        <v>70140</v>
      </c>
    </row>
    <row r="6" spans="1:8">
      <c r="A6" s="81" t="s">
        <v>213</v>
      </c>
      <c r="B6" s="81" t="s">
        <v>120</v>
      </c>
      <c r="C6" s="81" t="s">
        <v>214</v>
      </c>
      <c r="D6" s="81" t="s">
        <v>215</v>
      </c>
      <c r="E6" s="82">
        <v>1500</v>
      </c>
      <c r="F6" s="82">
        <v>5000</v>
      </c>
      <c r="G6" s="82">
        <v>20</v>
      </c>
      <c r="H6" s="83"/>
    </row>
    <row r="7" spans="1:8">
      <c r="A7" s="81" t="s">
        <v>216</v>
      </c>
      <c r="B7" s="81" t="s">
        <v>120</v>
      </c>
      <c r="C7" s="81" t="s">
        <v>121</v>
      </c>
      <c r="D7" s="81" t="s">
        <v>217</v>
      </c>
      <c r="E7" s="82">
        <v>1800</v>
      </c>
      <c r="F7" s="82">
        <v>7200</v>
      </c>
      <c r="G7" s="82">
        <v>36</v>
      </c>
      <c r="H7" s="82">
        <v>23436</v>
      </c>
    </row>
    <row r="8" spans="1:8">
      <c r="A8" s="81" t="s">
        <v>218</v>
      </c>
      <c r="B8" s="81" t="s">
        <v>206</v>
      </c>
      <c r="C8" s="81" t="s">
        <v>72</v>
      </c>
      <c r="D8" s="81" t="s">
        <v>219</v>
      </c>
      <c r="E8" s="82">
        <v>2000</v>
      </c>
      <c r="F8" s="82">
        <v>8000</v>
      </c>
      <c r="G8" s="82">
        <v>40</v>
      </c>
      <c r="H8" s="82">
        <v>44040</v>
      </c>
    </row>
    <row r="9" spans="1:8">
      <c r="A9" s="81" t="s">
        <v>220</v>
      </c>
      <c r="B9" s="81" t="s">
        <v>206</v>
      </c>
      <c r="C9" s="81" t="s">
        <v>117</v>
      </c>
      <c r="D9" s="81" t="s">
        <v>221</v>
      </c>
      <c r="E9" s="82">
        <v>2500</v>
      </c>
      <c r="F9" s="82">
        <v>10000</v>
      </c>
      <c r="G9" s="82">
        <v>125</v>
      </c>
      <c r="H9" s="82">
        <v>65125</v>
      </c>
    </row>
    <row r="10" spans="1:8">
      <c r="A10" s="81" t="s">
        <v>222</v>
      </c>
      <c r="B10" s="81" t="s">
        <v>211</v>
      </c>
      <c r="C10" s="81" t="s">
        <v>121</v>
      </c>
      <c r="D10" s="81" t="s">
        <v>223</v>
      </c>
      <c r="E10" s="82">
        <v>1800</v>
      </c>
      <c r="F10" s="82">
        <v>7200</v>
      </c>
      <c r="G10" s="82">
        <v>36</v>
      </c>
      <c r="H10" s="82">
        <v>32436</v>
      </c>
    </row>
    <row r="11" spans="1:8">
      <c r="A11" s="81" t="s">
        <v>224</v>
      </c>
      <c r="B11" s="81" t="s">
        <v>206</v>
      </c>
      <c r="C11" s="81" t="s">
        <v>214</v>
      </c>
      <c r="D11" s="81" t="s">
        <v>215</v>
      </c>
      <c r="E11" s="82">
        <v>1500</v>
      </c>
      <c r="F11" s="82">
        <v>5000</v>
      </c>
      <c r="G11" s="82">
        <v>20</v>
      </c>
      <c r="H11" s="83"/>
    </row>
    <row r="12" spans="1:8">
      <c r="A12" s="81" t="s">
        <v>225</v>
      </c>
      <c r="B12" s="81" t="s">
        <v>120</v>
      </c>
      <c r="C12" s="81" t="s">
        <v>121</v>
      </c>
      <c r="D12" s="81" t="s">
        <v>226</v>
      </c>
      <c r="E12" s="82">
        <v>1800</v>
      </c>
      <c r="F12" s="82">
        <v>7200</v>
      </c>
      <c r="G12" s="82">
        <v>36</v>
      </c>
      <c r="H12" s="82">
        <v>19836</v>
      </c>
    </row>
    <row r="15" spans="1:8">
      <c r="A15" s="84" t="s">
        <v>198</v>
      </c>
      <c r="B15" s="85" t="s">
        <v>227</v>
      </c>
      <c r="C15" s="88"/>
      <c r="D15" s="88"/>
      <c r="E15" s="88"/>
      <c r="F15" s="88"/>
    </row>
    <row r="16" spans="1:8">
      <c r="A16" s="88"/>
      <c r="B16" s="88"/>
      <c r="C16" s="88"/>
      <c r="D16" s="88"/>
      <c r="E16" s="88"/>
      <c r="F16" s="88"/>
    </row>
    <row r="17" spans="1:6">
      <c r="A17" s="84" t="s">
        <v>200</v>
      </c>
      <c r="B17" s="84" t="s">
        <v>199</v>
      </c>
      <c r="C17" s="85" t="s">
        <v>229</v>
      </c>
      <c r="D17" s="85" t="s">
        <v>230</v>
      </c>
      <c r="E17" s="85" t="s">
        <v>231</v>
      </c>
      <c r="F17" s="85" t="s">
        <v>232</v>
      </c>
    </row>
    <row r="18" spans="1:6">
      <c r="A18" s="85" t="s">
        <v>72</v>
      </c>
      <c r="B18" s="85"/>
      <c r="C18" s="86">
        <v>4000</v>
      </c>
      <c r="D18" s="86">
        <v>16000</v>
      </c>
      <c r="E18" s="86">
        <v>76080</v>
      </c>
      <c r="F18" s="87">
        <v>0.24912162361285295</v>
      </c>
    </row>
    <row r="19" spans="1:6">
      <c r="A19" s="85"/>
      <c r="B19" s="85" t="s">
        <v>206</v>
      </c>
      <c r="C19" s="86">
        <v>4000</v>
      </c>
      <c r="D19" s="86">
        <v>16000</v>
      </c>
      <c r="E19" s="86">
        <v>76080</v>
      </c>
      <c r="F19" s="87">
        <v>0.24912162361285295</v>
      </c>
    </row>
    <row r="20" spans="1:6">
      <c r="A20" s="85" t="s">
        <v>121</v>
      </c>
      <c r="B20" s="85"/>
      <c r="C20" s="86">
        <v>5400</v>
      </c>
      <c r="D20" s="86">
        <v>21600</v>
      </c>
      <c r="E20" s="86">
        <v>75708</v>
      </c>
      <c r="F20" s="87">
        <v>0.24790352103682795</v>
      </c>
    </row>
    <row r="21" spans="1:6">
      <c r="A21" s="85"/>
      <c r="B21" s="85" t="s">
        <v>211</v>
      </c>
      <c r="C21" s="86">
        <v>1800</v>
      </c>
      <c r="D21" s="86">
        <v>7200</v>
      </c>
      <c r="E21" s="86">
        <v>32436</v>
      </c>
      <c r="F21" s="87">
        <v>0.10621068590308226</v>
      </c>
    </row>
    <row r="22" spans="1:6">
      <c r="A22" s="85"/>
      <c r="B22" s="85" t="s">
        <v>120</v>
      </c>
      <c r="C22" s="86">
        <v>3600</v>
      </c>
      <c r="D22" s="86">
        <v>14400</v>
      </c>
      <c r="E22" s="86">
        <v>43272</v>
      </c>
      <c r="F22" s="87">
        <v>0.1416928351337457</v>
      </c>
    </row>
    <row r="23" spans="1:6">
      <c r="A23" s="85" t="s">
        <v>71</v>
      </c>
      <c r="B23" s="85"/>
      <c r="C23" s="86">
        <v>5600</v>
      </c>
      <c r="D23" s="86">
        <v>22400</v>
      </c>
      <c r="E23" s="86">
        <v>88480</v>
      </c>
      <c r="F23" s="87">
        <v>0.289725042813686</v>
      </c>
    </row>
    <row r="24" spans="1:6">
      <c r="A24" s="85"/>
      <c r="B24" s="85" t="s">
        <v>211</v>
      </c>
      <c r="C24" s="86">
        <v>2800</v>
      </c>
      <c r="D24" s="86">
        <v>11200</v>
      </c>
      <c r="E24" s="86">
        <v>70140</v>
      </c>
      <c r="F24" s="87">
        <v>0.22967127602793777</v>
      </c>
    </row>
    <row r="25" spans="1:6">
      <c r="A25" s="85"/>
      <c r="B25" s="85" t="s">
        <v>206</v>
      </c>
      <c r="C25" s="86">
        <v>2800</v>
      </c>
      <c r="D25" s="86">
        <v>11200</v>
      </c>
      <c r="E25" s="86">
        <v>18340</v>
      </c>
      <c r="F25" s="87">
        <v>6.0053766785748197E-2</v>
      </c>
    </row>
    <row r="26" spans="1:6">
      <c r="A26" s="85" t="s">
        <v>214</v>
      </c>
      <c r="B26" s="85"/>
      <c r="C26" s="86">
        <v>3000</v>
      </c>
      <c r="D26" s="86">
        <v>10000</v>
      </c>
      <c r="E26" s="86"/>
      <c r="F26" s="87">
        <v>0</v>
      </c>
    </row>
    <row r="27" spans="1:6">
      <c r="A27" s="85"/>
      <c r="B27" s="85" t="s">
        <v>120</v>
      </c>
      <c r="C27" s="86">
        <v>1500</v>
      </c>
      <c r="D27" s="86">
        <v>5000</v>
      </c>
      <c r="E27" s="86"/>
      <c r="F27" s="87">
        <v>0</v>
      </c>
    </row>
    <row r="28" spans="1:6">
      <c r="A28" s="85"/>
      <c r="B28" s="85" t="s">
        <v>206</v>
      </c>
      <c r="C28" s="86">
        <v>1500</v>
      </c>
      <c r="D28" s="86">
        <v>5000</v>
      </c>
      <c r="E28" s="86"/>
      <c r="F28" s="87">
        <v>0</v>
      </c>
    </row>
    <row r="29" spans="1:6">
      <c r="A29" s="85" t="s">
        <v>117</v>
      </c>
      <c r="B29" s="85"/>
      <c r="C29" s="86">
        <v>2500</v>
      </c>
      <c r="D29" s="86">
        <v>10000</v>
      </c>
      <c r="E29" s="86">
        <v>65125</v>
      </c>
      <c r="F29" s="87">
        <v>0.21324981253663314</v>
      </c>
    </row>
    <row r="30" spans="1:6">
      <c r="A30" s="85"/>
      <c r="B30" s="85" t="s">
        <v>206</v>
      </c>
      <c r="C30" s="86">
        <v>2500</v>
      </c>
      <c r="D30" s="86">
        <v>10000</v>
      </c>
      <c r="E30" s="86">
        <v>65125</v>
      </c>
      <c r="F30" s="87">
        <v>0.21324981253663314</v>
      </c>
    </row>
    <row r="31" spans="1:6">
      <c r="A31" s="85" t="s">
        <v>228</v>
      </c>
      <c r="B31" s="85"/>
      <c r="C31" s="86">
        <v>20500</v>
      </c>
      <c r="D31" s="86">
        <v>80000</v>
      </c>
      <c r="E31" s="86">
        <v>305393</v>
      </c>
      <c r="F31" s="87">
        <v>1</v>
      </c>
    </row>
    <row r="32" spans="1:6">
      <c r="A32"/>
      <c r="B32"/>
      <c r="C32"/>
    </row>
    <row r="33" spans="1:3">
      <c r="A33"/>
      <c r="B33"/>
      <c r="C33"/>
    </row>
    <row r="34" spans="1:3">
      <c r="A34"/>
      <c r="B34"/>
      <c r="C34"/>
    </row>
  </sheetData>
  <phoneticPr fontId="4" type="noConversion"/>
  <pageMargins left="0.75" right="0.75" top="1" bottom="1" header="0.5" footer="0.5"/>
  <pageSetup paperSize="9" orientation="portrait" verticalDpi="0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sqref="A1:D1"/>
    </sheetView>
  </sheetViews>
  <sheetFormatPr defaultRowHeight="16.5"/>
  <cols>
    <col min="1" max="4" width="9" style="1"/>
    <col min="5" max="5" width="11.5" style="1" customWidth="1"/>
    <col min="6" max="16384" width="9" style="1"/>
  </cols>
  <sheetData>
    <row r="1" spans="1:9">
      <c r="A1" s="99" t="s">
        <v>140</v>
      </c>
      <c r="B1" s="99"/>
      <c r="C1" s="99"/>
      <c r="D1" s="99"/>
      <c r="F1" s="99" t="s">
        <v>141</v>
      </c>
      <c r="G1" s="99"/>
      <c r="H1" s="99"/>
      <c r="I1" s="99"/>
    </row>
    <row r="2" spans="1:9">
      <c r="A2" s="33" t="s">
        <v>142</v>
      </c>
      <c r="B2" s="33" t="s">
        <v>143</v>
      </c>
      <c r="C2" s="33" t="s">
        <v>144</v>
      </c>
      <c r="D2" s="33" t="s">
        <v>145</v>
      </c>
      <c r="F2" s="33" t="s">
        <v>142</v>
      </c>
      <c r="G2" s="33" t="s">
        <v>143</v>
      </c>
      <c r="H2" s="33" t="s">
        <v>144</v>
      </c>
      <c r="I2" s="33" t="s">
        <v>145</v>
      </c>
    </row>
    <row r="3" spans="1:9">
      <c r="A3" s="33" t="s">
        <v>146</v>
      </c>
      <c r="B3" s="33">
        <v>550</v>
      </c>
      <c r="C3" s="33">
        <v>56</v>
      </c>
      <c r="D3" s="33">
        <v>340</v>
      </c>
      <c r="F3" s="33" t="s">
        <v>146</v>
      </c>
      <c r="G3" s="33">
        <v>440</v>
      </c>
      <c r="H3" s="33">
        <v>47</v>
      </c>
      <c r="I3" s="33">
        <v>300</v>
      </c>
    </row>
    <row r="4" spans="1:9">
      <c r="A4" s="33" t="s">
        <v>147</v>
      </c>
      <c r="B4" s="33">
        <v>345</v>
      </c>
      <c r="C4" s="33">
        <v>89</v>
      </c>
      <c r="D4" s="33">
        <v>110</v>
      </c>
      <c r="F4" s="33" t="s">
        <v>147</v>
      </c>
      <c r="G4" s="33">
        <v>456</v>
      </c>
      <c r="H4" s="33">
        <v>234</v>
      </c>
      <c r="I4" s="33">
        <v>322</v>
      </c>
    </row>
    <row r="5" spans="1:9">
      <c r="A5" s="33" t="s">
        <v>148</v>
      </c>
      <c r="B5" s="33">
        <v>789</v>
      </c>
      <c r="C5" s="33">
        <v>456</v>
      </c>
      <c r="D5" s="33">
        <v>70</v>
      </c>
      <c r="F5" s="33" t="s">
        <v>148</v>
      </c>
      <c r="G5" s="33">
        <v>556</v>
      </c>
      <c r="H5" s="33">
        <v>556</v>
      </c>
      <c r="I5" s="33">
        <v>220</v>
      </c>
    </row>
    <row r="6" spans="1:9">
      <c r="A6" s="33" t="s">
        <v>149</v>
      </c>
      <c r="B6" s="33">
        <v>120</v>
      </c>
      <c r="C6" s="33">
        <v>98</v>
      </c>
      <c r="D6" s="33">
        <v>20</v>
      </c>
      <c r="F6" s="33" t="s">
        <v>149</v>
      </c>
      <c r="G6" s="33">
        <v>234</v>
      </c>
      <c r="H6" s="33">
        <v>100</v>
      </c>
      <c r="I6" s="33">
        <v>30</v>
      </c>
    </row>
    <row r="7" spans="1:9">
      <c r="A7" s="33" t="s">
        <v>150</v>
      </c>
      <c r="B7" s="33">
        <v>345</v>
      </c>
      <c r="C7" s="33">
        <v>123</v>
      </c>
      <c r="D7" s="33">
        <v>98</v>
      </c>
      <c r="F7" s="33" t="s">
        <v>150</v>
      </c>
      <c r="G7" s="33">
        <v>556</v>
      </c>
      <c r="H7" s="33">
        <v>145</v>
      </c>
      <c r="I7" s="33">
        <v>78</v>
      </c>
    </row>
    <row r="8" spans="1:9">
      <c r="A8" s="33" t="s">
        <v>151</v>
      </c>
      <c r="B8" s="33">
        <v>666</v>
      </c>
      <c r="C8" s="33">
        <v>110</v>
      </c>
      <c r="D8" s="33">
        <v>89</v>
      </c>
      <c r="F8" s="33" t="s">
        <v>151</v>
      </c>
      <c r="G8" s="33">
        <v>675</v>
      </c>
      <c r="H8" s="33">
        <v>98</v>
      </c>
      <c r="I8" s="33">
        <v>65</v>
      </c>
    </row>
    <row r="9" spans="1:9">
      <c r="B9" s="51"/>
      <c r="C9" s="51"/>
      <c r="D9" s="51"/>
    </row>
    <row r="11" spans="1:9">
      <c r="A11" s="99" t="s">
        <v>152</v>
      </c>
      <c r="B11" s="99"/>
      <c r="C11" s="99"/>
      <c r="D11" s="52"/>
    </row>
    <row r="12" spans="1:9">
      <c r="A12" s="33" t="s">
        <v>142</v>
      </c>
      <c r="B12" s="33" t="s">
        <v>143</v>
      </c>
      <c r="C12" s="33" t="s">
        <v>145</v>
      </c>
    </row>
    <row r="13" spans="1:9">
      <c r="A13" s="33" t="s">
        <v>146</v>
      </c>
      <c r="B13" s="35">
        <v>495</v>
      </c>
      <c r="C13" s="35">
        <v>320</v>
      </c>
    </row>
    <row r="14" spans="1:9">
      <c r="A14" s="33" t="s">
        <v>147</v>
      </c>
      <c r="B14" s="35">
        <v>400.5</v>
      </c>
      <c r="C14" s="35">
        <v>216</v>
      </c>
    </row>
    <row r="15" spans="1:9">
      <c r="A15" s="33" t="s">
        <v>148</v>
      </c>
      <c r="B15" s="35">
        <v>672.5</v>
      </c>
      <c r="C15" s="35">
        <v>145</v>
      </c>
    </row>
    <row r="16" spans="1:9">
      <c r="A16" s="33" t="s">
        <v>149</v>
      </c>
      <c r="B16" s="35">
        <v>177</v>
      </c>
      <c r="C16" s="35">
        <v>25</v>
      </c>
    </row>
    <row r="17" spans="1:3">
      <c r="A17" s="33" t="s">
        <v>150</v>
      </c>
      <c r="B17" s="35">
        <v>450.5</v>
      </c>
      <c r="C17" s="35">
        <v>88</v>
      </c>
    </row>
    <row r="18" spans="1:3">
      <c r="A18" s="33" t="s">
        <v>151</v>
      </c>
      <c r="B18" s="35">
        <v>670.5</v>
      </c>
      <c r="C18" s="35">
        <v>77</v>
      </c>
    </row>
  </sheetData>
  <dataConsolidate function="average" topLabels="1">
    <dataRefs count="2">
      <dataRef ref="A2:D8" sheet="분석작업-2"/>
      <dataRef ref="F2:I8" sheet="분석작업-2"/>
    </dataRefs>
  </dataConsolidate>
  <mergeCells count="3">
    <mergeCell ref="A1:D1"/>
    <mergeCell ref="F1:I1"/>
    <mergeCell ref="A11:C11"/>
  </mergeCells>
  <phoneticPr fontId="4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G10"/>
  <sheetViews>
    <sheetView topLeftCell="A7" workbookViewId="0">
      <selection activeCell="I19" sqref="I19"/>
    </sheetView>
  </sheetViews>
  <sheetFormatPr defaultRowHeight="16.5"/>
  <cols>
    <col min="1" max="1" width="11.25" style="1" customWidth="1"/>
    <col min="2" max="2" width="9.625" style="1" customWidth="1"/>
    <col min="3" max="3" width="8" style="1" customWidth="1"/>
    <col min="4" max="4" width="10.25" style="1" customWidth="1"/>
    <col min="5" max="5" width="10.625" style="1" customWidth="1"/>
    <col min="6" max="6" width="14.75" style="1" customWidth="1"/>
    <col min="7" max="7" width="9" style="19"/>
    <col min="8" max="16384" width="9" style="1"/>
  </cols>
  <sheetData>
    <row r="1" spans="1:7" ht="26.25">
      <c r="B1" s="100" t="s">
        <v>153</v>
      </c>
      <c r="C1" s="100"/>
      <c r="D1" s="100"/>
      <c r="E1" s="100"/>
      <c r="F1" s="100"/>
      <c r="G1" s="100"/>
    </row>
    <row r="2" spans="1:7" ht="17.25" thickBot="1">
      <c r="A2" s="2"/>
      <c r="B2" s="2"/>
      <c r="C2" s="2"/>
      <c r="D2" s="2"/>
      <c r="E2" s="2"/>
      <c r="F2" s="2"/>
      <c r="G2" s="53" t="s">
        <v>154</v>
      </c>
    </row>
    <row r="3" spans="1:7" ht="17.25" thickBot="1">
      <c r="A3" s="54" t="s">
        <v>155</v>
      </c>
      <c r="B3" s="55" t="s">
        <v>156</v>
      </c>
      <c r="C3" s="55" t="s">
        <v>157</v>
      </c>
      <c r="D3" s="55" t="s">
        <v>158</v>
      </c>
      <c r="E3" s="55" t="s">
        <v>159</v>
      </c>
      <c r="F3" s="55" t="s">
        <v>160</v>
      </c>
      <c r="G3" s="56" t="s">
        <v>161</v>
      </c>
    </row>
    <row r="4" spans="1:7">
      <c r="A4" s="57" t="s">
        <v>162</v>
      </c>
      <c r="B4" s="58">
        <v>2500</v>
      </c>
      <c r="C4" s="58">
        <v>50</v>
      </c>
      <c r="D4" s="58">
        <f t="shared" ref="D4:D9" si="0">B4*C4</f>
        <v>125000</v>
      </c>
      <c r="E4" s="58">
        <v>45</v>
      </c>
      <c r="F4" s="59">
        <f t="shared" ref="F4:F9" si="1">C4/E4</f>
        <v>1.1111111111111112</v>
      </c>
      <c r="G4" s="60" t="str">
        <f t="shared" ref="G4:G9" si="2">IF(F4&gt;1,"초과달성",IF(F4=1,"목표달성","목표미달"))</f>
        <v>초과달성</v>
      </c>
    </row>
    <row r="5" spans="1:7">
      <c r="A5" s="61" t="s">
        <v>163</v>
      </c>
      <c r="B5" s="42">
        <v>1630</v>
      </c>
      <c r="C5" s="42">
        <v>250</v>
      </c>
      <c r="D5" s="42">
        <v>180000</v>
      </c>
      <c r="E5" s="42">
        <v>245</v>
      </c>
      <c r="F5" s="62">
        <f t="shared" si="1"/>
        <v>1.0204081632653061</v>
      </c>
      <c r="G5" s="63" t="str">
        <f t="shared" si="2"/>
        <v>초과달성</v>
      </c>
    </row>
    <row r="6" spans="1:7">
      <c r="A6" s="61" t="s">
        <v>164</v>
      </c>
      <c r="B6" s="42">
        <v>450</v>
      </c>
      <c r="C6" s="42">
        <v>15</v>
      </c>
      <c r="D6" s="42">
        <f t="shared" si="0"/>
        <v>6750</v>
      </c>
      <c r="E6" s="42">
        <v>50</v>
      </c>
      <c r="F6" s="62">
        <f t="shared" si="1"/>
        <v>0.3</v>
      </c>
      <c r="G6" s="63" t="str">
        <f t="shared" si="2"/>
        <v>목표미달</v>
      </c>
    </row>
    <row r="7" spans="1:7">
      <c r="A7" s="61" t="s">
        <v>165</v>
      </c>
      <c r="B7" s="42">
        <v>150</v>
      </c>
      <c r="C7" s="42">
        <v>150</v>
      </c>
      <c r="D7" s="42">
        <f t="shared" si="0"/>
        <v>22500</v>
      </c>
      <c r="E7" s="42">
        <v>150</v>
      </c>
      <c r="F7" s="62">
        <f t="shared" si="1"/>
        <v>1</v>
      </c>
      <c r="G7" s="63" t="str">
        <f t="shared" si="2"/>
        <v>목표달성</v>
      </c>
    </row>
    <row r="8" spans="1:7">
      <c r="A8" s="61" t="s">
        <v>166</v>
      </c>
      <c r="B8" s="42">
        <v>150</v>
      </c>
      <c r="C8" s="42">
        <v>154</v>
      </c>
      <c r="D8" s="42">
        <f t="shared" si="0"/>
        <v>23100</v>
      </c>
      <c r="E8" s="42">
        <v>250</v>
      </c>
      <c r="F8" s="62">
        <f t="shared" si="1"/>
        <v>0.61599999999999999</v>
      </c>
      <c r="G8" s="63" t="str">
        <f t="shared" si="2"/>
        <v>목표미달</v>
      </c>
    </row>
    <row r="9" spans="1:7" ht="17.25" thickBot="1">
      <c r="A9" s="61" t="s">
        <v>167</v>
      </c>
      <c r="B9" s="42">
        <v>60</v>
      </c>
      <c r="C9" s="42">
        <v>578</v>
      </c>
      <c r="D9" s="42">
        <f t="shared" si="0"/>
        <v>34680</v>
      </c>
      <c r="E9" s="42">
        <v>450</v>
      </c>
      <c r="F9" s="62">
        <f t="shared" si="1"/>
        <v>1.2844444444444445</v>
      </c>
      <c r="G9" s="63" t="str">
        <f t="shared" si="2"/>
        <v>초과달성</v>
      </c>
    </row>
    <row r="10" spans="1:7" ht="17.25" thickBot="1">
      <c r="A10" s="101" t="s">
        <v>168</v>
      </c>
      <c r="B10" s="102"/>
      <c r="C10" s="64">
        <f>SUM(C4:C9)</f>
        <v>1197</v>
      </c>
      <c r="D10" s="65">
        <f>SUM(D4:D9)</f>
        <v>392030</v>
      </c>
      <c r="E10" s="20"/>
    </row>
  </sheetData>
  <mergeCells count="2">
    <mergeCell ref="B1:G1"/>
    <mergeCell ref="A10:B10"/>
  </mergeCells>
  <phoneticPr fontId="4" type="noConversion"/>
  <pageMargins left="0.75" right="0.75" top="1" bottom="1" header="0.5" footer="0.5"/>
  <pageSetup paperSize="9" orientation="portrait" horizontalDpi="4294967292" verticalDpi="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8"/>
  <sheetViews>
    <sheetView workbookViewId="0">
      <selection activeCell="K14" sqref="K14"/>
    </sheetView>
  </sheetViews>
  <sheetFormatPr defaultRowHeight="16.5"/>
  <cols>
    <col min="1" max="1" width="9" style="1"/>
    <col min="2" max="2" width="11.625" style="1" customWidth="1"/>
    <col min="3" max="3" width="11.875" style="1" customWidth="1"/>
    <col min="4" max="4" width="12.25" style="1" customWidth="1"/>
    <col min="5" max="5" width="10.625" style="1" customWidth="1"/>
    <col min="6" max="7" width="9" style="1"/>
    <col min="8" max="8" width="11.75" style="1" bestFit="1" customWidth="1"/>
    <col min="9" max="16384" width="9" style="1"/>
  </cols>
  <sheetData>
    <row r="1" spans="1:9">
      <c r="A1" s="1" t="s">
        <v>169</v>
      </c>
    </row>
    <row r="3" spans="1:9">
      <c r="A3" s="66" t="s">
        <v>170</v>
      </c>
      <c r="B3" s="66" t="s">
        <v>171</v>
      </c>
      <c r="C3" s="66" t="s">
        <v>172</v>
      </c>
      <c r="D3" s="66" t="s">
        <v>173</v>
      </c>
      <c r="E3" s="66" t="s">
        <v>174</v>
      </c>
      <c r="H3" s="66" t="s">
        <v>175</v>
      </c>
      <c r="I3" s="66" t="s">
        <v>172</v>
      </c>
    </row>
    <row r="4" spans="1:9">
      <c r="A4" s="1">
        <v>1</v>
      </c>
      <c r="B4" s="1" t="s">
        <v>176</v>
      </c>
      <c r="C4" s="1">
        <v>170000</v>
      </c>
      <c r="D4" s="1">
        <v>6</v>
      </c>
      <c r="E4" s="67">
        <v>194000</v>
      </c>
      <c r="H4" s="1" t="s">
        <v>177</v>
      </c>
      <c r="I4" s="1">
        <v>310000</v>
      </c>
    </row>
    <row r="5" spans="1:9">
      <c r="A5" s="1">
        <v>2</v>
      </c>
      <c r="B5" s="1" t="s">
        <v>176</v>
      </c>
      <c r="C5" s="1">
        <v>170000</v>
      </c>
      <c r="D5" s="1">
        <v>24</v>
      </c>
      <c r="E5" s="67">
        <v>266000</v>
      </c>
      <c r="H5" s="1" t="s">
        <v>178</v>
      </c>
      <c r="I5" s="1">
        <v>270000</v>
      </c>
    </row>
    <row r="6" spans="1:9">
      <c r="A6" s="1">
        <v>3</v>
      </c>
      <c r="B6" s="1" t="s">
        <v>179</v>
      </c>
      <c r="C6" s="1">
        <v>310000</v>
      </c>
      <c r="D6" s="1">
        <v>12</v>
      </c>
      <c r="E6" s="67">
        <v>358000</v>
      </c>
      <c r="H6" s="1" t="s">
        <v>180</v>
      </c>
      <c r="I6" s="1">
        <v>220000</v>
      </c>
    </row>
    <row r="7" spans="1:9">
      <c r="H7" s="1" t="s">
        <v>181</v>
      </c>
      <c r="I7" s="1">
        <v>170000</v>
      </c>
    </row>
    <row r="8" spans="1:9">
      <c r="H8" s="1" t="s">
        <v>182</v>
      </c>
      <c r="I8" s="1">
        <v>280000</v>
      </c>
    </row>
  </sheetData>
  <phoneticPr fontId="4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2</xdr:col>
                <xdr:colOff>9525</xdr:colOff>
                <xdr:row>0</xdr:row>
                <xdr:rowOff>19050</xdr:rowOff>
              </from>
              <to>
                <xdr:col>3</xdr:col>
                <xdr:colOff>466725</xdr:colOff>
                <xdr:row>1</xdr:row>
                <xdr:rowOff>133350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4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  <vt:lpstr>'기본작업-2'!Print_Area</vt:lpstr>
      <vt:lpstr>부서자료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cp:lastPrinted>2017-08-29T14:58:48Z</cp:lastPrinted>
  <dcterms:created xsi:type="dcterms:W3CDTF">2017-08-29T14:46:16Z</dcterms:created>
  <dcterms:modified xsi:type="dcterms:W3CDTF">2019-09-09T04:33:15Z</dcterms:modified>
</cp:coreProperties>
</file>