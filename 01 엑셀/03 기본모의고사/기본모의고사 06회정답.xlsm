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workbookProtection lockStructure="1"/>
  <bookViews>
    <workbookView xWindow="720" yWindow="435" windowWidth="26970" windowHeight="1267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'기본작업-2'!$A$19:$I$28</definedName>
    <definedName name="_xlnm.Criteria" localSheetId="1">'기본작업-2'!$E$30:$E$31</definedName>
    <definedName name="_xlnm.Extract" localSheetId="1">'기본작업-2'!$A$34:$C$34</definedName>
    <definedName name="MS_Access_Database_Query" localSheetId="0" hidden="1">'기본작업-1'!$A$3:$F$10</definedName>
    <definedName name="용도명" localSheetId="1">'기타작업-2'!#REF!</definedName>
    <definedName name="용도명">'기타작업-2'!#REF!</definedName>
  </definedNames>
  <calcPr calcId="145621"/>
  <pivotCaches>
    <pivotCache cacheId="5" r:id="rId8"/>
  </pivotCaches>
</workbook>
</file>

<file path=xl/calcChain.xml><?xml version="1.0" encoding="utf-8"?>
<calcChain xmlns="http://schemas.openxmlformats.org/spreadsheetml/2006/main">
  <c r="E3" i="5" l="1"/>
  <c r="B9" i="5" l="1"/>
  <c r="A40" i="3"/>
  <c r="K31" i="3"/>
  <c r="K30" i="3"/>
  <c r="D30" i="3"/>
  <c r="K29" i="3"/>
  <c r="D29" i="3"/>
  <c r="K28" i="3"/>
  <c r="D28" i="3"/>
  <c r="K27" i="3"/>
  <c r="D27" i="3"/>
  <c r="K26" i="3"/>
  <c r="D26" i="3"/>
  <c r="K25" i="3"/>
  <c r="D25" i="3"/>
  <c r="K24" i="3"/>
  <c r="D24" i="3"/>
  <c r="K11" i="3" a="1"/>
  <c r="K11" i="3" s="1"/>
  <c r="J11" i="3" a="1"/>
  <c r="J11" i="3" s="1"/>
  <c r="I11" i="3" a="1"/>
  <c r="I11" i="3" s="1"/>
  <c r="K10" i="3"/>
  <c r="K10" i="3" a="1"/>
  <c r="J10" i="3" a="1"/>
  <c r="J10" i="3" s="1"/>
  <c r="I10" i="3" a="1"/>
  <c r="I10" i="3" s="1"/>
  <c r="K9" i="3"/>
  <c r="K9" i="3" a="1"/>
  <c r="J9" i="3" a="1"/>
  <c r="J9" i="3" s="1"/>
  <c r="I9" i="3"/>
  <c r="I9" i="3" a="1"/>
  <c r="I5" i="3" a="1"/>
  <c r="I5" i="3" s="1"/>
  <c r="I4" i="3" a="1"/>
  <c r="I4" i="3" s="1"/>
  <c r="I3" i="3"/>
  <c r="I3" i="3" a="1"/>
  <c r="E31" i="2"/>
  <c r="H28" i="2"/>
  <c r="H27" i="2"/>
  <c r="H26" i="2"/>
  <c r="H25" i="2"/>
  <c r="H24" i="2"/>
  <c r="H23" i="2"/>
  <c r="H22" i="2"/>
  <c r="H21" i="2"/>
  <c r="H20" i="2"/>
  <c r="F18" i="3"/>
  <c r="F11" i="3"/>
  <c r="F6" i="3"/>
  <c r="F15" i="3"/>
  <c r="F7" i="3"/>
  <c r="F9" i="3"/>
  <c r="F16" i="3"/>
  <c r="F4" i="3"/>
  <c r="F13" i="3"/>
  <c r="F8" i="3"/>
  <c r="F14" i="3"/>
  <c r="F20" i="3"/>
  <c r="F10" i="3"/>
  <c r="F5" i="3"/>
  <c r="F3" i="3"/>
  <c r="F19" i="3"/>
  <c r="F17" i="3"/>
  <c r="F12" i="3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C:\길벗컴활1급\01 엑셀\03 기본모의고사\수강내역.accdb;DefaultDir=C:\길벗컴활1급\01 엑셀\03 기본모의고사;DriverId=25;FIL=MS Access;MaxBufferSize=2048;PageTimeout=5;" command="SELECT 수강내역.순번, 수강내역.회원번호, 수강내역.종목명, 수강내역.급수, 수강내역.기간, 수강내역.결재금액_x000d__x000a_FROM `C:\길벗컴활1급\01 엑셀\03 기본모의고사\수강내역.accdb`.수강내역 수강내역_x000d__x000a_WHERE (수강내역.종목명='에어로빅') AND (수강내역.급수&lt;&gt;'고급')_x000d__x000a_ORDER BY 수강내역.순번, 수강내역.종목명 DESC"/>
  </connection>
</connections>
</file>

<file path=xl/sharedStrings.xml><?xml version="1.0" encoding="utf-8"?>
<sst xmlns="http://schemas.openxmlformats.org/spreadsheetml/2006/main" count="378" uniqueCount="257">
  <si>
    <t>수강내역</t>
    <phoneticPr fontId="4" type="noConversion"/>
  </si>
  <si>
    <t>[표1]</t>
    <phoneticPr fontId="4" type="noConversion"/>
  </si>
  <si>
    <t>고객 데이터베이스</t>
  </si>
  <si>
    <t>고객ID</t>
  </si>
  <si>
    <t>성명</t>
  </si>
  <si>
    <t>성별</t>
  </si>
  <si>
    <t>학력</t>
  </si>
  <si>
    <t>연령</t>
  </si>
  <si>
    <t>직업</t>
  </si>
  <si>
    <t>월평균수입</t>
  </si>
  <si>
    <t>총구매횟수</t>
  </si>
  <si>
    <t>총구매액</t>
  </si>
  <si>
    <t>001</t>
  </si>
  <si>
    <t>김성수</t>
  </si>
  <si>
    <t>남</t>
  </si>
  <si>
    <t>고졸</t>
  </si>
  <si>
    <t>인터넷 관련직</t>
  </si>
  <si>
    <t>002</t>
  </si>
  <si>
    <t>차태현</t>
  </si>
  <si>
    <t>대졸</t>
  </si>
  <si>
    <t>사무/관리직</t>
  </si>
  <si>
    <t>003</t>
  </si>
  <si>
    <t>소미선</t>
  </si>
  <si>
    <t>여</t>
  </si>
  <si>
    <t>004</t>
  </si>
  <si>
    <t>최재형</t>
  </si>
  <si>
    <t>005</t>
  </si>
  <si>
    <t>최지원</t>
  </si>
  <si>
    <t>006</t>
  </si>
  <si>
    <t>김미연</t>
  </si>
  <si>
    <t>일반영업직</t>
  </si>
  <si>
    <t>007</t>
  </si>
  <si>
    <t>김영수</t>
  </si>
  <si>
    <t>자영업</t>
  </si>
  <si>
    <t>008</t>
  </si>
  <si>
    <t>박진희</t>
  </si>
  <si>
    <t>판매단가</t>
    <phoneticPr fontId="9" type="noConversion"/>
  </si>
  <si>
    <t>[표2]</t>
    <phoneticPr fontId="4" type="noConversion"/>
  </si>
  <si>
    <t>가전제품별 판매 현황</t>
    <phoneticPr fontId="4" type="noConversion"/>
  </si>
  <si>
    <t>단위:천원</t>
    <phoneticPr fontId="4" type="noConversion"/>
  </si>
  <si>
    <t>제품코드</t>
    <phoneticPr fontId="4" type="noConversion"/>
  </si>
  <si>
    <t>제품명</t>
    <phoneticPr fontId="4" type="noConversion"/>
  </si>
  <si>
    <t>등급</t>
    <phoneticPr fontId="4" type="noConversion"/>
  </si>
  <si>
    <t>판매량</t>
    <phoneticPr fontId="4" type="noConversion"/>
  </si>
  <si>
    <t>단가</t>
    <phoneticPr fontId="4" type="noConversion"/>
  </si>
  <si>
    <t>할인율</t>
    <phoneticPr fontId="4" type="noConversion"/>
  </si>
  <si>
    <t>판매요일</t>
    <phoneticPr fontId="4" type="noConversion"/>
  </si>
  <si>
    <t>대리점</t>
    <phoneticPr fontId="4" type="noConversion"/>
  </si>
  <si>
    <t>TV-A</t>
    <phoneticPr fontId="4" type="noConversion"/>
  </si>
  <si>
    <t>TV</t>
    <phoneticPr fontId="4" type="noConversion"/>
  </si>
  <si>
    <t>고급형</t>
    <phoneticPr fontId="4" type="noConversion"/>
  </si>
  <si>
    <t>월요일</t>
    <phoneticPr fontId="4" type="noConversion"/>
  </si>
  <si>
    <t>서초구</t>
    <phoneticPr fontId="4" type="noConversion"/>
  </si>
  <si>
    <t>TV-B</t>
    <phoneticPr fontId="4" type="noConversion"/>
  </si>
  <si>
    <t>중급형</t>
    <phoneticPr fontId="4" type="noConversion"/>
  </si>
  <si>
    <t>화요일</t>
    <phoneticPr fontId="4" type="noConversion"/>
  </si>
  <si>
    <t>TV-C</t>
    <phoneticPr fontId="4" type="noConversion"/>
  </si>
  <si>
    <t>보급형</t>
    <phoneticPr fontId="4" type="noConversion"/>
  </si>
  <si>
    <t>동작구</t>
    <phoneticPr fontId="4" type="noConversion"/>
  </si>
  <si>
    <t>VCR-A</t>
    <phoneticPr fontId="4" type="noConversion"/>
  </si>
  <si>
    <t>비디오</t>
    <phoneticPr fontId="4" type="noConversion"/>
  </si>
  <si>
    <t>VCR-B</t>
    <phoneticPr fontId="4" type="noConversion"/>
  </si>
  <si>
    <t>수요일</t>
  </si>
  <si>
    <t>송파구</t>
    <phoneticPr fontId="4" type="noConversion"/>
  </si>
  <si>
    <t>VCR-C</t>
    <phoneticPr fontId="4" type="noConversion"/>
  </si>
  <si>
    <t>목요일</t>
  </si>
  <si>
    <t>AUD-A</t>
    <phoneticPr fontId="4" type="noConversion"/>
  </si>
  <si>
    <t>오디오</t>
    <phoneticPr fontId="4" type="noConversion"/>
  </si>
  <si>
    <t>일요일</t>
    <phoneticPr fontId="4" type="noConversion"/>
  </si>
  <si>
    <t>양천구</t>
    <phoneticPr fontId="4" type="noConversion"/>
  </si>
  <si>
    <t>AUD-B</t>
    <phoneticPr fontId="4" type="noConversion"/>
  </si>
  <si>
    <t>토요일</t>
  </si>
  <si>
    <t>강남구</t>
    <phoneticPr fontId="4" type="noConversion"/>
  </si>
  <si>
    <t>AUD-C</t>
    <phoneticPr fontId="4" type="noConversion"/>
  </si>
  <si>
    <t>일요일</t>
  </si>
  <si>
    <t>영등포구</t>
    <phoneticPr fontId="4" type="noConversion"/>
  </si>
  <si>
    <t>코드명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</si>
  <si>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</si>
  <si>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</si>
  <si>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</si>
  <si>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[표1]</t>
    <phoneticPr fontId="4" type="noConversion"/>
  </si>
  <si>
    <t>입항일자</t>
    <phoneticPr fontId="4" type="noConversion"/>
  </si>
  <si>
    <t>입항시간</t>
    <phoneticPr fontId="4" type="noConversion"/>
  </si>
  <si>
    <t>하역사</t>
    <phoneticPr fontId="4" type="noConversion"/>
  </si>
  <si>
    <t>화물명</t>
    <phoneticPr fontId="4" type="noConversion"/>
  </si>
  <si>
    <t>톤수</t>
    <phoneticPr fontId="4" type="noConversion"/>
  </si>
  <si>
    <t>비고</t>
    <phoneticPr fontId="4" type="noConversion"/>
  </si>
  <si>
    <t>두 번째로 작은 톤수</t>
    <phoneticPr fontId="4" type="noConversion"/>
  </si>
  <si>
    <t>0시11분</t>
  </si>
  <si>
    <t>세방기업</t>
  </si>
  <si>
    <t>당밀</t>
    <phoneticPr fontId="4" type="noConversion"/>
  </si>
  <si>
    <t>군산항업</t>
    <phoneticPr fontId="4" type="noConversion"/>
  </si>
  <si>
    <t>10시20분</t>
  </si>
  <si>
    <t>대한통운</t>
    <phoneticPr fontId="4" type="noConversion"/>
  </si>
  <si>
    <t>당밀</t>
    <phoneticPr fontId="4" type="noConversion"/>
  </si>
  <si>
    <t>대한통운</t>
    <phoneticPr fontId="4" type="noConversion"/>
  </si>
  <si>
    <t>군산항업</t>
    <phoneticPr fontId="4" type="noConversion"/>
  </si>
  <si>
    <t>세방기업</t>
    <phoneticPr fontId="4" type="noConversion"/>
  </si>
  <si>
    <t>11시25분</t>
  </si>
  <si>
    <t>수지</t>
    <phoneticPr fontId="4" type="noConversion"/>
  </si>
  <si>
    <t>11시50분</t>
  </si>
  <si>
    <t>바지락</t>
    <phoneticPr fontId="4" type="noConversion"/>
  </si>
  <si>
    <t>[표3]</t>
    <phoneticPr fontId="4" type="noConversion"/>
  </si>
  <si>
    <t>홀수달 하역 내역</t>
    <phoneticPr fontId="4" type="noConversion"/>
  </si>
  <si>
    <t>12시0분</t>
  </si>
  <si>
    <t>군산항업</t>
    <phoneticPr fontId="4" type="noConversion"/>
  </si>
  <si>
    <t>당밀</t>
    <phoneticPr fontId="4" type="noConversion"/>
  </si>
  <si>
    <t>하역사</t>
    <phoneticPr fontId="4" type="noConversion"/>
  </si>
  <si>
    <t>바지락</t>
    <phoneticPr fontId="4" type="noConversion"/>
  </si>
  <si>
    <t>수지</t>
    <phoneticPr fontId="4" type="noConversion"/>
  </si>
  <si>
    <t>15시50분</t>
  </si>
  <si>
    <t>17시0분</t>
  </si>
  <si>
    <t>대한통운</t>
    <phoneticPr fontId="4" type="noConversion"/>
  </si>
  <si>
    <t>당밀</t>
    <phoneticPr fontId="4" type="noConversion"/>
  </si>
  <si>
    <t>18시0분</t>
  </si>
  <si>
    <t>세방기업</t>
    <phoneticPr fontId="4" type="noConversion"/>
  </si>
  <si>
    <t>1시20분</t>
  </si>
  <si>
    <t>20시25분</t>
  </si>
  <si>
    <t>당밀</t>
    <phoneticPr fontId="4" type="noConversion"/>
  </si>
  <si>
    <t>21시10분</t>
  </si>
  <si>
    <t>22시10분</t>
  </si>
  <si>
    <t>3시45분</t>
  </si>
  <si>
    <t>8시25분</t>
  </si>
  <si>
    <t>대한통운</t>
    <phoneticPr fontId="4" type="noConversion"/>
  </si>
  <si>
    <t>당밀</t>
    <phoneticPr fontId="4" type="noConversion"/>
  </si>
  <si>
    <t>8시45분</t>
  </si>
  <si>
    <t>당밀</t>
    <phoneticPr fontId="4" type="noConversion"/>
  </si>
  <si>
    <t>9시30분</t>
  </si>
  <si>
    <t>[표4]</t>
    <phoneticPr fontId="4" type="noConversion"/>
  </si>
  <si>
    <t>단위: 만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</si>
  <si>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</t>
    </r>
    <phoneticPr fontId="4" type="noConversion"/>
  </si>
  <si>
    <t>고객사</t>
    <phoneticPr fontId="4" type="noConversion"/>
  </si>
  <si>
    <t>중량(KG)</t>
    <phoneticPr fontId="4" type="noConversion"/>
  </si>
  <si>
    <t>용적(CBM)</t>
    <phoneticPr fontId="4" type="noConversion"/>
  </si>
  <si>
    <t>운임</t>
    <phoneticPr fontId="4" type="noConversion"/>
  </si>
  <si>
    <t>성명</t>
    <phoneticPr fontId="4" type="noConversion"/>
  </si>
  <si>
    <t>면접점수</t>
    <phoneticPr fontId="4" type="noConversion"/>
  </si>
  <si>
    <t>필기점수</t>
    <phoneticPr fontId="4" type="noConversion"/>
  </si>
  <si>
    <t>총점수</t>
    <phoneticPr fontId="4" type="noConversion"/>
  </si>
  <si>
    <t>건우교역</t>
    <phoneticPr fontId="4" type="noConversion"/>
  </si>
  <si>
    <t>김한국</t>
    <phoneticPr fontId="4" type="noConversion"/>
  </si>
  <si>
    <t>경원실업</t>
  </si>
  <si>
    <t>정미애</t>
    <phoneticPr fontId="4" type="noConversion"/>
  </si>
  <si>
    <t>경인에폭시</t>
  </si>
  <si>
    <t>박진만</t>
    <phoneticPr fontId="4" type="noConversion"/>
  </si>
  <si>
    <t>고려상사</t>
  </si>
  <si>
    <t>강현태</t>
    <phoneticPr fontId="4" type="noConversion"/>
  </si>
  <si>
    <t>고려종합</t>
    <phoneticPr fontId="4" type="noConversion"/>
  </si>
  <si>
    <t>강수정</t>
    <phoneticPr fontId="4" type="noConversion"/>
  </si>
  <si>
    <t>SDC</t>
    <phoneticPr fontId="4" type="noConversion"/>
  </si>
  <si>
    <t>최현우</t>
    <phoneticPr fontId="4" type="noConversion"/>
  </si>
  <si>
    <t>영원종합</t>
    <phoneticPr fontId="4" type="noConversion"/>
  </si>
  <si>
    <t>박미정</t>
    <phoneticPr fontId="4" type="noConversion"/>
  </si>
  <si>
    <t>안혁진</t>
    <phoneticPr fontId="4" type="noConversion"/>
  </si>
  <si>
    <t>&lt;조견표1&gt;</t>
    <phoneticPr fontId="4" type="noConversion"/>
  </si>
  <si>
    <t>&lt;조견표2&gt;</t>
    <phoneticPr fontId="4" type="noConversion"/>
  </si>
  <si>
    <t>중량</t>
    <phoneticPr fontId="4" type="noConversion"/>
  </si>
  <si>
    <t>단위요금</t>
    <phoneticPr fontId="4" type="noConversion"/>
  </si>
  <si>
    <t>용적</t>
    <phoneticPr fontId="4" type="noConversion"/>
  </si>
  <si>
    <t>면접접수</t>
    <phoneticPr fontId="4" type="noConversion"/>
  </si>
  <si>
    <t>특별점수</t>
    <phoneticPr fontId="4" type="noConversion"/>
  </si>
  <si>
    <r>
      <t xml:space="preserve">중량 </t>
    </r>
    <r>
      <rPr>
        <sz val="11"/>
        <color theme="1"/>
        <rFont val="맑은 고딕"/>
        <family val="3"/>
        <charset val="129"/>
        <scheme val="minor"/>
      </rPr>
      <t>30 이상, 용적 80 이상인 운임합계</t>
    </r>
    <phoneticPr fontId="4" type="noConversion"/>
  </si>
  <si>
    <t>제품현황</t>
    <phoneticPr fontId="4" type="noConversion"/>
  </si>
  <si>
    <t>제품명</t>
  </si>
  <si>
    <t>벨크로</t>
  </si>
  <si>
    <t>날짜</t>
  </si>
  <si>
    <t>수량</t>
  </si>
  <si>
    <t>공급가액</t>
  </si>
  <si>
    <t>리듬</t>
  </si>
  <si>
    <t>값</t>
  </si>
  <si>
    <t>2014년</t>
  </si>
  <si>
    <t>평균 : 수량</t>
  </si>
  <si>
    <t>평균 : 공급가액</t>
  </si>
  <si>
    <t>2015년</t>
  </si>
  <si>
    <t>메사</t>
  </si>
  <si>
    <t>2016년</t>
  </si>
  <si>
    <t>전체 평균 : 수량</t>
  </si>
  <si>
    <t>전체 평균 : 공급가액</t>
  </si>
  <si>
    <t>썸머</t>
  </si>
  <si>
    <t>아쿠아</t>
  </si>
  <si>
    <t>에어프랜드</t>
  </si>
  <si>
    <t>[표1]</t>
    <phoneticPr fontId="4" type="noConversion"/>
  </si>
  <si>
    <t>[표2]</t>
    <phoneticPr fontId="4" type="noConversion"/>
  </si>
  <si>
    <t>판매실적</t>
    <phoneticPr fontId="4" type="noConversion"/>
  </si>
  <si>
    <t>6월</t>
    <phoneticPr fontId="4" type="noConversion"/>
  </si>
  <si>
    <t>평균</t>
    <phoneticPr fontId="4" type="noConversion"/>
  </si>
  <si>
    <t>1월</t>
    <phoneticPr fontId="4" type="noConversion"/>
  </si>
  <si>
    <t>2월</t>
  </si>
  <si>
    <t>3월</t>
  </si>
  <si>
    <t>4월</t>
  </si>
  <si>
    <t>5월</t>
  </si>
  <si>
    <t>6월</t>
  </si>
  <si>
    <t>영업 현황</t>
    <phoneticPr fontId="4" type="noConversion"/>
  </si>
  <si>
    <t>이름</t>
    <phoneticPr fontId="4" type="noConversion"/>
  </si>
  <si>
    <t>직책</t>
    <phoneticPr fontId="4" type="noConversion"/>
  </si>
  <si>
    <t>부서</t>
    <phoneticPr fontId="4" type="noConversion"/>
  </si>
  <si>
    <t>목표액</t>
    <phoneticPr fontId="4" type="noConversion"/>
  </si>
  <si>
    <t>달성액</t>
    <phoneticPr fontId="15" type="noConversion"/>
  </si>
  <si>
    <t>김사원</t>
    <phoneticPr fontId="15" type="noConversion"/>
  </si>
  <si>
    <t>사원</t>
  </si>
  <si>
    <t>영업2부</t>
  </si>
  <si>
    <t>김흥부</t>
    <phoneticPr fontId="15" type="noConversion"/>
  </si>
  <si>
    <t>노지심</t>
  </si>
  <si>
    <t>부장</t>
    <phoneticPr fontId="4" type="noConversion"/>
  </si>
  <si>
    <t>영업1부</t>
  </si>
  <si>
    <t>송치윤</t>
  </si>
  <si>
    <t>영업4부</t>
  </si>
  <si>
    <t>이관우</t>
    <phoneticPr fontId="15" type="noConversion"/>
  </si>
  <si>
    <t>영업3부</t>
  </si>
  <si>
    <t>이봉주</t>
    <phoneticPr fontId="15" type="noConversion"/>
  </si>
  <si>
    <t>이수진</t>
  </si>
  <si>
    <t>이양양</t>
    <phoneticPr fontId="15" type="noConversion"/>
  </si>
  <si>
    <t>이인상</t>
  </si>
  <si>
    <t>영업부</t>
  </si>
  <si>
    <t>이충렬</t>
  </si>
  <si>
    <t>대리</t>
  </si>
  <si>
    <t>장유비</t>
    <phoneticPr fontId="15" type="noConversion"/>
  </si>
  <si>
    <t>제갈량</t>
  </si>
  <si>
    <t>조자룡</t>
  </si>
  <si>
    <t>가스 사용량</t>
    <phoneticPr fontId="4" type="noConversion"/>
  </si>
  <si>
    <t>고객번호</t>
    <phoneticPr fontId="4" type="noConversion"/>
  </si>
  <si>
    <t>가스사용량</t>
    <phoneticPr fontId="4" type="noConversion"/>
  </si>
  <si>
    <t>용도명</t>
    <phoneticPr fontId="4" type="noConversion"/>
  </si>
  <si>
    <t>비고</t>
    <phoneticPr fontId="4" type="noConversion"/>
  </si>
  <si>
    <t>1</t>
  </si>
  <si>
    <t>123</t>
  </si>
  <si>
    <t>공업용</t>
  </si>
  <si>
    <t>보통</t>
  </si>
  <si>
    <t>2</t>
  </si>
  <si>
    <t>507</t>
  </si>
  <si>
    <t>업소용</t>
  </si>
  <si>
    <t>우량고객</t>
  </si>
  <si>
    <t>3</t>
  </si>
  <si>
    <t>153</t>
  </si>
  <si>
    <t>가정용</t>
  </si>
  <si>
    <t>순번</t>
  </si>
  <si>
    <t>회원번호</t>
  </si>
  <si>
    <t>종목명</t>
  </si>
  <si>
    <t>급수</t>
  </si>
  <si>
    <t>기간</t>
  </si>
  <si>
    <t>결재금액</t>
  </si>
  <si>
    <t>01-0063</t>
  </si>
  <si>
    <t>에어로빅</t>
  </si>
  <si>
    <t>초급</t>
  </si>
  <si>
    <t>12개월</t>
  </si>
  <si>
    <t>01-0030</t>
  </si>
  <si>
    <t>중급</t>
  </si>
  <si>
    <t>1개월</t>
  </si>
  <si>
    <t>01-0012</t>
  </si>
  <si>
    <t>01-0029</t>
  </si>
  <si>
    <t>3개월</t>
  </si>
  <si>
    <t>01-0038</t>
  </si>
  <si>
    <t>01-0061</t>
  </si>
  <si>
    <t>6개월</t>
  </si>
  <si>
    <t>01-0027</t>
  </si>
  <si>
    <t>화요일</t>
    <phoneticPr fontId="4" type="noConversion"/>
  </si>
  <si>
    <t>총매출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</si>
</sst>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_);[Red]\(&quot;₩&quot;#,##0\)"/>
    <numFmt numFmtId="177" formatCode="&quot;₩&quot;#,##0"/>
    <numFmt numFmtId="178" formatCode="yyyy&quot;-&quot;mm&quot;-&quot;dd"/>
    <numFmt numFmtId="179" formatCode="dd\-mmm\-yy"/>
    <numFmt numFmtId="180" formatCode="0.0_ "/>
  </numFmts>
  <fonts count="1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name val="Arial"/>
      <family val="2"/>
    </font>
    <font>
      <b/>
      <sz val="15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i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1" fillId="0" borderId="0"/>
    <xf numFmtId="41" fontId="1" fillId="0" borderId="0" applyFont="0" applyFill="0" applyBorder="0" applyAlignment="0" applyProtection="0"/>
    <xf numFmtId="0" fontId="12" fillId="0" borderId="0"/>
    <xf numFmtId="42" fontId="1" fillId="0" borderId="0" applyFont="0" applyFill="0" applyBorder="0" applyAlignment="0" applyProtection="0"/>
  </cellStyleXfs>
  <cellXfs count="68">
    <xf numFmtId="0" fontId="0" fillId="0" borderId="0" xfId="0">
      <alignment vertical="center"/>
    </xf>
    <xf numFmtId="0" fontId="2" fillId="0" borderId="0" xfId="1" applyFont="1"/>
    <xf numFmtId="0" fontId="2" fillId="0" borderId="0" xfId="1" applyFont="1" applyBorder="1"/>
    <xf numFmtId="0" fontId="2" fillId="0" borderId="1" xfId="1" applyFont="1" applyBorder="1" applyAlignment="1">
      <alignment horizontal="center"/>
    </xf>
    <xf numFmtId="0" fontId="2" fillId="0" borderId="1" xfId="1" applyFont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14" fontId="2" fillId="0" borderId="1" xfId="1" applyNumberFormat="1" applyFont="1" applyBorder="1" applyAlignment="1">
      <alignment horizontal="center"/>
    </xf>
    <xf numFmtId="41" fontId="11" fillId="0" borderId="1" xfId="3" applyFont="1" applyBorder="1" applyAlignment="1">
      <alignment horizontal="center"/>
    </xf>
    <xf numFmtId="0" fontId="2" fillId="0" borderId="1" xfId="1" applyFont="1" applyBorder="1"/>
    <xf numFmtId="41" fontId="11" fillId="0" borderId="1" xfId="3" applyFont="1" applyBorder="1"/>
    <xf numFmtId="41" fontId="2" fillId="0" borderId="0" xfId="1" applyNumberFormat="1" applyFont="1"/>
    <xf numFmtId="0" fontId="2" fillId="0" borderId="0" xfId="1" applyFont="1" applyFill="1"/>
    <xf numFmtId="0" fontId="2" fillId="0" borderId="0" xfId="1" applyFont="1" applyFill="1" applyAlignment="1">
      <alignment horizontal="right" vertical="center"/>
    </xf>
    <xf numFmtId="0" fontId="2" fillId="0" borderId="0" xfId="1" applyFont="1" applyFill="1" applyBorder="1"/>
    <xf numFmtId="0" fontId="2" fillId="0" borderId="0" xfId="1" applyFont="1" applyAlignment="1">
      <alignment horizontal="left"/>
    </xf>
    <xf numFmtId="0" fontId="2" fillId="0" borderId="0" xfId="1" applyFont="1" applyFill="1" applyBorder="1" applyAlignment="1"/>
    <xf numFmtId="0" fontId="2" fillId="0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41" fontId="2" fillId="0" borderId="1" xfId="3" applyFont="1" applyFill="1" applyBorder="1" applyAlignment="1">
      <alignment horizontal="center" vertical="center"/>
    </xf>
    <xf numFmtId="178" fontId="2" fillId="0" borderId="0" xfId="1" applyNumberFormat="1" applyFont="1" applyFill="1" applyBorder="1" applyAlignment="1">
      <alignment horizontal="center"/>
    </xf>
    <xf numFmtId="0" fontId="2" fillId="0" borderId="0" xfId="1" applyNumberFormat="1" applyFont="1" applyFill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0" fontId="2" fillId="0" borderId="2" xfId="1" applyFont="1" applyBorder="1" applyAlignment="1">
      <alignment horizontal="right"/>
    </xf>
    <xf numFmtId="0" fontId="2" fillId="0" borderId="3" xfId="1" applyFont="1" applyBorder="1" applyAlignment="1">
      <alignment horizontal="center"/>
    </xf>
    <xf numFmtId="0" fontId="6" fillId="0" borderId="0" xfId="1" applyFont="1" applyFill="1"/>
    <xf numFmtId="0" fontId="13" fillId="4" borderId="1" xfId="4" applyFont="1" applyFill="1" applyBorder="1" applyAlignment="1">
      <alignment horizontal="center"/>
    </xf>
    <xf numFmtId="0" fontId="13" fillId="0" borderId="1" xfId="4" applyFont="1" applyFill="1" applyBorder="1" applyAlignment="1">
      <alignment wrapText="1"/>
    </xf>
    <xf numFmtId="179" fontId="13" fillId="0" borderId="1" xfId="4" applyNumberFormat="1" applyFont="1" applyFill="1" applyBorder="1" applyAlignment="1">
      <alignment horizontal="right" wrapText="1"/>
    </xf>
    <xf numFmtId="0" fontId="13" fillId="0" borderId="1" xfId="4" applyFont="1" applyFill="1" applyBorder="1" applyAlignment="1">
      <alignment horizontal="right" wrapTex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1" fontId="2" fillId="0" borderId="1" xfId="1" applyNumberFormat="1" applyFont="1" applyBorder="1"/>
    <xf numFmtId="0" fontId="2" fillId="0" borderId="1" xfId="1" applyNumberFormat="1" applyFont="1" applyBorder="1"/>
    <xf numFmtId="49" fontId="14" fillId="0" borderId="0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5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/>
    </xf>
    <xf numFmtId="0" fontId="2" fillId="0" borderId="0" xfId="5" applyNumberFormat="1" applyFont="1" applyFill="1" applyBorder="1" applyAlignment="1">
      <alignment vertical="center"/>
    </xf>
    <xf numFmtId="0" fontId="16" fillId="0" borderId="0" xfId="1" applyFont="1" applyAlignment="1">
      <alignment horizontal="center"/>
    </xf>
    <xf numFmtId="0" fontId="16" fillId="0" borderId="0" xfId="1" applyFont="1" applyBorder="1" applyAlignment="1">
      <alignment horizontal="center"/>
    </xf>
    <xf numFmtId="0" fontId="14" fillId="0" borderId="1" xfId="1" applyFont="1" applyBorder="1" applyAlignment="1">
      <alignment horizontal="center"/>
    </xf>
    <xf numFmtId="0" fontId="14" fillId="0" borderId="0" xfId="1" applyFont="1" applyFill="1" applyBorder="1" applyAlignment="1">
      <alignment horizontal="center"/>
    </xf>
    <xf numFmtId="0" fontId="2" fillId="0" borderId="1" xfId="1" applyFont="1" applyBorder="1" applyAlignment="1" applyProtection="1">
      <alignment horizontal="center"/>
      <protection hidden="1"/>
    </xf>
    <xf numFmtId="0" fontId="18" fillId="0" borderId="1" xfId="1" applyFont="1" applyBorder="1"/>
    <xf numFmtId="0" fontId="18" fillId="0" borderId="0" xfId="1" applyFont="1"/>
    <xf numFmtId="0" fontId="2" fillId="0" borderId="0" xfId="1" applyFont="1" applyProtection="1">
      <protection locked="0"/>
    </xf>
    <xf numFmtId="0" fontId="0" fillId="0" borderId="0" xfId="0" applyProtection="1">
      <alignment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7" fillId="0" borderId="1" xfId="2" applyFont="1" applyFill="1" applyBorder="1" applyAlignment="1" applyProtection="1">
      <alignment horizontal="center" vertical="center"/>
      <protection locked="0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0" fontId="6" fillId="0" borderId="1" xfId="2" applyFont="1" applyBorder="1" applyAlignment="1" applyProtection="1">
      <alignment horizontal="center" vertical="center"/>
      <protection locked="0"/>
    </xf>
    <xf numFmtId="0" fontId="6" fillId="0" borderId="1" xfId="2" applyFont="1" applyBorder="1" applyAlignment="1" applyProtection="1">
      <alignment vertical="center"/>
      <protection locked="0"/>
    </xf>
    <xf numFmtId="176" fontId="8" fillId="0" borderId="1" xfId="2" applyNumberFormat="1" applyFont="1" applyFill="1" applyBorder="1" applyAlignment="1" applyProtection="1">
      <alignment horizontal="right" vertical="center" wrapText="1"/>
      <protection locked="0"/>
    </xf>
    <xf numFmtId="177" fontId="6" fillId="0" borderId="1" xfId="2" applyNumberFormat="1" applyFont="1" applyBorder="1" applyAlignment="1" applyProtection="1">
      <alignment vertical="center"/>
      <protection locked="0"/>
    </xf>
    <xf numFmtId="0" fontId="2" fillId="0" borderId="2" xfId="1" applyFont="1" applyBorder="1" applyProtection="1">
      <protection locked="0"/>
    </xf>
    <xf numFmtId="0" fontId="2" fillId="0" borderId="3" xfId="1" applyFont="1" applyBorder="1" applyProtection="1">
      <protection locked="0"/>
    </xf>
    <xf numFmtId="0" fontId="2" fillId="0" borderId="0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Border="1" applyAlignment="1" applyProtection="1">
      <alignment horizontal="center"/>
      <protection locked="0"/>
    </xf>
    <xf numFmtId="9" fontId="2" fillId="0" borderId="1" xfId="1" applyNumberFormat="1" applyFont="1" applyBorder="1" applyAlignment="1" applyProtection="1">
      <alignment horizontal="center"/>
      <protection locked="0"/>
    </xf>
    <xf numFmtId="0" fontId="5" fillId="0" borderId="0" xfId="2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/>
      <protection locked="0"/>
    </xf>
    <xf numFmtId="0" fontId="2" fillId="3" borderId="2" xfId="1" applyFont="1" applyFill="1" applyBorder="1" applyAlignment="1">
      <alignment horizontal="center"/>
    </xf>
    <xf numFmtId="0" fontId="2" fillId="3" borderId="3" xfId="1" applyFont="1" applyFill="1" applyBorder="1" applyAlignment="1">
      <alignment horizontal="center"/>
    </xf>
    <xf numFmtId="0" fontId="16" fillId="0" borderId="0" xfId="1" applyFont="1" applyBorder="1" applyAlignment="1">
      <alignment horizontal="center"/>
    </xf>
  </cellXfs>
  <cellStyles count="6">
    <cellStyle name="쉼표 [0] 2" xfId="3"/>
    <cellStyle name="통화 [0] 2" xfId="5"/>
    <cellStyle name="표준" xfId="0" builtinId="0"/>
    <cellStyle name="표준 2" xfId="1"/>
    <cellStyle name="표준_C01-2" xfId="2"/>
    <cellStyle name="표준_상품관리" xfId="4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부장급 영업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목표액</c:v>
                </c:pt>
              </c:strCache>
            </c:strRef>
          </c:tx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('기타작업-1'!$E$5:$E$6,'기타작업-1'!$E$8,'기타작업-1'!$E$11,'기타작업-1'!$E$13)</c:f>
              <c:numCache>
                <c:formatCode>General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달성액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('기타작업-1'!$F$5:$F$6,'기타작업-1'!$F$8,'기타작업-1'!$F$11,'기타작업-1'!$F$13)</c:f>
              <c:numCache>
                <c:formatCode>General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82690304"/>
        <c:axId val="171683776"/>
      </c:barChart>
      <c:catAx>
        <c:axId val="1826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1683776"/>
        <c:crosses val="autoZero"/>
        <c:auto val="1"/>
        <c:lblAlgn val="ctr"/>
        <c:lblOffset val="100"/>
        <c:noMultiLvlLbl val="0"/>
      </c:catAx>
      <c:valAx>
        <c:axId val="17168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82690304"/>
        <c:crosses val="autoZero"/>
        <c:crossBetween val="between"/>
        <c:dispUnits>
          <c:builtInUnit val="thousands"/>
          <c:dispUnitsLbl/>
        </c:dispUnits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최대값</a:t>
          </a:r>
        </a:p>
      </xdr:txBody>
    </xdr:sp>
    <xdr:clientData/>
  </xdr:twoCellAnchor>
  <xdr:twoCellAnchor>
    <xdr:from>
      <xdr:col>3</xdr:col>
      <xdr:colOff>752475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최소값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최대값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최소값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최대값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7" name="Rectangle 6"/>
        <xdr:cNvSpPr>
          <a:spLocks noChangeArrowheads="1"/>
        </xdr:cNvSpPr>
      </xdr:nvSpPr>
      <xdr:spPr bwMode="auto">
        <a:xfrm>
          <a:off x="2400300" y="0"/>
          <a:ext cx="6858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최소값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실적평균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8</xdr:col>
      <xdr:colOff>0</xdr:colOff>
      <xdr:row>32</xdr:row>
      <xdr:rowOff>1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85725</xdr:colOff>
      <xdr:row>7</xdr:row>
      <xdr:rowOff>171450</xdr:rowOff>
    </xdr:to>
    <xdr:pic>
      <xdr:nvPicPr>
        <xdr:cNvPr id="4" name="그림 3" descr="C:\Program Files\Microsoft Office\MEDIA\CAGCAT10\j0222015.wm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209550"/>
          <a:ext cx="145732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</xdr:row>
          <xdr:rowOff>0</xdr:rowOff>
        </xdr:from>
        <xdr:to>
          <xdr:col>6</xdr:col>
          <xdr:colOff>571500</xdr:colOff>
          <xdr:row>3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invalid="1" refreshedBy="김우경" refreshedDate="42738.806290509259" createdVersion="4" refreshedVersion="4" minRefreshableVersion="3" recordCount="21">
  <cacheSource type="worksheet">
    <worksheetSource ref="A3:D24" sheet="분석작업-1"/>
  </cacheSource>
  <cacheFields count="4">
    <cacheField name="제품명" numFmtId="0">
      <sharedItems count="6">
        <s v="리듬"/>
        <s v="메사"/>
        <s v="벨크로"/>
        <s v="썸머"/>
        <s v="아쿠아"/>
        <s v="에어프랜드"/>
      </sharedItems>
    </cacheField>
    <cacheField name="날짜" numFmtId="179">
      <sharedItems containsSemiMixedTypes="0" containsNonDate="0" containsDate="1" containsString="0" minDate="2014-01-26T00:00:00" maxDate="2016-12-07T00:00:00" count="21">
        <d v="2015-09-20T00:00:00"/>
        <d v="2015-03-19T00:00:00"/>
        <d v="2015-09-06T00:00:00"/>
        <d v="2016-11-27T00:00:00"/>
        <d v="2016-06-29T00:00:00"/>
        <d v="2014-01-26T00:00:00"/>
        <d v="2016-03-20T00:00:00"/>
        <d v="2015-03-28T00:00:00"/>
        <d v="2016-10-25T00:00:00"/>
        <d v="2016-07-18T00:00:00"/>
        <d v="2014-12-29T00:00:00"/>
        <d v="2014-03-28T00:00:00"/>
        <d v="2016-06-10T00:00:00"/>
        <d v="2015-12-20T00:00:00"/>
        <d v="2015-02-14T00:00:00"/>
        <d v="2015-07-02T00:00:00"/>
        <d v="2015-08-26T00:00:00"/>
        <d v="2015-01-25T00:00:00"/>
        <d v="2015-09-02T00:00:00"/>
        <d v="2016-12-06T00:00:00"/>
        <d v="2015-06-01T00:00:00"/>
      </sharedItems>
      <fieldGroup base="1">
        <rangePr groupBy="years" startDate="2014-01-26T00:00:00" endDate="2016-12-07T00:00:00"/>
        <groupItems count="5">
          <s v="&lt;2014-01-26"/>
          <s v="2014년"/>
          <s v="2015년"/>
          <s v="2016년"/>
          <s v="&gt;2016-12-07"/>
        </groupItems>
      </fieldGroup>
    </cacheField>
    <cacheField name="수량" numFmtId="0">
      <sharedItems containsSemiMixedTypes="0" containsString="0" containsNumber="1" containsInteger="1" minValue="19" maxValue="97"/>
    </cacheField>
    <cacheField name="공급가액" numFmtId="0">
      <sharedItems containsSemiMixedTypes="0" containsString="0" containsNumber="1" containsInteger="1" minValue="2223" maxValue="61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5" cacheId="5" dataOnRows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F4:H12" firstHeaderRow="1" firstDataRow="1" firstDataCol="2" rowPageCount="1" colPageCount="1"/>
  <pivotFields count="4">
    <pivotField axis="axisPage" compact="0" outline="0" showAll="0">
      <items count="7">
        <item x="0"/>
        <item x="1"/>
        <item x="2"/>
        <item x="3"/>
        <item x="4"/>
        <item x="5"/>
        <item t="default"/>
      </items>
    </pivotField>
    <pivotField axis="axisRow" compact="0" numFmtId="179" outline="0" showAll="0">
      <items count="6">
        <item x="0"/>
        <item x="1"/>
        <item x="2"/>
        <item x="3"/>
        <item x="4"/>
        <item t="default"/>
      </items>
    </pivotField>
    <pivotField dataField="1" compact="0" outline="0" showAll="0"/>
    <pivotField dataField="1" compact="0" outline="0" showAll="0"/>
  </pivotFields>
  <rowFields count="2">
    <field x="1"/>
    <field x="-2"/>
  </rowFields>
  <rowItems count="8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Items count="1">
    <i/>
  </colItems>
  <pageFields count="1">
    <pageField fld="0" item="2" hier="-1"/>
  </pageFields>
  <dataFields count="2">
    <dataField name="평균 : 수량" fld="2" subtotal="average" baseField="1" baseItem="2" numFmtId="180"/>
    <dataField name="평균 : 공급가액" fld="3" subtotal="average" baseField="1" baseItem="2" numFmtId="180"/>
  </dataField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순번" tableColumnId="1"/>
      <queryTableField id="2" name="회원번호" tableColumnId="2"/>
      <queryTableField id="3" name="종목명" tableColumnId="3"/>
      <queryTableField id="4" name="급수" tableColumnId="4"/>
      <queryTableField id="5" name="기간" tableColumnId="5"/>
      <queryTableField id="6" name="결재금액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표_MS_Access_Database_Query" displayName="표_MS_Access_Database_Query" ref="A3:F10" tableType="queryTable" totalsRowShown="0">
  <autoFilter ref="A3:F10"/>
  <tableColumns count="6">
    <tableColumn id="1" uniqueName="1" name="순번" queryTableFieldId="1"/>
    <tableColumn id="2" uniqueName="2" name="회원번호" queryTableFieldId="2"/>
    <tableColumn id="3" uniqueName="3" name="종목명" queryTableFieldId="3"/>
    <tableColumn id="4" uniqueName="4" name="급수" queryTableFieldId="4"/>
    <tableColumn id="5" uniqueName="5" name="기간" queryTableFieldId="5"/>
    <tableColumn id="6" uniqueName="6" name="결재금액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/>
  </sheetViews>
  <sheetFormatPr defaultRowHeight="16.5"/>
  <cols>
    <col min="1" max="1" width="7.5" customWidth="1"/>
    <col min="2" max="2" width="11.25" customWidth="1"/>
    <col min="3" max="3" width="9.375" customWidth="1"/>
    <col min="4" max="5" width="7.5" customWidth="1"/>
    <col min="6" max="6" width="11.25" customWidth="1"/>
    <col min="7" max="7" width="12.125" customWidth="1"/>
    <col min="8" max="8" width="11" customWidth="1"/>
    <col min="9" max="9" width="13.125" bestFit="1" customWidth="1"/>
  </cols>
  <sheetData>
    <row r="1" spans="1:6">
      <c r="A1" s="1" t="s">
        <v>0</v>
      </c>
    </row>
    <row r="3" spans="1:6">
      <c r="A3" t="s">
        <v>235</v>
      </c>
      <c r="B3" t="s">
        <v>236</v>
      </c>
      <c r="C3" t="s">
        <v>237</v>
      </c>
      <c r="D3" t="s">
        <v>238</v>
      </c>
      <c r="E3" t="s">
        <v>239</v>
      </c>
      <c r="F3" t="s">
        <v>240</v>
      </c>
    </row>
    <row r="4" spans="1:6">
      <c r="A4">
        <v>5</v>
      </c>
      <c r="B4" t="s">
        <v>241</v>
      </c>
      <c r="C4" t="s">
        <v>242</v>
      </c>
      <c r="D4" t="s">
        <v>243</v>
      </c>
      <c r="E4" t="s">
        <v>244</v>
      </c>
      <c r="F4">
        <v>720000</v>
      </c>
    </row>
    <row r="5" spans="1:6">
      <c r="A5">
        <v>33</v>
      </c>
      <c r="B5" t="s">
        <v>245</v>
      </c>
      <c r="C5" t="s">
        <v>242</v>
      </c>
      <c r="D5" t="s">
        <v>246</v>
      </c>
      <c r="E5" t="s">
        <v>247</v>
      </c>
      <c r="F5">
        <v>60000</v>
      </c>
    </row>
    <row r="6" spans="1:6">
      <c r="A6">
        <v>42</v>
      </c>
      <c r="B6" t="s">
        <v>248</v>
      </c>
      <c r="C6" t="s">
        <v>242</v>
      </c>
      <c r="D6" t="s">
        <v>243</v>
      </c>
      <c r="E6" t="s">
        <v>247</v>
      </c>
      <c r="F6">
        <v>60000</v>
      </c>
    </row>
    <row r="7" spans="1:6">
      <c r="A7">
        <v>52</v>
      </c>
      <c r="B7" t="s">
        <v>249</v>
      </c>
      <c r="C7" t="s">
        <v>242</v>
      </c>
      <c r="D7" t="s">
        <v>246</v>
      </c>
      <c r="E7" t="s">
        <v>250</v>
      </c>
      <c r="F7">
        <v>180000</v>
      </c>
    </row>
    <row r="8" spans="1:6">
      <c r="A8">
        <v>72</v>
      </c>
      <c r="B8" t="s">
        <v>251</v>
      </c>
      <c r="C8" t="s">
        <v>242</v>
      </c>
      <c r="D8" t="s">
        <v>243</v>
      </c>
      <c r="E8" t="s">
        <v>250</v>
      </c>
      <c r="F8">
        <v>180000</v>
      </c>
    </row>
    <row r="9" spans="1:6">
      <c r="A9">
        <v>94</v>
      </c>
      <c r="B9" t="s">
        <v>252</v>
      </c>
      <c r="C9" t="s">
        <v>242</v>
      </c>
      <c r="D9" t="s">
        <v>246</v>
      </c>
      <c r="E9" t="s">
        <v>253</v>
      </c>
      <c r="F9">
        <v>360000</v>
      </c>
    </row>
    <row r="10" spans="1:6">
      <c r="A10">
        <v>98</v>
      </c>
      <c r="B10" t="s">
        <v>254</v>
      </c>
      <c r="C10" t="s">
        <v>242</v>
      </c>
      <c r="D10" t="s">
        <v>243</v>
      </c>
      <c r="E10" t="s">
        <v>244</v>
      </c>
      <c r="F10">
        <v>720000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8"/>
  <sheetViews>
    <sheetView workbookViewId="0"/>
  </sheetViews>
  <sheetFormatPr defaultRowHeight="16.5"/>
  <cols>
    <col min="1" max="1" width="9" style="49" customWidth="1"/>
    <col min="2" max="2" width="10.375" style="49" customWidth="1"/>
    <col min="3" max="3" width="9.375" style="49" customWidth="1"/>
    <col min="4" max="5" width="7.5" style="49" customWidth="1"/>
    <col min="6" max="6" width="12.125" style="49" bestFit="1" customWidth="1"/>
    <col min="7" max="7" width="12.125" style="49" customWidth="1"/>
    <col min="8" max="8" width="11" style="49" customWidth="1"/>
    <col min="9" max="9" width="9.625" style="49" bestFit="1" customWidth="1"/>
    <col min="10" max="16384" width="9" style="49"/>
  </cols>
  <sheetData>
    <row r="1" spans="1:9">
      <c r="A1" s="48" t="s">
        <v>1</v>
      </c>
      <c r="B1" s="48"/>
      <c r="C1" s="48"/>
      <c r="D1" s="48"/>
      <c r="E1" s="48"/>
      <c r="F1" s="48"/>
      <c r="G1" s="48"/>
      <c r="H1" s="48"/>
      <c r="I1" s="48"/>
    </row>
    <row r="2" spans="1:9" ht="20.25">
      <c r="A2" s="63" t="s">
        <v>2</v>
      </c>
      <c r="B2" s="63"/>
      <c r="C2" s="63"/>
      <c r="D2" s="63"/>
      <c r="E2" s="63"/>
      <c r="F2" s="63"/>
      <c r="G2" s="63"/>
      <c r="H2" s="63"/>
      <c r="I2" s="63"/>
    </row>
    <row r="3" spans="1:9">
      <c r="A3" s="50"/>
      <c r="B3" s="50"/>
      <c r="C3" s="50"/>
      <c r="D3" s="50"/>
      <c r="E3" s="50"/>
      <c r="F3" s="50"/>
      <c r="G3" s="50"/>
      <c r="H3" s="50"/>
      <c r="I3" s="50"/>
    </row>
    <row r="4" spans="1:9">
      <c r="A4" s="51" t="s">
        <v>3</v>
      </c>
      <c r="B4" s="51" t="s">
        <v>4</v>
      </c>
      <c r="C4" s="51" t="s">
        <v>5</v>
      </c>
      <c r="D4" s="51" t="s">
        <v>6</v>
      </c>
      <c r="E4" s="51" t="s">
        <v>7</v>
      </c>
      <c r="F4" s="51" t="s">
        <v>8</v>
      </c>
      <c r="G4" s="51" t="s">
        <v>9</v>
      </c>
      <c r="H4" s="51" t="s">
        <v>10</v>
      </c>
      <c r="I4" s="51" t="s">
        <v>11</v>
      </c>
    </row>
    <row r="5" spans="1:9">
      <c r="A5" s="52" t="s">
        <v>12</v>
      </c>
      <c r="B5" s="53" t="s">
        <v>13</v>
      </c>
      <c r="C5" s="53" t="s">
        <v>14</v>
      </c>
      <c r="D5" s="53" t="s">
        <v>15</v>
      </c>
      <c r="E5" s="53">
        <v>19</v>
      </c>
      <c r="F5" s="54" t="s">
        <v>16</v>
      </c>
      <c r="G5" s="55">
        <v>1830000</v>
      </c>
      <c r="H5" s="53">
        <v>11</v>
      </c>
      <c r="I5" s="56">
        <v>356000</v>
      </c>
    </row>
    <row r="6" spans="1:9">
      <c r="A6" s="52" t="s">
        <v>17</v>
      </c>
      <c r="B6" s="53" t="s">
        <v>18</v>
      </c>
      <c r="C6" s="53" t="s">
        <v>14</v>
      </c>
      <c r="D6" s="53" t="s">
        <v>19</v>
      </c>
      <c r="E6" s="53">
        <v>32</v>
      </c>
      <c r="F6" s="54" t="s">
        <v>20</v>
      </c>
      <c r="G6" s="55">
        <v>1800000</v>
      </c>
      <c r="H6" s="53">
        <v>23</v>
      </c>
      <c r="I6" s="56">
        <v>982000</v>
      </c>
    </row>
    <row r="7" spans="1:9">
      <c r="A7" s="52" t="s">
        <v>21</v>
      </c>
      <c r="B7" s="53" t="s">
        <v>22</v>
      </c>
      <c r="C7" s="53" t="s">
        <v>23</v>
      </c>
      <c r="D7" s="53" t="s">
        <v>19</v>
      </c>
      <c r="E7" s="53">
        <v>21</v>
      </c>
      <c r="F7" s="54" t="s">
        <v>16</v>
      </c>
      <c r="G7" s="55">
        <v>2700000</v>
      </c>
      <c r="H7" s="53">
        <v>12</v>
      </c>
      <c r="I7" s="56">
        <v>653000</v>
      </c>
    </row>
    <row r="8" spans="1:9">
      <c r="A8" s="52" t="s">
        <v>24</v>
      </c>
      <c r="B8" s="53" t="s">
        <v>25</v>
      </c>
      <c r="C8" s="53" t="s">
        <v>14</v>
      </c>
      <c r="D8" s="53" t="s">
        <v>15</v>
      </c>
      <c r="E8" s="53">
        <v>18</v>
      </c>
      <c r="F8" s="54" t="s">
        <v>16</v>
      </c>
      <c r="G8" s="55">
        <v>2550000</v>
      </c>
      <c r="H8" s="53">
        <v>21</v>
      </c>
      <c r="I8" s="56">
        <v>720000</v>
      </c>
    </row>
    <row r="9" spans="1:9">
      <c r="A9" s="52" t="s">
        <v>26</v>
      </c>
      <c r="B9" s="53" t="s">
        <v>27</v>
      </c>
      <c r="C9" s="53" t="s">
        <v>23</v>
      </c>
      <c r="D9" s="53" t="s">
        <v>19</v>
      </c>
      <c r="E9" s="53">
        <v>33</v>
      </c>
      <c r="F9" s="54" t="s">
        <v>20</v>
      </c>
      <c r="G9" s="55">
        <v>1400000</v>
      </c>
      <c r="H9" s="53">
        <v>18</v>
      </c>
      <c r="I9" s="56">
        <v>895000</v>
      </c>
    </row>
    <row r="10" spans="1:9">
      <c r="A10" s="52" t="s">
        <v>28</v>
      </c>
      <c r="B10" s="53" t="s">
        <v>29</v>
      </c>
      <c r="C10" s="53" t="s">
        <v>23</v>
      </c>
      <c r="D10" s="53" t="s">
        <v>19</v>
      </c>
      <c r="E10" s="53">
        <v>42</v>
      </c>
      <c r="F10" s="54" t="s">
        <v>30</v>
      </c>
      <c r="G10" s="55">
        <v>2300000</v>
      </c>
      <c r="H10" s="53">
        <v>17</v>
      </c>
      <c r="I10" s="56">
        <v>653000</v>
      </c>
    </row>
    <row r="11" spans="1:9">
      <c r="A11" s="52" t="s">
        <v>31</v>
      </c>
      <c r="B11" s="53" t="s">
        <v>32</v>
      </c>
      <c r="C11" s="53" t="s">
        <v>14</v>
      </c>
      <c r="D11" s="53" t="s">
        <v>15</v>
      </c>
      <c r="E11" s="53">
        <v>38</v>
      </c>
      <c r="F11" s="54" t="s">
        <v>33</v>
      </c>
      <c r="G11" s="55">
        <v>2100000</v>
      </c>
      <c r="H11" s="53">
        <v>13</v>
      </c>
      <c r="I11" s="56">
        <v>812000</v>
      </c>
    </row>
    <row r="12" spans="1:9">
      <c r="A12" s="52" t="s">
        <v>34</v>
      </c>
      <c r="B12" s="53" t="s">
        <v>35</v>
      </c>
      <c r="C12" s="53" t="s">
        <v>23</v>
      </c>
      <c r="D12" s="53" t="s">
        <v>19</v>
      </c>
      <c r="E12" s="53">
        <v>25</v>
      </c>
      <c r="F12" s="54" t="s">
        <v>16</v>
      </c>
      <c r="G12" s="55">
        <v>2000000</v>
      </c>
      <c r="H12" s="53">
        <v>28</v>
      </c>
      <c r="I12" s="56">
        <v>1500000</v>
      </c>
    </row>
    <row r="13" spans="1:9">
      <c r="A13" s="48"/>
      <c r="B13" s="48"/>
      <c r="C13" s="48"/>
      <c r="D13" s="48"/>
      <c r="E13" s="48"/>
      <c r="F13" s="48"/>
      <c r="G13" s="48"/>
      <c r="H13" s="48"/>
      <c r="I13" s="48"/>
    </row>
    <row r="14" spans="1:9">
      <c r="A14" s="57" t="s">
        <v>36</v>
      </c>
      <c r="B14" s="58">
        <v>1200</v>
      </c>
      <c r="C14" s="48"/>
      <c r="D14" s="48"/>
      <c r="E14" s="48"/>
      <c r="F14" s="48"/>
      <c r="G14" s="48"/>
      <c r="H14" s="48"/>
      <c r="I14" s="48"/>
    </row>
    <row r="15" spans="1:9">
      <c r="A15" s="59"/>
      <c r="B15" s="59"/>
      <c r="C15" s="48"/>
      <c r="D15" s="48"/>
      <c r="E15" s="48"/>
      <c r="F15" s="48"/>
      <c r="G15" s="48"/>
      <c r="H15" s="48"/>
      <c r="I15" s="48"/>
    </row>
    <row r="16" spans="1:9">
      <c r="A16" s="48"/>
      <c r="B16" s="48"/>
      <c r="C16" s="48"/>
      <c r="D16" s="48"/>
      <c r="E16" s="48"/>
      <c r="F16" s="48"/>
      <c r="G16" s="48"/>
      <c r="H16" s="48"/>
      <c r="I16" s="48"/>
    </row>
    <row r="17" spans="1:9" ht="24">
      <c r="A17" s="48" t="s">
        <v>37</v>
      </c>
      <c r="B17" s="64" t="s">
        <v>38</v>
      </c>
      <c r="C17" s="64"/>
      <c r="D17" s="64"/>
      <c r="E17" s="64"/>
      <c r="F17" s="64"/>
      <c r="G17" s="64"/>
      <c r="H17" s="64"/>
      <c r="I17" s="64"/>
    </row>
    <row r="18" spans="1:9">
      <c r="A18" s="48"/>
      <c r="B18" s="48"/>
      <c r="C18" s="48"/>
      <c r="D18" s="48"/>
      <c r="E18" s="48"/>
      <c r="F18" s="48"/>
      <c r="G18" s="48"/>
      <c r="H18" s="48"/>
      <c r="I18" s="48" t="s">
        <v>39</v>
      </c>
    </row>
    <row r="19" spans="1:9">
      <c r="A19" s="60" t="s">
        <v>40</v>
      </c>
      <c r="B19" s="60" t="s">
        <v>41</v>
      </c>
      <c r="C19" s="60" t="s">
        <v>42</v>
      </c>
      <c r="D19" s="60" t="s">
        <v>43</v>
      </c>
      <c r="E19" s="60" t="s">
        <v>44</v>
      </c>
      <c r="F19" s="60" t="s">
        <v>45</v>
      </c>
      <c r="G19" s="60" t="s">
        <v>46</v>
      </c>
      <c r="H19" s="60" t="s">
        <v>256</v>
      </c>
      <c r="I19" s="60" t="s">
        <v>47</v>
      </c>
    </row>
    <row r="20" spans="1:9">
      <c r="A20" s="61" t="s">
        <v>48</v>
      </c>
      <c r="B20" s="61" t="s">
        <v>49</v>
      </c>
      <c r="C20" s="61" t="s">
        <v>50</v>
      </c>
      <c r="D20" s="61">
        <v>10</v>
      </c>
      <c r="E20" s="61">
        <v>1200</v>
      </c>
      <c r="F20" s="62">
        <v>0.03</v>
      </c>
      <c r="G20" s="61" t="s">
        <v>51</v>
      </c>
      <c r="H20" s="45">
        <f>(D20*E20)-((D20*E20)*F20)</f>
        <v>11640</v>
      </c>
      <c r="I20" s="61" t="s">
        <v>52</v>
      </c>
    </row>
    <row r="21" spans="1:9">
      <c r="A21" s="61" t="s">
        <v>53</v>
      </c>
      <c r="B21" s="61" t="s">
        <v>49</v>
      </c>
      <c r="C21" s="61" t="s">
        <v>54</v>
      </c>
      <c r="D21" s="61">
        <v>20</v>
      </c>
      <c r="E21" s="61">
        <v>800</v>
      </c>
      <c r="F21" s="62">
        <v>0.05</v>
      </c>
      <c r="G21" s="61" t="s">
        <v>255</v>
      </c>
      <c r="H21" s="45">
        <f t="shared" ref="H21:H28" si="0">(D21*E21)-((D21*E21)*F21)</f>
        <v>15200</v>
      </c>
      <c r="I21" s="61" t="s">
        <v>52</v>
      </c>
    </row>
    <row r="22" spans="1:9">
      <c r="A22" s="61" t="s">
        <v>56</v>
      </c>
      <c r="B22" s="61" t="s">
        <v>49</v>
      </c>
      <c r="C22" s="61" t="s">
        <v>57</v>
      </c>
      <c r="D22" s="61">
        <v>30</v>
      </c>
      <c r="E22" s="61">
        <v>600</v>
      </c>
      <c r="F22" s="62">
        <v>0.1</v>
      </c>
      <c r="G22" s="61" t="s">
        <v>51</v>
      </c>
      <c r="H22" s="45">
        <f t="shared" si="0"/>
        <v>16200</v>
      </c>
      <c r="I22" s="61" t="s">
        <v>58</v>
      </c>
    </row>
    <row r="23" spans="1:9">
      <c r="A23" s="61" t="s">
        <v>59</v>
      </c>
      <c r="B23" s="61" t="s">
        <v>60</v>
      </c>
      <c r="C23" s="61" t="s">
        <v>50</v>
      </c>
      <c r="D23" s="61">
        <v>10</v>
      </c>
      <c r="E23" s="61">
        <v>800</v>
      </c>
      <c r="F23" s="62">
        <v>0.03</v>
      </c>
      <c r="G23" s="61" t="s">
        <v>55</v>
      </c>
      <c r="H23" s="45">
        <f t="shared" si="0"/>
        <v>7760</v>
      </c>
      <c r="I23" s="61" t="s">
        <v>58</v>
      </c>
    </row>
    <row r="24" spans="1:9">
      <c r="A24" s="61" t="s">
        <v>61</v>
      </c>
      <c r="B24" s="61" t="s">
        <v>60</v>
      </c>
      <c r="C24" s="61" t="s">
        <v>54</v>
      </c>
      <c r="D24" s="61">
        <v>20</v>
      </c>
      <c r="E24" s="61">
        <v>600</v>
      </c>
      <c r="F24" s="62">
        <v>0.05</v>
      </c>
      <c r="G24" s="61" t="s">
        <v>62</v>
      </c>
      <c r="H24" s="45">
        <f t="shared" si="0"/>
        <v>11400</v>
      </c>
      <c r="I24" s="61" t="s">
        <v>63</v>
      </c>
    </row>
    <row r="25" spans="1:9">
      <c r="A25" s="61" t="s">
        <v>64</v>
      </c>
      <c r="B25" s="61" t="s">
        <v>60</v>
      </c>
      <c r="C25" s="61" t="s">
        <v>57</v>
      </c>
      <c r="D25" s="61">
        <v>30</v>
      </c>
      <c r="E25" s="61">
        <v>500</v>
      </c>
      <c r="F25" s="62">
        <v>0.1</v>
      </c>
      <c r="G25" s="61" t="s">
        <v>65</v>
      </c>
      <c r="H25" s="45">
        <f t="shared" si="0"/>
        <v>13500</v>
      </c>
      <c r="I25" s="61" t="s">
        <v>63</v>
      </c>
    </row>
    <row r="26" spans="1:9">
      <c r="A26" s="61" t="s">
        <v>66</v>
      </c>
      <c r="B26" s="61" t="s">
        <v>67</v>
      </c>
      <c r="C26" s="61" t="s">
        <v>50</v>
      </c>
      <c r="D26" s="61">
        <v>10</v>
      </c>
      <c r="E26" s="61">
        <v>1200</v>
      </c>
      <c r="F26" s="62">
        <v>0.03</v>
      </c>
      <c r="G26" s="61" t="s">
        <v>68</v>
      </c>
      <c r="H26" s="45">
        <f t="shared" si="0"/>
        <v>11640</v>
      </c>
      <c r="I26" s="61" t="s">
        <v>69</v>
      </c>
    </row>
    <row r="27" spans="1:9">
      <c r="A27" s="61" t="s">
        <v>70</v>
      </c>
      <c r="B27" s="61" t="s">
        <v>67</v>
      </c>
      <c r="C27" s="61" t="s">
        <v>54</v>
      </c>
      <c r="D27" s="61">
        <v>20</v>
      </c>
      <c r="E27" s="61">
        <v>800</v>
      </c>
      <c r="F27" s="62">
        <v>0.05</v>
      </c>
      <c r="G27" s="61" t="s">
        <v>71</v>
      </c>
      <c r="H27" s="45">
        <f t="shared" si="0"/>
        <v>15200</v>
      </c>
      <c r="I27" s="61" t="s">
        <v>72</v>
      </c>
    </row>
    <row r="28" spans="1:9">
      <c r="A28" s="61" t="s">
        <v>73</v>
      </c>
      <c r="B28" s="61" t="s">
        <v>67</v>
      </c>
      <c r="C28" s="61" t="s">
        <v>57</v>
      </c>
      <c r="D28" s="61">
        <v>30</v>
      </c>
      <c r="E28" s="61">
        <v>500</v>
      </c>
      <c r="F28" s="62">
        <v>0.1</v>
      </c>
      <c r="G28" s="61" t="s">
        <v>74</v>
      </c>
      <c r="H28" s="45">
        <f t="shared" si="0"/>
        <v>13500</v>
      </c>
      <c r="I28" s="61" t="s">
        <v>75</v>
      </c>
    </row>
    <row r="30" spans="1:9">
      <c r="E30" s="49" t="s">
        <v>76</v>
      </c>
    </row>
    <row r="31" spans="1:9">
      <c r="E31" s="49" t="b">
        <f>OR(RIGHT(A20,1)="A",RIGHT(A20,1)="B")</f>
        <v>1</v>
      </c>
    </row>
    <row r="34" spans="1:3">
      <c r="A34" s="49" t="s">
        <v>77</v>
      </c>
      <c r="B34" s="49" t="s">
        <v>78</v>
      </c>
      <c r="C34" s="49" t="s">
        <v>79</v>
      </c>
    </row>
    <row r="35" spans="1:3">
      <c r="A35" s="61" t="s">
        <v>50</v>
      </c>
      <c r="B35" s="61">
        <v>10</v>
      </c>
      <c r="C35" s="61">
        <v>1200</v>
      </c>
    </row>
    <row r="36" spans="1:3">
      <c r="A36" s="61" t="s">
        <v>54</v>
      </c>
      <c r="B36" s="61">
        <v>20</v>
      </c>
      <c r="C36" s="61">
        <v>800</v>
      </c>
    </row>
    <row r="37" spans="1:3">
      <c r="A37" s="61" t="s">
        <v>50</v>
      </c>
      <c r="B37" s="61">
        <v>10</v>
      </c>
      <c r="C37" s="61">
        <v>800</v>
      </c>
    </row>
    <row r="38" spans="1:3">
      <c r="A38" s="61" t="s">
        <v>54</v>
      </c>
      <c r="B38" s="61">
        <v>20</v>
      </c>
      <c r="C38" s="61">
        <v>600</v>
      </c>
    </row>
  </sheetData>
  <sheetProtection sheet="1" objects="1" scenarios="1" formatCells="0"/>
  <mergeCells count="2">
    <mergeCell ref="A2:I2"/>
    <mergeCell ref="B17:I17"/>
  </mergeCells>
  <phoneticPr fontId="3" type="noConversion"/>
  <conditionalFormatting sqref="A5:I12">
    <cfRule type="expression" dxfId="0" priority="1">
      <formula>AND($D5&lt;&gt;"대졸",MOD($E5,2)=0)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56"/>
  <sheetViews>
    <sheetView workbookViewId="0"/>
  </sheetViews>
  <sheetFormatPr defaultRowHeight="16.5"/>
  <cols>
    <col min="1" max="1" width="20" style="1" customWidth="1"/>
    <col min="2" max="2" width="13.625" style="1" customWidth="1"/>
    <col min="3" max="3" width="10.625" style="1" bestFit="1" customWidth="1"/>
    <col min="4" max="4" width="11.25" style="1" bestFit="1" customWidth="1"/>
    <col min="5" max="5" width="9.25" style="1" bestFit="1" customWidth="1"/>
    <col min="6" max="6" width="9.375" style="1" customWidth="1"/>
    <col min="7" max="7" width="3.125" style="1" customWidth="1"/>
    <col min="8" max="8" width="9.25" style="1" bestFit="1" customWidth="1"/>
    <col min="9" max="9" width="17.375" style="1" customWidth="1"/>
    <col min="10" max="10" width="11.5" style="1" customWidth="1"/>
    <col min="11" max="11" width="11.25" style="1" customWidth="1"/>
    <col min="12" max="16384" width="9" style="1"/>
  </cols>
  <sheetData>
    <row r="1" spans="1:13">
      <c r="A1" s="1" t="s">
        <v>80</v>
      </c>
      <c r="H1" s="1" t="s">
        <v>37</v>
      </c>
      <c r="M1" s="2"/>
    </row>
    <row r="2" spans="1:13">
      <c r="A2" s="3" t="s">
        <v>81</v>
      </c>
      <c r="B2" s="4" t="s">
        <v>82</v>
      </c>
      <c r="C2" s="3" t="s">
        <v>83</v>
      </c>
      <c r="D2" s="3" t="s">
        <v>84</v>
      </c>
      <c r="E2" s="3" t="s">
        <v>85</v>
      </c>
      <c r="F2" s="5" t="s">
        <v>86</v>
      </c>
      <c r="H2" s="4" t="s">
        <v>83</v>
      </c>
      <c r="I2" s="5" t="s">
        <v>87</v>
      </c>
      <c r="J2" s="6"/>
      <c r="K2" s="7"/>
      <c r="L2" s="2"/>
      <c r="M2" s="7"/>
    </row>
    <row r="3" spans="1:13">
      <c r="A3" s="8">
        <v>40589</v>
      </c>
      <c r="B3" s="3" t="s">
        <v>88</v>
      </c>
      <c r="C3" s="3" t="s">
        <v>89</v>
      </c>
      <c r="D3" s="3" t="s">
        <v>90</v>
      </c>
      <c r="E3" s="9">
        <v>1500</v>
      </c>
      <c r="F3" s="9" t="str">
        <f>fn비고(A3)</f>
        <v>1사분기</v>
      </c>
      <c r="H3" s="10" t="s">
        <v>91</v>
      </c>
      <c r="I3" s="11">
        <f t="array" ref="I3">SMALL(IF(($C$3:$C$20=H3)*($E$3:$E$20&gt;=700),$E$3:$E$20),2)</f>
        <v>1000</v>
      </c>
      <c r="M3" s="2"/>
    </row>
    <row r="4" spans="1:13">
      <c r="A4" s="8">
        <v>40713</v>
      </c>
      <c r="B4" s="3" t="s">
        <v>92</v>
      </c>
      <c r="C4" s="3" t="s">
        <v>93</v>
      </c>
      <c r="D4" s="3" t="s">
        <v>94</v>
      </c>
      <c r="E4" s="9">
        <v>500</v>
      </c>
      <c r="F4" s="9" t="str">
        <f t="shared" ref="F4" si="0">fn비고(A4)</f>
        <v>2사분기</v>
      </c>
      <c r="H4" s="10" t="s">
        <v>95</v>
      </c>
      <c r="I4" s="11">
        <f t="array" ref="I4">SMALL(IF(($C$3:$C$20=H4)*($E$3:$E$20&gt;=700),$E$3:$E$20),2)</f>
        <v>700</v>
      </c>
      <c r="M4" s="2"/>
    </row>
    <row r="5" spans="1:13">
      <c r="A5" s="8">
        <v>40792</v>
      </c>
      <c r="B5" s="3" t="s">
        <v>92</v>
      </c>
      <c r="C5" s="3" t="s">
        <v>96</v>
      </c>
      <c r="D5" s="3" t="s">
        <v>90</v>
      </c>
      <c r="E5" s="9">
        <v>500</v>
      </c>
      <c r="F5" s="9" t="str">
        <f t="shared" ref="F5" si="1">fn비고(A5)</f>
        <v>3사분기</v>
      </c>
      <c r="H5" s="10" t="s">
        <v>97</v>
      </c>
      <c r="I5" s="11">
        <f t="array" ref="I5">SMALL(IF(($C$3:$C$20=H5)*($E$3:$E$20&gt;=700),$E$3:$E$20),2)</f>
        <v>700</v>
      </c>
      <c r="M5" s="2"/>
    </row>
    <row r="6" spans="1:13">
      <c r="A6" s="8">
        <v>40871</v>
      </c>
      <c r="B6" s="3" t="s">
        <v>98</v>
      </c>
      <c r="C6" s="3" t="s">
        <v>93</v>
      </c>
      <c r="D6" s="3" t="s">
        <v>99</v>
      </c>
      <c r="E6" s="9">
        <v>2500</v>
      </c>
      <c r="F6" s="9" t="str">
        <f t="shared" ref="F6:F9" si="2">fn비고(A6)</f>
        <v>4사분기</v>
      </c>
      <c r="M6" s="2"/>
    </row>
    <row r="7" spans="1:13">
      <c r="A7" s="8">
        <v>40641</v>
      </c>
      <c r="B7" s="3" t="s">
        <v>100</v>
      </c>
      <c r="C7" s="3" t="s">
        <v>89</v>
      </c>
      <c r="D7" s="3" t="s">
        <v>101</v>
      </c>
      <c r="E7" s="9">
        <v>1000</v>
      </c>
      <c r="F7" s="9" t="str">
        <f t="shared" si="2"/>
        <v>2사분기</v>
      </c>
      <c r="H7" s="1" t="s">
        <v>102</v>
      </c>
      <c r="I7" s="1" t="s">
        <v>103</v>
      </c>
      <c r="M7" s="2"/>
    </row>
    <row r="8" spans="1:13">
      <c r="A8" s="8">
        <v>40655</v>
      </c>
      <c r="B8" s="3" t="s">
        <v>104</v>
      </c>
      <c r="C8" s="3" t="s">
        <v>105</v>
      </c>
      <c r="D8" s="3" t="s">
        <v>106</v>
      </c>
      <c r="E8" s="9">
        <v>2388</v>
      </c>
      <c r="F8" s="9" t="str">
        <f t="shared" si="2"/>
        <v>2사분기</v>
      </c>
      <c r="H8" s="3" t="s">
        <v>107</v>
      </c>
      <c r="I8" s="5" t="s">
        <v>90</v>
      </c>
      <c r="J8" s="5" t="s">
        <v>108</v>
      </c>
      <c r="K8" s="5" t="s">
        <v>109</v>
      </c>
    </row>
    <row r="9" spans="1:13">
      <c r="A9" s="8">
        <v>40752</v>
      </c>
      <c r="B9" s="3" t="s">
        <v>110</v>
      </c>
      <c r="C9" s="3" t="s">
        <v>89</v>
      </c>
      <c r="D9" s="3" t="s">
        <v>90</v>
      </c>
      <c r="E9" s="9">
        <v>700</v>
      </c>
      <c r="F9" s="9" t="str">
        <f t="shared" si="2"/>
        <v>3사분기</v>
      </c>
      <c r="H9" s="3" t="s">
        <v>96</v>
      </c>
      <c r="I9" s="3">
        <f t="array" ref="I9">SUM(($C$3:$C$20=$H9)*($D$3:$D$20=I$8)*(ISODD(MONTH($A$3:$A$20))))</f>
        <v>1</v>
      </c>
      <c r="J9" s="3">
        <f t="array" ref="J9">SUM(($C$3:$C$20=$H9)*($D$3:$D$20=J$8)*(ISODD(MONTH($A$3:$A$20))))</f>
        <v>1</v>
      </c>
      <c r="K9" s="3">
        <f t="array" ref="K9">SUM(($C$3:$C$20=$H9)*($D$3:$D$20=K$8)*(ISODD(MONTH($A$3:$A$20))))</f>
        <v>0</v>
      </c>
    </row>
    <row r="10" spans="1:13">
      <c r="A10" s="8">
        <v>40750</v>
      </c>
      <c r="B10" s="3" t="s">
        <v>111</v>
      </c>
      <c r="C10" s="3" t="s">
        <v>112</v>
      </c>
      <c r="D10" s="3" t="s">
        <v>113</v>
      </c>
      <c r="E10" s="9">
        <v>700</v>
      </c>
      <c r="F10" s="9" t="str">
        <f t="shared" ref="F10" si="3">fn비고(A10)</f>
        <v>3사분기</v>
      </c>
      <c r="H10" s="3" t="s">
        <v>95</v>
      </c>
      <c r="I10" s="3">
        <f t="array" ref="I10">SUM(($C$3:$C$20=$H10)*($D$3:$D$20=I$8)*(ISODD(MONTH($A$3:$A$20))))</f>
        <v>2</v>
      </c>
      <c r="J10" s="3">
        <f t="array" ref="J10">SUM(($C$3:$C$20=$H10)*($D$3:$D$20=J$8)*(ISODD(MONTH($A$3:$A$20))))</f>
        <v>0</v>
      </c>
      <c r="K10" s="3">
        <f t="array" ref="K10">SUM(($C$3:$C$20=$H10)*($D$3:$D$20=K$8)*(ISODD(MONTH($A$3:$A$20))))</f>
        <v>1</v>
      </c>
    </row>
    <row r="11" spans="1:13">
      <c r="A11" s="8">
        <v>40602</v>
      </c>
      <c r="B11" s="3" t="s">
        <v>114</v>
      </c>
      <c r="C11" s="3" t="s">
        <v>96</v>
      </c>
      <c r="D11" s="3" t="s">
        <v>90</v>
      </c>
      <c r="E11" s="9">
        <v>700</v>
      </c>
      <c r="F11" s="9" t="str">
        <f t="shared" ref="F11" si="4">fn비고(A11)</f>
        <v>1사분기</v>
      </c>
      <c r="H11" s="3" t="s">
        <v>115</v>
      </c>
      <c r="I11" s="3">
        <f t="array" ref="I11">SUM(($C$3:$C$20=$H11)*($D$3:$D$20=I$8)*(ISODD(MONTH($A$3:$A$20))))</f>
        <v>3</v>
      </c>
      <c r="J11" s="3">
        <f t="array" ref="J11">SUM(($C$3:$C$20=$H11)*($D$3:$D$20=J$8)*(ISODD(MONTH($A$3:$A$20))))</f>
        <v>1</v>
      </c>
      <c r="K11" s="3">
        <f t="array" ref="K11">SUM(($C$3:$C$20=$H11)*($D$3:$D$20=K$8)*(ISODD(MONTH($A$3:$A$20))))</f>
        <v>0</v>
      </c>
    </row>
    <row r="12" spans="1:13">
      <c r="A12" s="8">
        <v>40768</v>
      </c>
      <c r="B12" s="3" t="s">
        <v>116</v>
      </c>
      <c r="C12" s="3" t="s">
        <v>95</v>
      </c>
      <c r="D12" s="3" t="s">
        <v>90</v>
      </c>
      <c r="E12" s="9">
        <v>2388</v>
      </c>
      <c r="F12" s="9" t="str">
        <f t="shared" ref="F12:F20" si="5">fn비고(A12)</f>
        <v>3사분기</v>
      </c>
      <c r="H12" s="12"/>
    </row>
    <row r="13" spans="1:13">
      <c r="A13" s="8">
        <v>40875</v>
      </c>
      <c r="B13" s="3" t="s">
        <v>117</v>
      </c>
      <c r="C13" s="3" t="s">
        <v>89</v>
      </c>
      <c r="D13" s="3" t="s">
        <v>118</v>
      </c>
      <c r="E13" s="9">
        <v>4000</v>
      </c>
      <c r="F13" s="9" t="str">
        <f t="shared" si="5"/>
        <v>4사분기</v>
      </c>
    </row>
    <row r="14" spans="1:13">
      <c r="A14" s="8">
        <v>40897</v>
      </c>
      <c r="B14" s="3" t="s">
        <v>119</v>
      </c>
      <c r="C14" s="3" t="s">
        <v>97</v>
      </c>
      <c r="D14" s="3" t="s">
        <v>99</v>
      </c>
      <c r="E14" s="9">
        <v>700</v>
      </c>
      <c r="F14" s="9" t="str">
        <f t="shared" si="5"/>
        <v>4사분기</v>
      </c>
    </row>
    <row r="15" spans="1:13">
      <c r="A15" s="8">
        <v>41101</v>
      </c>
      <c r="B15" s="3" t="s">
        <v>120</v>
      </c>
      <c r="C15" s="3" t="s">
        <v>89</v>
      </c>
      <c r="D15" s="3" t="s">
        <v>108</v>
      </c>
      <c r="E15" s="9">
        <v>500</v>
      </c>
      <c r="F15" s="9" t="str">
        <f t="shared" si="5"/>
        <v>4사분기</v>
      </c>
    </row>
    <row r="16" spans="1:13">
      <c r="A16" s="8">
        <v>40763</v>
      </c>
      <c r="B16" s="3" t="s">
        <v>121</v>
      </c>
      <c r="C16" s="3" t="s">
        <v>96</v>
      </c>
      <c r="D16" s="3" t="s">
        <v>108</v>
      </c>
      <c r="E16" s="9">
        <v>1000</v>
      </c>
      <c r="F16" s="9" t="str">
        <f t="shared" si="5"/>
        <v>3사분기</v>
      </c>
    </row>
    <row r="17" spans="1:11">
      <c r="A17" s="8">
        <v>40607</v>
      </c>
      <c r="B17" s="3" t="s">
        <v>122</v>
      </c>
      <c r="C17" s="3" t="s">
        <v>123</v>
      </c>
      <c r="D17" s="3" t="s">
        <v>124</v>
      </c>
      <c r="E17" s="9">
        <v>700</v>
      </c>
      <c r="F17" s="9" t="str">
        <f t="shared" si="5"/>
        <v>1사분기</v>
      </c>
    </row>
    <row r="18" spans="1:11">
      <c r="A18" s="8">
        <v>40787</v>
      </c>
      <c r="B18" s="3" t="s">
        <v>125</v>
      </c>
      <c r="C18" s="3" t="s">
        <v>89</v>
      </c>
      <c r="D18" s="3" t="s">
        <v>126</v>
      </c>
      <c r="E18" s="9">
        <v>500</v>
      </c>
      <c r="F18" s="9" t="str">
        <f t="shared" si="5"/>
        <v>3사분기</v>
      </c>
    </row>
    <row r="19" spans="1:11">
      <c r="A19" s="8">
        <v>40745</v>
      </c>
      <c r="B19" s="3" t="s">
        <v>127</v>
      </c>
      <c r="C19" s="3" t="s">
        <v>96</v>
      </c>
      <c r="D19" s="3" t="s">
        <v>108</v>
      </c>
      <c r="E19" s="9">
        <v>1500</v>
      </c>
      <c r="F19" s="9" t="str">
        <f t="shared" si="5"/>
        <v>3사분기</v>
      </c>
    </row>
    <row r="20" spans="1:11">
      <c r="A20" s="8">
        <v>40881</v>
      </c>
      <c r="B20" s="3" t="s">
        <v>127</v>
      </c>
      <c r="C20" s="3" t="s">
        <v>96</v>
      </c>
      <c r="D20" s="3" t="s">
        <v>101</v>
      </c>
      <c r="E20" s="9">
        <v>500</v>
      </c>
      <c r="F20" s="9" t="str">
        <f t="shared" si="5"/>
        <v>4사분기</v>
      </c>
    </row>
    <row r="22" spans="1:11">
      <c r="A22" s="13" t="s">
        <v>128</v>
      </c>
      <c r="B22" s="13"/>
      <c r="C22" s="13"/>
      <c r="D22" s="14" t="s">
        <v>129</v>
      </c>
      <c r="E22" s="15"/>
      <c r="F22" s="15"/>
      <c r="G22" s="15"/>
      <c r="H22" s="16" t="s">
        <v>130</v>
      </c>
      <c r="I22" s="17"/>
    </row>
    <row r="23" spans="1:11">
      <c r="A23" s="18" t="s">
        <v>131</v>
      </c>
      <c r="B23" s="18" t="s">
        <v>132</v>
      </c>
      <c r="C23" s="18" t="s">
        <v>133</v>
      </c>
      <c r="D23" s="19" t="s">
        <v>134</v>
      </c>
      <c r="E23" s="7"/>
      <c r="F23" s="7"/>
      <c r="G23" s="15"/>
      <c r="H23" s="3" t="s">
        <v>135</v>
      </c>
      <c r="I23" s="3" t="s">
        <v>136</v>
      </c>
      <c r="J23" s="4" t="s">
        <v>137</v>
      </c>
      <c r="K23" s="5" t="s">
        <v>138</v>
      </c>
    </row>
    <row r="24" spans="1:11">
      <c r="A24" s="20" t="s">
        <v>139</v>
      </c>
      <c r="B24" s="18">
        <v>25</v>
      </c>
      <c r="C24" s="18">
        <v>80</v>
      </c>
      <c r="D24" s="4">
        <f>MAX(B24*VLOOKUP(B24,$A$34:$B$37,2),C24*VLOOKUP(C24,$D$34:$E$37,2))</f>
        <v>400</v>
      </c>
      <c r="E24" s="7"/>
      <c r="F24" s="7"/>
      <c r="G24" s="15"/>
      <c r="H24" s="3" t="s">
        <v>140</v>
      </c>
      <c r="I24" s="3">
        <v>4</v>
      </c>
      <c r="J24" s="3">
        <v>90</v>
      </c>
      <c r="K24" s="3">
        <f t="shared" ref="K24:K31" si="6">IF(AND(I24&gt;=5,J24&gt;=80), I24+J24+VLOOKUP(I24,$H$34:$I$37,2),I24+J24)</f>
        <v>94</v>
      </c>
    </row>
    <row r="25" spans="1:11">
      <c r="A25" s="20" t="s">
        <v>141</v>
      </c>
      <c r="B25" s="18">
        <v>26</v>
      </c>
      <c r="C25" s="18">
        <v>65</v>
      </c>
      <c r="D25" s="4">
        <f t="shared" ref="D25:D30" si="7">MAX(B25*VLOOKUP(B25,$A$34:$B$37,2),C25*VLOOKUP(C25,$D$34:$E$37,2))</f>
        <v>325</v>
      </c>
      <c r="E25" s="7"/>
      <c r="F25" s="7"/>
      <c r="G25" s="15"/>
      <c r="H25" s="3" t="s">
        <v>142</v>
      </c>
      <c r="I25" s="3">
        <v>7</v>
      </c>
      <c r="J25" s="4">
        <v>95</v>
      </c>
      <c r="K25" s="3">
        <f t="shared" si="6"/>
        <v>103</v>
      </c>
    </row>
    <row r="26" spans="1:11">
      <c r="A26" s="20" t="s">
        <v>143</v>
      </c>
      <c r="B26" s="18">
        <v>120</v>
      </c>
      <c r="C26" s="18">
        <v>45</v>
      </c>
      <c r="D26" s="4">
        <f t="shared" si="7"/>
        <v>1080</v>
      </c>
      <c r="E26" s="7"/>
      <c r="F26" s="7"/>
      <c r="G26" s="15"/>
      <c r="H26" s="3" t="s">
        <v>144</v>
      </c>
      <c r="I26" s="3">
        <v>20</v>
      </c>
      <c r="J26" s="3">
        <v>75</v>
      </c>
      <c r="K26" s="3">
        <f t="shared" si="6"/>
        <v>95</v>
      </c>
    </row>
    <row r="27" spans="1:11">
      <c r="A27" s="20" t="s">
        <v>145</v>
      </c>
      <c r="B27" s="18">
        <v>56</v>
      </c>
      <c r="C27" s="18">
        <v>77</v>
      </c>
      <c r="D27" s="4">
        <f t="shared" si="7"/>
        <v>504</v>
      </c>
      <c r="E27" s="7"/>
      <c r="F27" s="7"/>
      <c r="G27" s="15"/>
      <c r="H27" s="3" t="s">
        <v>146</v>
      </c>
      <c r="I27" s="3">
        <v>2</v>
      </c>
      <c r="J27" s="3">
        <v>65</v>
      </c>
      <c r="K27" s="3">
        <f t="shared" si="6"/>
        <v>67</v>
      </c>
    </row>
    <row r="28" spans="1:11">
      <c r="A28" s="20" t="s">
        <v>147</v>
      </c>
      <c r="B28" s="18">
        <v>23</v>
      </c>
      <c r="C28" s="18">
        <v>39</v>
      </c>
      <c r="D28" s="4">
        <f t="shared" si="7"/>
        <v>230</v>
      </c>
      <c r="E28" s="7"/>
      <c r="F28" s="7"/>
      <c r="G28" s="15"/>
      <c r="H28" s="3" t="s">
        <v>148</v>
      </c>
      <c r="I28" s="3">
        <v>13</v>
      </c>
      <c r="J28" s="3">
        <v>82</v>
      </c>
      <c r="K28" s="3">
        <f t="shared" si="6"/>
        <v>97</v>
      </c>
    </row>
    <row r="29" spans="1:11">
      <c r="A29" s="18" t="s">
        <v>149</v>
      </c>
      <c r="B29" s="18">
        <v>44</v>
      </c>
      <c r="C29" s="18">
        <v>108</v>
      </c>
      <c r="D29" s="4">
        <f t="shared" si="7"/>
        <v>440</v>
      </c>
      <c r="E29" s="7"/>
      <c r="F29" s="7"/>
      <c r="G29" s="15"/>
      <c r="H29" s="3" t="s">
        <v>150</v>
      </c>
      <c r="I29" s="3">
        <v>20</v>
      </c>
      <c r="J29" s="3">
        <v>82</v>
      </c>
      <c r="K29" s="3">
        <f t="shared" si="6"/>
        <v>107</v>
      </c>
    </row>
    <row r="30" spans="1:11">
      <c r="A30" s="18" t="s">
        <v>151</v>
      </c>
      <c r="B30" s="18">
        <v>35</v>
      </c>
      <c r="C30" s="18">
        <v>120</v>
      </c>
      <c r="D30" s="4">
        <f t="shared" si="7"/>
        <v>480</v>
      </c>
      <c r="E30" s="7"/>
      <c r="F30" s="7"/>
      <c r="G30" s="15"/>
      <c r="H30" s="3" t="s">
        <v>152</v>
      </c>
      <c r="I30" s="3">
        <v>15</v>
      </c>
      <c r="J30" s="3">
        <v>90</v>
      </c>
      <c r="K30" s="3">
        <f t="shared" si="6"/>
        <v>108</v>
      </c>
    </row>
    <row r="31" spans="1:11">
      <c r="A31" s="7"/>
      <c r="B31" s="21"/>
      <c r="C31" s="22"/>
      <c r="D31" s="7"/>
      <c r="E31" s="7"/>
      <c r="F31" s="7"/>
      <c r="G31" s="15"/>
      <c r="H31" s="3" t="s">
        <v>153</v>
      </c>
      <c r="I31" s="3">
        <v>12</v>
      </c>
      <c r="J31" s="3">
        <v>68</v>
      </c>
      <c r="K31" s="3">
        <f t="shared" si="6"/>
        <v>80</v>
      </c>
    </row>
    <row r="32" spans="1:11">
      <c r="A32" s="13" t="s">
        <v>154</v>
      </c>
      <c r="B32" s="13"/>
      <c r="C32" s="13"/>
      <c r="D32" s="13" t="s">
        <v>155</v>
      </c>
      <c r="E32" s="13"/>
      <c r="F32" s="23"/>
    </row>
    <row r="33" spans="1:9">
      <c r="A33" s="18" t="s">
        <v>156</v>
      </c>
      <c r="B33" s="18" t="s">
        <v>157</v>
      </c>
      <c r="C33" s="24"/>
      <c r="D33" s="18" t="s">
        <v>158</v>
      </c>
      <c r="E33" s="18" t="s">
        <v>157</v>
      </c>
      <c r="H33" s="4" t="s">
        <v>159</v>
      </c>
      <c r="I33" s="3" t="s">
        <v>160</v>
      </c>
    </row>
    <row r="34" spans="1:9">
      <c r="A34" s="4">
        <v>0</v>
      </c>
      <c r="B34" s="4">
        <v>10</v>
      </c>
      <c r="C34" s="13"/>
      <c r="D34" s="4">
        <v>0</v>
      </c>
      <c r="E34" s="4">
        <v>5</v>
      </c>
      <c r="H34" s="4">
        <v>5</v>
      </c>
      <c r="I34" s="4">
        <v>1</v>
      </c>
    </row>
    <row r="35" spans="1:9">
      <c r="A35" s="4">
        <v>50</v>
      </c>
      <c r="B35" s="4">
        <v>9</v>
      </c>
      <c r="C35" s="13"/>
      <c r="D35" s="4">
        <v>100</v>
      </c>
      <c r="E35" s="4">
        <v>4</v>
      </c>
      <c r="H35" s="4">
        <v>10</v>
      </c>
      <c r="I35" s="4">
        <v>2</v>
      </c>
    </row>
    <row r="36" spans="1:9">
      <c r="A36" s="4">
        <v>150</v>
      </c>
      <c r="B36" s="4">
        <v>8</v>
      </c>
      <c r="C36" s="13"/>
      <c r="D36" s="4">
        <v>200</v>
      </c>
      <c r="E36" s="4">
        <v>3</v>
      </c>
      <c r="H36" s="4">
        <v>15</v>
      </c>
      <c r="I36" s="4">
        <v>3</v>
      </c>
    </row>
    <row r="37" spans="1:9">
      <c r="A37" s="4">
        <v>300</v>
      </c>
      <c r="B37" s="4">
        <v>7</v>
      </c>
      <c r="C37" s="13"/>
      <c r="D37" s="4">
        <v>350</v>
      </c>
      <c r="E37" s="4">
        <v>3.5</v>
      </c>
      <c r="H37" s="4">
        <v>20</v>
      </c>
      <c r="I37" s="4">
        <v>5</v>
      </c>
    </row>
    <row r="39" spans="1:9">
      <c r="A39" s="65" t="s">
        <v>161</v>
      </c>
      <c r="B39" s="66"/>
    </row>
    <row r="40" spans="1:9">
      <c r="A40" s="25">
        <f>SUMIFS(D24:D30,B24:B30,"&gt;=30",C24:C30,"&gt;=80")</f>
        <v>920</v>
      </c>
      <c r="B40" s="26"/>
    </row>
    <row r="48" spans="1:9">
      <c r="E48" s="27"/>
      <c r="F48" s="27"/>
    </row>
    <row r="49" spans="5:11">
      <c r="E49" s="27"/>
      <c r="F49" s="27"/>
    </row>
    <row r="50" spans="5:11">
      <c r="E50" s="27"/>
      <c r="F50" s="27"/>
    </row>
    <row r="51" spans="5:11">
      <c r="E51" s="27"/>
      <c r="F51" s="27"/>
    </row>
    <row r="52" spans="5:11">
      <c r="E52" s="27"/>
      <c r="F52" s="27"/>
    </row>
    <row r="53" spans="5:11">
      <c r="E53" s="27"/>
      <c r="F53" s="27"/>
    </row>
    <row r="54" spans="5:11">
      <c r="E54" s="27"/>
      <c r="F54" s="27"/>
      <c r="G54" s="27"/>
      <c r="H54" s="27"/>
      <c r="I54" s="27"/>
      <c r="J54" s="27"/>
      <c r="K54" s="27"/>
    </row>
    <row r="55" spans="5:11">
      <c r="E55" s="27"/>
      <c r="F55" s="27"/>
      <c r="G55" s="27"/>
      <c r="H55" s="27"/>
      <c r="I55" s="27"/>
      <c r="J55" s="27"/>
      <c r="K55" s="27"/>
    </row>
    <row r="56" spans="5:11">
      <c r="E56" s="27"/>
      <c r="F56" s="27"/>
      <c r="G56" s="27"/>
      <c r="H56" s="27"/>
      <c r="I56" s="27"/>
      <c r="J56" s="27"/>
      <c r="K56" s="27"/>
    </row>
  </sheetData>
  <mergeCells count="1">
    <mergeCell ref="A39:B39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69"/>
  <sheetViews>
    <sheetView workbookViewId="0"/>
  </sheetViews>
  <sheetFormatPr defaultRowHeight="16.5"/>
  <cols>
    <col min="1" max="1" width="13.75" style="1" customWidth="1"/>
    <col min="2" max="2" width="10.75" style="1" bestFit="1" customWidth="1"/>
    <col min="3" max="4" width="10.125" style="1" bestFit="1" customWidth="1"/>
    <col min="5" max="5" width="9" style="1"/>
    <col min="6" max="6" width="20.125" style="1" customWidth="1"/>
    <col min="7" max="7" width="14.875" style="1" customWidth="1"/>
    <col min="8" max="8" width="9.625" style="1" customWidth="1"/>
    <col min="9" max="16384" width="9" style="1"/>
  </cols>
  <sheetData>
    <row r="1" spans="1:8">
      <c r="A1" s="1" t="s">
        <v>162</v>
      </c>
    </row>
    <row r="2" spans="1:8">
      <c r="F2" t="s">
        <v>163</v>
      </c>
      <c r="G2" t="s">
        <v>164</v>
      </c>
    </row>
    <row r="3" spans="1:8">
      <c r="A3" s="28" t="s">
        <v>163</v>
      </c>
      <c r="B3" s="28" t="s">
        <v>165</v>
      </c>
      <c r="C3" s="28" t="s">
        <v>166</v>
      </c>
      <c r="D3" s="28" t="s">
        <v>167</v>
      </c>
    </row>
    <row r="4" spans="1:8">
      <c r="A4" s="29" t="s">
        <v>168</v>
      </c>
      <c r="B4" s="30">
        <v>42267</v>
      </c>
      <c r="C4" s="31">
        <v>39</v>
      </c>
      <c r="D4" s="31">
        <v>28782</v>
      </c>
      <c r="F4" t="s">
        <v>165</v>
      </c>
      <c r="G4" t="s">
        <v>169</v>
      </c>
      <c r="H4"/>
    </row>
    <row r="5" spans="1:8">
      <c r="A5" s="29" t="s">
        <v>168</v>
      </c>
      <c r="B5" s="30">
        <v>42082</v>
      </c>
      <c r="C5" s="31">
        <v>36</v>
      </c>
      <c r="D5" s="31">
        <v>26568</v>
      </c>
      <c r="F5" s="32" t="s">
        <v>170</v>
      </c>
      <c r="G5" t="s">
        <v>171</v>
      </c>
      <c r="H5" s="33">
        <v>53</v>
      </c>
    </row>
    <row r="6" spans="1:8">
      <c r="A6" s="29" t="s">
        <v>168</v>
      </c>
      <c r="B6" s="30">
        <v>42253</v>
      </c>
      <c r="C6" s="31">
        <v>56</v>
      </c>
      <c r="D6" s="31">
        <v>41328</v>
      </c>
      <c r="F6"/>
      <c r="G6" t="s">
        <v>172</v>
      </c>
      <c r="H6" s="33">
        <v>19557</v>
      </c>
    </row>
    <row r="7" spans="1:8">
      <c r="A7" s="29" t="s">
        <v>168</v>
      </c>
      <c r="B7" s="30">
        <v>42701</v>
      </c>
      <c r="C7" s="31">
        <v>84</v>
      </c>
      <c r="D7" s="31">
        <v>61992</v>
      </c>
      <c r="F7" s="32" t="s">
        <v>173</v>
      </c>
      <c r="G7" t="s">
        <v>171</v>
      </c>
      <c r="H7" s="33">
        <v>79</v>
      </c>
    </row>
    <row r="8" spans="1:8">
      <c r="A8" s="29" t="s">
        <v>174</v>
      </c>
      <c r="B8" s="30">
        <v>42550</v>
      </c>
      <c r="C8" s="31">
        <v>57</v>
      </c>
      <c r="D8" s="31">
        <v>13338</v>
      </c>
      <c r="F8"/>
      <c r="G8" t="s">
        <v>172</v>
      </c>
      <c r="H8" s="33">
        <v>29151</v>
      </c>
    </row>
    <row r="9" spans="1:8">
      <c r="A9" s="29" t="s">
        <v>164</v>
      </c>
      <c r="B9" s="30">
        <v>41665</v>
      </c>
      <c r="C9" s="31">
        <v>27</v>
      </c>
      <c r="D9" s="31">
        <v>9963</v>
      </c>
      <c r="F9" s="32" t="s">
        <v>175</v>
      </c>
      <c r="G9" t="s">
        <v>171</v>
      </c>
      <c r="H9" s="33">
        <v>63.333333333333336</v>
      </c>
    </row>
    <row r="10" spans="1:8">
      <c r="A10" s="29" t="s">
        <v>164</v>
      </c>
      <c r="B10" s="30">
        <v>42449</v>
      </c>
      <c r="C10" s="31">
        <v>96</v>
      </c>
      <c r="D10" s="31">
        <v>35424</v>
      </c>
      <c r="F10"/>
      <c r="G10" t="s">
        <v>172</v>
      </c>
      <c r="H10" s="33">
        <v>23370</v>
      </c>
    </row>
    <row r="11" spans="1:8">
      <c r="A11" s="29" t="s">
        <v>164</v>
      </c>
      <c r="B11" s="30">
        <v>42091</v>
      </c>
      <c r="C11" s="31">
        <v>79</v>
      </c>
      <c r="D11" s="31">
        <v>29151</v>
      </c>
      <c r="F11" s="32" t="s">
        <v>176</v>
      </c>
      <c r="G11"/>
      <c r="H11" s="33">
        <v>61.142857142857146</v>
      </c>
    </row>
    <row r="12" spans="1:8">
      <c r="A12" s="29" t="s">
        <v>164</v>
      </c>
      <c r="B12" s="30">
        <v>42668</v>
      </c>
      <c r="C12" s="31">
        <v>41</v>
      </c>
      <c r="D12" s="31">
        <v>15129</v>
      </c>
      <c r="F12" s="32" t="s">
        <v>177</v>
      </c>
      <c r="G12"/>
      <c r="H12" s="33">
        <v>22561.714285714286</v>
      </c>
    </row>
    <row r="13" spans="1:8">
      <c r="A13" s="29" t="s">
        <v>164</v>
      </c>
      <c r="B13" s="30">
        <v>42569</v>
      </c>
      <c r="C13" s="31">
        <v>53</v>
      </c>
      <c r="D13" s="31">
        <v>19557</v>
      </c>
      <c r="F13"/>
      <c r="G13"/>
      <c r="H13"/>
    </row>
    <row r="14" spans="1:8">
      <c r="A14" s="29" t="s">
        <v>164</v>
      </c>
      <c r="B14" s="30">
        <v>42002</v>
      </c>
      <c r="C14" s="31">
        <v>62</v>
      </c>
      <c r="D14" s="31">
        <v>22878</v>
      </c>
      <c r="F14"/>
      <c r="G14"/>
      <c r="H14"/>
    </row>
    <row r="15" spans="1:8">
      <c r="A15" s="29" t="s">
        <v>164</v>
      </c>
      <c r="B15" s="30">
        <v>41726</v>
      </c>
      <c r="C15" s="31">
        <v>70</v>
      </c>
      <c r="D15" s="31">
        <v>25830</v>
      </c>
      <c r="F15"/>
      <c r="G15"/>
      <c r="H15"/>
    </row>
    <row r="16" spans="1:8">
      <c r="A16" s="29" t="s">
        <v>178</v>
      </c>
      <c r="B16" s="30">
        <v>42531</v>
      </c>
      <c r="C16" s="31">
        <v>50</v>
      </c>
      <c r="D16" s="31">
        <v>5850</v>
      </c>
      <c r="F16"/>
      <c r="G16"/>
      <c r="H16"/>
    </row>
    <row r="17" spans="1:8">
      <c r="A17" s="29" t="s">
        <v>178</v>
      </c>
      <c r="B17" s="30">
        <v>42358</v>
      </c>
      <c r="C17" s="31">
        <v>80</v>
      </c>
      <c r="D17" s="31">
        <v>9360</v>
      </c>
      <c r="F17"/>
      <c r="G17"/>
      <c r="H17"/>
    </row>
    <row r="18" spans="1:8">
      <c r="A18" s="29" t="s">
        <v>178</v>
      </c>
      <c r="B18" s="30">
        <v>42049</v>
      </c>
      <c r="C18" s="31">
        <v>19</v>
      </c>
      <c r="D18" s="31">
        <v>2223</v>
      </c>
      <c r="F18"/>
      <c r="G18"/>
      <c r="H18"/>
    </row>
    <row r="19" spans="1:8">
      <c r="A19" s="29" t="s">
        <v>179</v>
      </c>
      <c r="B19" s="30">
        <v>42187</v>
      </c>
      <c r="C19" s="31">
        <v>97</v>
      </c>
      <c r="D19" s="31">
        <v>56745</v>
      </c>
      <c r="F19"/>
      <c r="G19"/>
      <c r="H19"/>
    </row>
    <row r="20" spans="1:8">
      <c r="A20" s="29" t="s">
        <v>179</v>
      </c>
      <c r="B20" s="30">
        <v>42242</v>
      </c>
      <c r="C20" s="31">
        <v>77</v>
      </c>
      <c r="D20" s="31">
        <v>45045</v>
      </c>
      <c r="F20"/>
      <c r="G20"/>
      <c r="H20"/>
    </row>
    <row r="21" spans="1:8">
      <c r="A21" s="29" t="s">
        <v>179</v>
      </c>
      <c r="B21" s="30">
        <v>42029</v>
      </c>
      <c r="C21" s="31">
        <v>91</v>
      </c>
      <c r="D21" s="31">
        <v>53235</v>
      </c>
      <c r="F21"/>
      <c r="G21"/>
      <c r="H21"/>
    </row>
    <row r="22" spans="1:8">
      <c r="A22" s="29" t="s">
        <v>179</v>
      </c>
      <c r="B22" s="30">
        <v>42249</v>
      </c>
      <c r="C22" s="31">
        <v>29</v>
      </c>
      <c r="D22" s="31">
        <v>16965</v>
      </c>
      <c r="F22"/>
      <c r="G22"/>
      <c r="H22"/>
    </row>
    <row r="23" spans="1:8">
      <c r="A23" s="29" t="s">
        <v>180</v>
      </c>
      <c r="B23" s="30">
        <v>42710</v>
      </c>
      <c r="C23" s="31">
        <v>36</v>
      </c>
      <c r="D23" s="31">
        <v>22680</v>
      </c>
      <c r="F23"/>
      <c r="G23"/>
      <c r="H23"/>
    </row>
    <row r="24" spans="1:8">
      <c r="A24" s="29" t="s">
        <v>180</v>
      </c>
      <c r="B24" s="30">
        <v>42156</v>
      </c>
      <c r="C24" s="31">
        <v>77</v>
      </c>
      <c r="D24" s="31">
        <v>48510</v>
      </c>
      <c r="F24"/>
      <c r="G24"/>
      <c r="H24"/>
    </row>
    <row r="25" spans="1:8">
      <c r="F25"/>
      <c r="G25"/>
      <c r="H25"/>
    </row>
    <row r="26" spans="1:8">
      <c r="F26"/>
      <c r="G26"/>
      <c r="H26"/>
    </row>
    <row r="27" spans="1:8">
      <c r="F27"/>
      <c r="G27"/>
      <c r="H27"/>
    </row>
    <row r="28" spans="1:8">
      <c r="F28"/>
      <c r="G28"/>
      <c r="H28"/>
    </row>
    <row r="29" spans="1:8">
      <c r="F29"/>
      <c r="G29"/>
      <c r="H29"/>
    </row>
    <row r="30" spans="1:8">
      <c r="F30"/>
      <c r="G30"/>
      <c r="H30"/>
    </row>
    <row r="31" spans="1:8">
      <c r="F31"/>
      <c r="G31"/>
      <c r="H31"/>
    </row>
    <row r="32" spans="1:8">
      <c r="F32"/>
      <c r="G32"/>
      <c r="H32"/>
    </row>
    <row r="33" spans="6:8">
      <c r="F33"/>
      <c r="G33"/>
      <c r="H33"/>
    </row>
    <row r="34" spans="6:8">
      <c r="F34"/>
      <c r="G34"/>
      <c r="H34"/>
    </row>
    <row r="35" spans="6:8">
      <c r="F35"/>
      <c r="G35"/>
      <c r="H35"/>
    </row>
    <row r="36" spans="6:8">
      <c r="F36"/>
      <c r="G36"/>
      <c r="H36"/>
    </row>
    <row r="37" spans="6:8">
      <c r="F37"/>
      <c r="G37"/>
      <c r="H37"/>
    </row>
    <row r="38" spans="6:8">
      <c r="F38"/>
      <c r="G38"/>
      <c r="H38"/>
    </row>
    <row r="39" spans="6:8">
      <c r="F39"/>
      <c r="G39"/>
      <c r="H39"/>
    </row>
    <row r="40" spans="6:8">
      <c r="F40"/>
      <c r="G40"/>
      <c r="H40"/>
    </row>
    <row r="41" spans="6:8">
      <c r="F41"/>
      <c r="G41"/>
      <c r="H41"/>
    </row>
    <row r="42" spans="6:8">
      <c r="F42"/>
      <c r="G42"/>
      <c r="H42"/>
    </row>
    <row r="43" spans="6:8">
      <c r="F43"/>
      <c r="G43"/>
      <c r="H43"/>
    </row>
    <row r="44" spans="6:8">
      <c r="F44"/>
      <c r="G44"/>
      <c r="H44"/>
    </row>
    <row r="45" spans="6:8">
      <c r="F45"/>
      <c r="G45"/>
      <c r="H45"/>
    </row>
    <row r="46" spans="6:8">
      <c r="F46"/>
      <c r="G46"/>
      <c r="H46"/>
    </row>
    <row r="47" spans="6:8">
      <c r="F47"/>
      <c r="G47"/>
      <c r="H47"/>
    </row>
    <row r="48" spans="6:8">
      <c r="F48"/>
      <c r="G48"/>
      <c r="H48"/>
    </row>
    <row r="49" spans="6:7">
      <c r="F49"/>
      <c r="G49"/>
    </row>
    <row r="50" spans="6:7">
      <c r="F50"/>
      <c r="G50"/>
    </row>
    <row r="51" spans="6:7">
      <c r="F51"/>
      <c r="G51"/>
    </row>
    <row r="52" spans="6:7">
      <c r="F52"/>
      <c r="G52"/>
    </row>
    <row r="53" spans="6:7">
      <c r="F53"/>
      <c r="G53"/>
    </row>
    <row r="54" spans="6:7">
      <c r="F54"/>
      <c r="G54"/>
    </row>
    <row r="55" spans="6:7">
      <c r="F55"/>
      <c r="G55"/>
    </row>
    <row r="56" spans="6:7">
      <c r="F56"/>
      <c r="G56"/>
    </row>
    <row r="57" spans="6:7">
      <c r="F57"/>
      <c r="G57"/>
    </row>
    <row r="58" spans="6:7">
      <c r="F58"/>
      <c r="G58"/>
    </row>
    <row r="59" spans="6:7">
      <c r="F59"/>
      <c r="G59"/>
    </row>
    <row r="60" spans="6:7">
      <c r="F60"/>
      <c r="G60"/>
    </row>
    <row r="61" spans="6:7">
      <c r="F61"/>
      <c r="G61"/>
    </row>
    <row r="62" spans="6:7">
      <c r="F62"/>
      <c r="G62"/>
    </row>
    <row r="63" spans="6:7">
      <c r="F63"/>
      <c r="G63"/>
    </row>
    <row r="64" spans="6:7"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9"/>
  <sheetViews>
    <sheetView workbookViewId="0"/>
  </sheetViews>
  <sheetFormatPr defaultRowHeight="16.5"/>
  <cols>
    <col min="1" max="2" width="9" style="1"/>
    <col min="3" max="3" width="4.5" style="1" customWidth="1"/>
    <col min="4" max="5" width="9" style="1"/>
    <col min="6" max="6" width="3.5" style="1" customWidth="1"/>
    <col min="7" max="16384" width="9" style="1"/>
  </cols>
  <sheetData>
    <row r="1" spans="1:5">
      <c r="A1" s="1" t="s">
        <v>181</v>
      </c>
      <c r="D1" s="1" t="s">
        <v>182</v>
      </c>
    </row>
    <row r="2" spans="1:5">
      <c r="A2" s="3"/>
      <c r="B2" s="3" t="s">
        <v>183</v>
      </c>
      <c r="D2" s="5" t="s">
        <v>184</v>
      </c>
      <c r="E2" s="5" t="s">
        <v>185</v>
      </c>
    </row>
    <row r="3" spans="1:5">
      <c r="A3" s="3" t="s">
        <v>186</v>
      </c>
      <c r="B3" s="9">
        <v>1150</v>
      </c>
      <c r="D3" s="34"/>
      <c r="E3" s="34">
        <f>AVERAGE(B3:B8)</f>
        <v>1745</v>
      </c>
    </row>
    <row r="4" spans="1:5">
      <c r="A4" s="3" t="s">
        <v>187</v>
      </c>
      <c r="B4" s="9">
        <v>1650</v>
      </c>
      <c r="D4" s="10">
        <v>1000</v>
      </c>
      <c r="E4" s="35">
        <f t="dataTable" ref="E4:E8" dt2D="0" dtr="0" r1="B8"/>
        <v>1561.6666666666667</v>
      </c>
    </row>
    <row r="5" spans="1:5">
      <c r="A5" s="3" t="s">
        <v>188</v>
      </c>
      <c r="B5" s="9">
        <v>2010</v>
      </c>
      <c r="D5" s="10">
        <v>1500</v>
      </c>
      <c r="E5" s="35">
        <v>1645</v>
      </c>
    </row>
    <row r="6" spans="1:5">
      <c r="A6" s="3" t="s">
        <v>189</v>
      </c>
      <c r="B6" s="9">
        <v>1110</v>
      </c>
      <c r="D6" s="10">
        <v>2000</v>
      </c>
      <c r="E6" s="35">
        <v>1728.3333333333333</v>
      </c>
    </row>
    <row r="7" spans="1:5">
      <c r="A7" s="3" t="s">
        <v>190</v>
      </c>
      <c r="B7" s="9">
        <v>2450</v>
      </c>
      <c r="D7" s="10">
        <v>2500</v>
      </c>
      <c r="E7" s="35">
        <v>1811.6666666666667</v>
      </c>
    </row>
    <row r="8" spans="1:5">
      <c r="A8" s="3" t="s">
        <v>191</v>
      </c>
      <c r="B8" s="9">
        <v>2100</v>
      </c>
      <c r="D8" s="10">
        <v>3000</v>
      </c>
      <c r="E8" s="35">
        <v>1895</v>
      </c>
    </row>
    <row r="9" spans="1:5">
      <c r="A9" s="3" t="s">
        <v>185</v>
      </c>
      <c r="B9" s="9">
        <f>AVERAGE(B3:B8)</f>
        <v>1745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실적평균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F15"/>
  <sheetViews>
    <sheetView workbookViewId="0"/>
  </sheetViews>
  <sheetFormatPr defaultRowHeight="16.5"/>
  <cols>
    <col min="1" max="1" width="4.25" style="1" customWidth="1"/>
    <col min="2" max="5" width="9" style="1"/>
    <col min="6" max="6" width="13" style="1" bestFit="1" customWidth="1"/>
    <col min="7" max="16384" width="9" style="1"/>
  </cols>
  <sheetData>
    <row r="1" spans="2:6">
      <c r="D1" s="36" t="s">
        <v>192</v>
      </c>
    </row>
    <row r="2" spans="2:6">
      <c r="B2" s="37" t="s">
        <v>193</v>
      </c>
      <c r="C2" s="37" t="s">
        <v>194</v>
      </c>
      <c r="D2" s="38" t="s">
        <v>195</v>
      </c>
      <c r="E2" s="38" t="s">
        <v>196</v>
      </c>
      <c r="F2" s="38" t="s">
        <v>197</v>
      </c>
    </row>
    <row r="3" spans="2:6">
      <c r="B3" s="39" t="s">
        <v>198</v>
      </c>
      <c r="C3" s="39" t="s">
        <v>199</v>
      </c>
      <c r="D3" s="39" t="s">
        <v>200</v>
      </c>
      <c r="E3" s="40">
        <v>35200</v>
      </c>
      <c r="F3" s="1">
        <v>35000</v>
      </c>
    </row>
    <row r="4" spans="2:6">
      <c r="B4" s="39" t="s">
        <v>201</v>
      </c>
      <c r="C4" s="39" t="s">
        <v>199</v>
      </c>
      <c r="D4" s="39" t="s">
        <v>200</v>
      </c>
      <c r="E4" s="40">
        <v>12500</v>
      </c>
      <c r="F4" s="1">
        <v>21000</v>
      </c>
    </row>
    <row r="5" spans="2:6">
      <c r="B5" s="39" t="s">
        <v>202</v>
      </c>
      <c r="C5" s="39" t="s">
        <v>203</v>
      </c>
      <c r="D5" s="39" t="s">
        <v>204</v>
      </c>
      <c r="E5" s="40">
        <v>62500</v>
      </c>
      <c r="F5" s="1">
        <v>65000</v>
      </c>
    </row>
    <row r="6" spans="2:6">
      <c r="B6" s="39" t="s">
        <v>205</v>
      </c>
      <c r="C6" s="39" t="s">
        <v>203</v>
      </c>
      <c r="D6" s="39" t="s">
        <v>206</v>
      </c>
      <c r="E6" s="40">
        <v>62533</v>
      </c>
      <c r="F6" s="1">
        <v>61890</v>
      </c>
    </row>
    <row r="7" spans="2:6">
      <c r="B7" s="39" t="s">
        <v>207</v>
      </c>
      <c r="C7" s="39" t="s">
        <v>199</v>
      </c>
      <c r="D7" s="39" t="s">
        <v>208</v>
      </c>
      <c r="E7" s="40">
        <v>32560</v>
      </c>
      <c r="F7" s="1">
        <v>33000</v>
      </c>
    </row>
    <row r="8" spans="2:6">
      <c r="B8" s="39" t="s">
        <v>209</v>
      </c>
      <c r="C8" s="39" t="s">
        <v>203</v>
      </c>
      <c r="D8" s="39" t="s">
        <v>200</v>
      </c>
      <c r="E8" s="40">
        <v>64250</v>
      </c>
      <c r="F8" s="1">
        <v>56000</v>
      </c>
    </row>
    <row r="9" spans="2:6">
      <c r="B9" s="39" t="s">
        <v>210</v>
      </c>
      <c r="C9" s="39" t="s">
        <v>199</v>
      </c>
      <c r="D9" s="39" t="s">
        <v>206</v>
      </c>
      <c r="E9" s="40">
        <v>45850</v>
      </c>
      <c r="F9" s="1">
        <v>43650</v>
      </c>
    </row>
    <row r="10" spans="2:6">
      <c r="B10" s="39" t="s">
        <v>211</v>
      </c>
      <c r="C10" s="39" t="s">
        <v>199</v>
      </c>
      <c r="D10" s="39" t="s">
        <v>204</v>
      </c>
      <c r="E10" s="40">
        <v>56800</v>
      </c>
      <c r="F10" s="1">
        <v>60000</v>
      </c>
    </row>
    <row r="11" spans="2:6">
      <c r="B11" s="39" t="s">
        <v>212</v>
      </c>
      <c r="C11" s="39" t="s">
        <v>203</v>
      </c>
      <c r="D11" s="39" t="s">
        <v>213</v>
      </c>
      <c r="E11" s="40">
        <v>54000</v>
      </c>
      <c r="F11" s="1">
        <v>50000</v>
      </c>
    </row>
    <row r="12" spans="2:6">
      <c r="B12" s="39" t="s">
        <v>214</v>
      </c>
      <c r="C12" s="39" t="s">
        <v>215</v>
      </c>
      <c r="D12" s="39" t="s">
        <v>206</v>
      </c>
      <c r="E12" s="40">
        <v>45110</v>
      </c>
      <c r="F12" s="1">
        <v>45390</v>
      </c>
    </row>
    <row r="13" spans="2:6">
      <c r="B13" s="39" t="s">
        <v>216</v>
      </c>
      <c r="C13" s="39" t="s">
        <v>203</v>
      </c>
      <c r="D13" s="39" t="s">
        <v>208</v>
      </c>
      <c r="E13" s="40">
        <v>58000</v>
      </c>
      <c r="F13" s="1">
        <v>60000</v>
      </c>
    </row>
    <row r="14" spans="2:6">
      <c r="B14" s="39" t="s">
        <v>217</v>
      </c>
      <c r="C14" s="39" t="s">
        <v>215</v>
      </c>
      <c r="D14" s="39" t="s">
        <v>204</v>
      </c>
      <c r="E14" s="40">
        <v>46200</v>
      </c>
      <c r="F14" s="1">
        <v>45000</v>
      </c>
    </row>
    <row r="15" spans="2:6">
      <c r="B15" s="39" t="s">
        <v>218</v>
      </c>
      <c r="C15" s="39" t="s">
        <v>199</v>
      </c>
      <c r="D15" s="39" t="s">
        <v>208</v>
      </c>
      <c r="E15" s="40">
        <v>32560</v>
      </c>
      <c r="F15" s="1">
        <v>32660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17"/>
  <sheetViews>
    <sheetView workbookViewId="0">
      <selection activeCell="J19" sqref="J19"/>
    </sheetView>
  </sheetViews>
  <sheetFormatPr defaultRowHeight="16.5"/>
  <cols>
    <col min="1" max="1" width="2" style="1" customWidth="1"/>
    <col min="2" max="2" width="9" style="1"/>
    <col min="3" max="3" width="11.75" style="1" bestFit="1" customWidth="1"/>
    <col min="4" max="4" width="12" style="1" bestFit="1" customWidth="1"/>
    <col min="5" max="5" width="14.25" style="1" bestFit="1" customWidth="1"/>
    <col min="6" max="16384" width="9" style="1"/>
  </cols>
  <sheetData>
    <row r="1" spans="2:8" ht="26.25">
      <c r="B1" s="67" t="s">
        <v>219</v>
      </c>
      <c r="C1" s="67"/>
      <c r="D1" s="67"/>
      <c r="E1" s="41"/>
    </row>
    <row r="2" spans="2:8" ht="13.5" customHeight="1">
      <c r="B2" s="42"/>
      <c r="C2" s="42"/>
      <c r="D2" s="42"/>
      <c r="E2" s="41"/>
    </row>
    <row r="3" spans="2:8">
      <c r="B3" s="43" t="s">
        <v>220</v>
      </c>
      <c r="C3" s="43" t="s">
        <v>221</v>
      </c>
      <c r="D3" s="43" t="s">
        <v>222</v>
      </c>
      <c r="E3" s="43" t="s">
        <v>223</v>
      </c>
      <c r="H3" s="44"/>
    </row>
    <row r="4" spans="2:8">
      <c r="B4" s="10" t="s">
        <v>224</v>
      </c>
      <c r="C4" s="10" t="s">
        <v>225</v>
      </c>
      <c r="D4" s="10" t="s">
        <v>226</v>
      </c>
      <c r="E4" s="10" t="s">
        <v>227</v>
      </c>
    </row>
    <row r="5" spans="2:8">
      <c r="B5" s="10" t="s">
        <v>228</v>
      </c>
      <c r="C5" s="10" t="s">
        <v>229</v>
      </c>
      <c r="D5" s="10" t="s">
        <v>230</v>
      </c>
      <c r="E5" s="10" t="s">
        <v>231</v>
      </c>
    </row>
    <row r="6" spans="2:8">
      <c r="B6" s="10" t="s">
        <v>232</v>
      </c>
      <c r="C6" s="10" t="s">
        <v>233</v>
      </c>
      <c r="D6" s="10" t="s">
        <v>234</v>
      </c>
      <c r="E6" s="10" t="s">
        <v>227</v>
      </c>
    </row>
    <row r="7" spans="2:8">
      <c r="B7" s="46"/>
      <c r="C7" s="46"/>
      <c r="D7" s="46"/>
      <c r="E7" s="46"/>
      <c r="F7" s="47"/>
      <c r="G7" s="47"/>
    </row>
    <row r="8" spans="2:8">
      <c r="B8" s="46"/>
      <c r="C8" s="46"/>
      <c r="D8" s="46"/>
      <c r="E8" s="46"/>
      <c r="F8" s="47"/>
      <c r="G8" s="47"/>
    </row>
    <row r="9" spans="2:8">
      <c r="B9" s="46"/>
      <c r="C9" s="46"/>
      <c r="D9" s="46"/>
      <c r="E9" s="46"/>
      <c r="F9" s="47"/>
      <c r="G9" s="47"/>
    </row>
    <row r="10" spans="2:8">
      <c r="B10" s="46"/>
      <c r="C10" s="46"/>
      <c r="D10" s="46"/>
      <c r="E10" s="46"/>
      <c r="F10" s="47"/>
      <c r="G10" s="47"/>
    </row>
    <row r="11" spans="2:8">
      <c r="B11" s="46"/>
      <c r="C11" s="46"/>
      <c r="D11" s="46"/>
      <c r="E11" s="46"/>
      <c r="F11" s="47"/>
      <c r="G11" s="47"/>
    </row>
    <row r="12" spans="2:8">
      <c r="B12" s="46"/>
      <c r="C12" s="46"/>
      <c r="D12" s="46"/>
      <c r="E12" s="46"/>
      <c r="F12" s="47"/>
      <c r="G12" s="47"/>
    </row>
    <row r="13" spans="2:8">
      <c r="B13" s="10"/>
      <c r="C13" s="10"/>
      <c r="D13" s="10"/>
      <c r="E13" s="10"/>
    </row>
    <row r="14" spans="2:8">
      <c r="B14" s="10"/>
      <c r="C14" s="10"/>
      <c r="D14" s="10"/>
      <c r="E14" s="10"/>
    </row>
    <row r="15" spans="2:8">
      <c r="B15" s="10"/>
      <c r="C15" s="10"/>
      <c r="D15" s="10"/>
      <c r="E15" s="10"/>
    </row>
    <row r="16" spans="2:8">
      <c r="B16" s="10"/>
      <c r="C16" s="10"/>
      <c r="D16" s="10"/>
      <c r="E16" s="10"/>
    </row>
    <row r="17" spans="2:5">
      <c r="B17" s="10"/>
      <c r="C17" s="10"/>
      <c r="D17" s="10"/>
      <c r="E17" s="10"/>
    </row>
  </sheetData>
  <mergeCells count="1">
    <mergeCell ref="B1:D1"/>
  </mergeCells>
  <phoneticPr fontId="3" type="noConversion"/>
  <pageMargins left="0.75" right="0.75" top="1" bottom="1" header="0.5" footer="0.5"/>
  <pageSetup paperSize="9" orientation="portrait" r:id="rId1"/>
  <headerFooter alignWithMargins="0"/>
  <ignoredErrors>
    <ignoredError sqref="B4:C6" numberStoredAsText="1"/>
  </ignoredError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5</xdr:col>
                <xdr:colOff>247650</xdr:colOff>
                <xdr:row>2</xdr:row>
                <xdr:rowOff>0</xdr:rowOff>
              </from>
              <to>
                <xdr:col>6</xdr:col>
                <xdr:colOff>571500</xdr:colOff>
                <xdr:row>3</xdr:row>
                <xdr:rowOff>142875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2017-08-29T09:54:32Z</dcterms:created>
  <dcterms:modified xsi:type="dcterms:W3CDTF">2019-09-06T09:05:46Z</dcterms:modified>
</cp:coreProperties>
</file>