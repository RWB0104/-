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50" windowWidth="26715" windowHeight="12720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'기본작업-2'!$A$19:$H$26</definedName>
    <definedName name="_xlnm.Criteria" localSheetId="1">'기본작업-2'!$A$29:$C$31</definedName>
    <definedName name="_xlnm.Extract" localSheetId="1">'기본작업-2'!$A$34:$H$34</definedName>
    <definedName name="_xlnm.Print_Area" localSheetId="1">'기본작업-2'!$A$1:$I$12</definedName>
  </definedNames>
  <calcPr calcId="145621"/>
  <pivotCaches>
    <pivotCache cacheId="2" r:id="rId8"/>
  </pivotCaches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D9" i="6"/>
  <c r="C9" i="6"/>
  <c r="E8" i="6"/>
  <c r="E7" i="6"/>
  <c r="E6" i="6"/>
  <c r="E9" i="6" s="1"/>
  <c r="E5" i="6"/>
  <c r="E4" i="6"/>
  <c r="E3" i="6"/>
  <c r="G10" i="5"/>
  <c r="D10" i="5"/>
  <c r="D9" i="5"/>
  <c r="G9" i="5" s="1"/>
  <c r="G8" i="5"/>
  <c r="D8" i="5"/>
  <c r="D7" i="5"/>
  <c r="D6" i="5"/>
  <c r="G6" i="5" s="1"/>
  <c r="D5" i="5"/>
  <c r="G5" i="5" s="1"/>
  <c r="D4" i="5"/>
  <c r="G4" i="5" s="1"/>
  <c r="D3" i="5"/>
  <c r="G3" i="5" s="1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I46" i="3"/>
  <c r="H46" i="3"/>
  <c r="I45" i="3"/>
  <c r="H45" i="3"/>
  <c r="I44" i="3"/>
  <c r="H44" i="3"/>
  <c r="I43" i="3"/>
  <c r="H43" i="3"/>
  <c r="I42" i="3"/>
  <c r="H42" i="3"/>
  <c r="I41" i="3"/>
  <c r="H41" i="3"/>
  <c r="I40" i="3"/>
  <c r="H40" i="3"/>
  <c r="I39" i="3"/>
  <c r="H39" i="3"/>
  <c r="I38" i="3"/>
  <c r="H38" i="3"/>
  <c r="I37" i="3"/>
  <c r="H37" i="3"/>
  <c r="B33" i="3" a="1"/>
  <c r="B33" i="3" s="1"/>
  <c r="B32" i="3" a="1"/>
  <c r="B32" i="3" s="1"/>
  <c r="B31" i="3" a="1"/>
  <c r="B31" i="3" s="1"/>
  <c r="B30" i="3" a="1"/>
  <c r="B30" i="3" s="1"/>
  <c r="F25" i="3"/>
  <c r="F24" i="3"/>
  <c r="F23" i="3"/>
  <c r="F22" i="3"/>
  <c r="F21" i="3"/>
  <c r="F20" i="3"/>
  <c r="F19" i="3"/>
  <c r="F18" i="3"/>
  <c r="I29" i="3" s="1"/>
  <c r="F17" i="3"/>
  <c r="K16" i="3" a="1"/>
  <c r="K17" i="3" s="1"/>
  <c r="F16" i="3"/>
  <c r="E12" i="3"/>
  <c r="E11" i="3"/>
  <c r="E10" i="3"/>
  <c r="E9" i="3"/>
  <c r="E8" i="3"/>
  <c r="E7" i="3"/>
  <c r="E6" i="3"/>
  <c r="E5" i="3"/>
  <c r="E4" i="3"/>
  <c r="E3" i="3"/>
  <c r="E12" i="2"/>
  <c r="D12" i="2"/>
  <c r="H11" i="2"/>
  <c r="G11" i="2"/>
  <c r="I11" i="2" s="1"/>
  <c r="F11" i="2"/>
  <c r="H10" i="2"/>
  <c r="G10" i="2"/>
  <c r="I10" i="2" s="1"/>
  <c r="F10" i="2"/>
  <c r="H9" i="2"/>
  <c r="G9" i="2"/>
  <c r="I9" i="2" s="1"/>
  <c r="F9" i="2"/>
  <c r="H8" i="2"/>
  <c r="G8" i="2"/>
  <c r="I8" i="2" s="1"/>
  <c r="F8" i="2"/>
  <c r="H7" i="2"/>
  <c r="G7" i="2"/>
  <c r="I7" i="2" s="1"/>
  <c r="F7" i="2"/>
  <c r="H6" i="2"/>
  <c r="G6" i="2"/>
  <c r="I6" i="2" s="1"/>
  <c r="F6" i="2"/>
  <c r="H5" i="2"/>
  <c r="H12" i="2" s="1"/>
  <c r="G5" i="2"/>
  <c r="G12" i="2" s="1"/>
  <c r="F5" i="2"/>
  <c r="G16" i="3"/>
  <c r="G25" i="3"/>
  <c r="G23" i="3"/>
  <c r="G21" i="3"/>
  <c r="G19" i="3"/>
  <c r="G17" i="3"/>
  <c r="G24" i="3"/>
  <c r="G22" i="3"/>
  <c r="G20" i="3"/>
  <c r="G18" i="3"/>
  <c r="F12" i="2" l="1"/>
  <c r="K19" i="3"/>
  <c r="K25" i="3"/>
  <c r="K16" i="3"/>
  <c r="K20" i="3"/>
  <c r="I5" i="2"/>
  <c r="K18" i="3"/>
</calcChain>
</file>

<file path=xl/sharedStrings.xml><?xml version="1.0" encoding="utf-8"?>
<sst xmlns="http://schemas.openxmlformats.org/spreadsheetml/2006/main" count="411" uniqueCount="308">
  <si>
    <t>입사일별 사원관리</t>
    <phoneticPr fontId="6" type="noConversion"/>
  </si>
  <si>
    <t>[표1]</t>
    <phoneticPr fontId="6" type="noConversion"/>
  </si>
  <si>
    <t>부서별 비품관리</t>
    <phoneticPr fontId="6" type="noConversion"/>
  </si>
  <si>
    <t>부서</t>
    <phoneticPr fontId="6" type="noConversion"/>
  </si>
  <si>
    <t>비품</t>
    <phoneticPr fontId="6" type="noConversion"/>
  </si>
  <si>
    <t>지급일</t>
    <phoneticPr fontId="6" type="noConversion"/>
  </si>
  <si>
    <t>보유량</t>
    <phoneticPr fontId="6" type="noConversion"/>
  </si>
  <si>
    <t>요청량</t>
    <phoneticPr fontId="6" type="noConversion"/>
  </si>
  <si>
    <t>사용연수</t>
    <phoneticPr fontId="6" type="noConversion"/>
  </si>
  <si>
    <t>합계</t>
    <phoneticPr fontId="6" type="noConversion"/>
  </si>
  <si>
    <t>금액</t>
    <phoneticPr fontId="6" type="noConversion"/>
  </si>
  <si>
    <t>순위</t>
    <phoneticPr fontId="6" type="noConversion"/>
  </si>
  <si>
    <t>기획팀</t>
    <phoneticPr fontId="6" type="noConversion"/>
  </si>
  <si>
    <t>A</t>
    <phoneticPr fontId="6" type="noConversion"/>
  </si>
  <si>
    <t>관리팀</t>
    <phoneticPr fontId="6" type="noConversion"/>
  </si>
  <si>
    <t>B</t>
    <phoneticPr fontId="6" type="noConversion"/>
  </si>
  <si>
    <t>총무팀</t>
    <phoneticPr fontId="6" type="noConversion"/>
  </si>
  <si>
    <t>인사팀</t>
    <phoneticPr fontId="6" type="noConversion"/>
  </si>
  <si>
    <t>A</t>
    <phoneticPr fontId="6" type="noConversion"/>
  </si>
  <si>
    <t>회계팀</t>
    <phoneticPr fontId="6" type="noConversion"/>
  </si>
  <si>
    <t>경영지원팀</t>
    <phoneticPr fontId="6" type="noConversion"/>
  </si>
  <si>
    <t>감사팀</t>
    <phoneticPr fontId="6" type="noConversion"/>
  </si>
  <si>
    <t>C</t>
    <phoneticPr fontId="6" type="noConversion"/>
  </si>
  <si>
    <t>합계</t>
    <phoneticPr fontId="6" type="noConversion"/>
  </si>
  <si>
    <t>[표2]</t>
    <phoneticPr fontId="6" type="noConversion"/>
  </si>
  <si>
    <t>정심회 회원 연락처</t>
    <phoneticPr fontId="6" type="noConversion"/>
  </si>
  <si>
    <t>사원번호</t>
    <phoneticPr fontId="6" type="noConversion"/>
  </si>
  <si>
    <t>소속부서</t>
    <phoneticPr fontId="6" type="noConversion"/>
  </si>
  <si>
    <t>직위</t>
    <phoneticPr fontId="6" type="noConversion"/>
  </si>
  <si>
    <t>이름</t>
    <phoneticPr fontId="6" type="noConversion"/>
  </si>
  <si>
    <t>입사일</t>
    <phoneticPr fontId="6" type="noConversion"/>
  </si>
  <si>
    <t>자택전화</t>
    <phoneticPr fontId="6" type="noConversion"/>
  </si>
  <si>
    <t>ID</t>
    <phoneticPr fontId="6" type="noConversion"/>
  </si>
  <si>
    <t>연령</t>
    <phoneticPr fontId="6" type="noConversion"/>
  </si>
  <si>
    <t>B-20205</t>
    <phoneticPr fontId="6" type="noConversion"/>
  </si>
  <si>
    <t>관리부</t>
    <phoneticPr fontId="6" type="noConversion"/>
  </si>
  <si>
    <t>과장</t>
    <phoneticPr fontId="6" type="noConversion"/>
  </si>
  <si>
    <t>윤광수</t>
    <phoneticPr fontId="6" type="noConversion"/>
  </si>
  <si>
    <t>234-0988</t>
    <phoneticPr fontId="6" type="noConversion"/>
  </si>
  <si>
    <t>sun-1</t>
    <phoneticPr fontId="6" type="noConversion"/>
  </si>
  <si>
    <t>B-20206</t>
    <phoneticPr fontId="6" type="noConversion"/>
  </si>
  <si>
    <t>업무부</t>
    <phoneticPr fontId="6" type="noConversion"/>
  </si>
  <si>
    <t>대리</t>
    <phoneticPr fontId="6" type="noConversion"/>
  </si>
  <si>
    <t>최석훈</t>
    <phoneticPr fontId="6" type="noConversion"/>
  </si>
  <si>
    <t>887-9928</t>
    <phoneticPr fontId="6" type="noConversion"/>
  </si>
  <si>
    <t>sun-2</t>
    <phoneticPr fontId="6" type="noConversion"/>
  </si>
  <si>
    <t>B-20207</t>
    <phoneticPr fontId="6" type="noConversion"/>
  </si>
  <si>
    <t>기획조정실</t>
    <phoneticPr fontId="6" type="noConversion"/>
  </si>
  <si>
    <t>사원</t>
    <phoneticPr fontId="6" type="noConversion"/>
  </si>
  <si>
    <t>김명윤</t>
    <phoneticPr fontId="6" type="noConversion"/>
  </si>
  <si>
    <t>231-2232</t>
    <phoneticPr fontId="6" type="noConversion"/>
  </si>
  <si>
    <t>sun-3</t>
    <phoneticPr fontId="6" type="noConversion"/>
  </si>
  <si>
    <t>C-00101</t>
    <phoneticPr fontId="6" type="noConversion"/>
  </si>
  <si>
    <t>박경미</t>
    <phoneticPr fontId="6" type="noConversion"/>
  </si>
  <si>
    <t>231-2233</t>
    <phoneticPr fontId="6" type="noConversion"/>
  </si>
  <si>
    <t>moon-1</t>
    <phoneticPr fontId="6" type="noConversion"/>
  </si>
  <si>
    <t>C-00102</t>
    <phoneticPr fontId="6" type="noConversion"/>
  </si>
  <si>
    <t>박은경</t>
    <phoneticPr fontId="6" type="noConversion"/>
  </si>
  <si>
    <t>231-2234</t>
    <phoneticPr fontId="6" type="noConversion"/>
  </si>
  <si>
    <t>moon-2</t>
    <phoneticPr fontId="6" type="noConversion"/>
  </si>
  <si>
    <t>C-00103</t>
    <phoneticPr fontId="6" type="noConversion"/>
  </si>
  <si>
    <t>박동수</t>
    <phoneticPr fontId="6" type="noConversion"/>
  </si>
  <si>
    <t>231-2235</t>
    <phoneticPr fontId="6" type="noConversion"/>
  </si>
  <si>
    <t>moon-3</t>
    <phoneticPr fontId="6" type="noConversion"/>
  </si>
  <si>
    <t>A-20114</t>
    <phoneticPr fontId="6" type="noConversion"/>
  </si>
  <si>
    <t>김유신</t>
    <phoneticPr fontId="6" type="noConversion"/>
  </si>
  <si>
    <t>231-2236</t>
    <phoneticPr fontId="6" type="noConversion"/>
  </si>
  <si>
    <t>moon-4</t>
    <phoneticPr fontId="6" type="noConversion"/>
  </si>
  <si>
    <t>소속부서</t>
    <phoneticPr fontId="5" type="noConversion"/>
  </si>
  <si>
    <t>직위</t>
    <phoneticPr fontId="5" type="noConversion"/>
  </si>
  <si>
    <t>연령</t>
    <phoneticPr fontId="5" type="noConversion"/>
  </si>
  <si>
    <t>업무부</t>
    <phoneticPr fontId="5" type="noConversion"/>
  </si>
  <si>
    <t>대리</t>
    <phoneticPr fontId="5" type="noConversion"/>
  </si>
  <si>
    <t>&lt;=25</t>
    <phoneticPr fontId="5" type="noConversion"/>
  </si>
  <si>
    <t>[표1]</t>
    <phoneticPr fontId="6" type="noConversion"/>
  </si>
  <si>
    <t>상품구내 내역</t>
    <phoneticPr fontId="6" type="noConversion"/>
  </si>
  <si>
    <t>대리점</t>
  </si>
  <si>
    <t>상품코드</t>
  </si>
  <si>
    <t>상품명</t>
  </si>
  <si>
    <t>수량</t>
  </si>
  <si>
    <t>할인가격</t>
    <phoneticPr fontId="6" type="noConversion"/>
  </si>
  <si>
    <t>[표2]</t>
    <phoneticPr fontId="6" type="noConversion"/>
  </si>
  <si>
    <t>상품 구성표</t>
    <phoneticPr fontId="6" type="noConversion"/>
  </si>
  <si>
    <t>영등포</t>
  </si>
  <si>
    <t>MW01</t>
    <phoneticPr fontId="6" type="noConversion"/>
  </si>
  <si>
    <t>마우스</t>
  </si>
  <si>
    <t>코드</t>
    <phoneticPr fontId="6" type="noConversion"/>
  </si>
  <si>
    <t>MW</t>
    <phoneticPr fontId="6" type="noConversion"/>
  </si>
  <si>
    <t>MI</t>
    <phoneticPr fontId="6" type="noConversion"/>
  </si>
  <si>
    <t>MD</t>
    <phoneticPr fontId="6" type="noConversion"/>
  </si>
  <si>
    <t>KB</t>
    <phoneticPr fontId="6" type="noConversion"/>
  </si>
  <si>
    <t>용산</t>
  </si>
  <si>
    <t>MI01</t>
    <phoneticPr fontId="6" type="noConversion"/>
  </si>
  <si>
    <t>메인보드</t>
  </si>
  <si>
    <t>단가</t>
    <phoneticPr fontId="6" type="noConversion"/>
  </si>
  <si>
    <t>명동</t>
  </si>
  <si>
    <t>MI07</t>
    <phoneticPr fontId="6" type="noConversion"/>
  </si>
  <si>
    <t>할인율</t>
    <phoneticPr fontId="6" type="noConversion"/>
  </si>
  <si>
    <t>MD02</t>
    <phoneticPr fontId="6" type="noConversion"/>
  </si>
  <si>
    <t>모뎀</t>
  </si>
  <si>
    <t>MW02</t>
    <phoneticPr fontId="6" type="noConversion"/>
  </si>
  <si>
    <t>MW07</t>
    <phoneticPr fontId="6" type="noConversion"/>
  </si>
  <si>
    <t>하드디스크</t>
  </si>
  <si>
    <t>MD05</t>
    <phoneticPr fontId="6" type="noConversion"/>
  </si>
  <si>
    <t>KB03</t>
    <phoneticPr fontId="6" type="noConversion"/>
  </si>
  <si>
    <t>키보드</t>
  </si>
  <si>
    <t>KB05</t>
    <phoneticPr fontId="6" type="noConversion"/>
  </si>
  <si>
    <t>MW03</t>
    <phoneticPr fontId="6" type="noConversion"/>
  </si>
  <si>
    <t>[표3]</t>
    <phoneticPr fontId="6" type="noConversion"/>
  </si>
  <si>
    <t>2003년 성적 현황</t>
    <phoneticPr fontId="6" type="noConversion"/>
  </si>
  <si>
    <t>[표4]</t>
    <phoneticPr fontId="6" type="noConversion"/>
  </si>
  <si>
    <t>학년</t>
    <phoneticPr fontId="6" type="noConversion"/>
  </si>
  <si>
    <t>성명</t>
    <phoneticPr fontId="6" type="noConversion"/>
  </si>
  <si>
    <t>국어</t>
    <phoneticPr fontId="6" type="noConversion"/>
  </si>
  <si>
    <t>영어</t>
    <phoneticPr fontId="6" type="noConversion"/>
  </si>
  <si>
    <t>수학</t>
    <phoneticPr fontId="6" type="noConversion"/>
  </si>
  <si>
    <t>총점</t>
    <phoneticPr fontId="6" type="noConversion"/>
  </si>
  <si>
    <t>평점</t>
    <phoneticPr fontId="6" type="noConversion"/>
  </si>
  <si>
    <t>범위</t>
    <phoneticPr fontId="6" type="noConversion"/>
  </si>
  <si>
    <t>인원수</t>
    <phoneticPr fontId="6" type="noConversion"/>
  </si>
  <si>
    <t>김수정</t>
    <phoneticPr fontId="6" type="noConversion"/>
  </si>
  <si>
    <t>박정호</t>
    <phoneticPr fontId="6" type="noConversion"/>
  </si>
  <si>
    <t>최아름</t>
    <phoneticPr fontId="6" type="noConversion"/>
  </si>
  <si>
    <t>박진수</t>
    <phoneticPr fontId="6" type="noConversion"/>
  </si>
  <si>
    <t>이영호</t>
    <phoneticPr fontId="6" type="noConversion"/>
  </si>
  <si>
    <t>권민수</t>
    <phoneticPr fontId="6" type="noConversion"/>
  </si>
  <si>
    <t>이강호</t>
    <phoneticPr fontId="6" type="noConversion"/>
  </si>
  <si>
    <t>국어</t>
    <phoneticPr fontId="5" type="noConversion"/>
  </si>
  <si>
    <t>수학</t>
    <phoneticPr fontId="5" type="noConversion"/>
  </si>
  <si>
    <t>총점평균</t>
    <phoneticPr fontId="5" type="noConversion"/>
  </si>
  <si>
    <t>박동희</t>
    <phoneticPr fontId="6" type="noConversion"/>
  </si>
  <si>
    <t>&gt;=90</t>
    <phoneticPr fontId="5" type="noConversion"/>
  </si>
  <si>
    <t>서영수</t>
    <phoneticPr fontId="6" type="noConversion"/>
  </si>
  <si>
    <t>강남영</t>
    <phoneticPr fontId="6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</si>
  <si>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5]</t>
    </r>
    <phoneticPr fontId="6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</si>
  <si>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6] 2010년 이후에 임대 건물 평형</t>
    </r>
    <phoneticPr fontId="6" type="noConversion"/>
  </si>
  <si>
    <t>우수 학생들의 영어점수 평균</t>
    <phoneticPr fontId="6" type="noConversion"/>
  </si>
  <si>
    <t>건물이름</t>
  </si>
  <si>
    <t>최대값</t>
    <phoneticPr fontId="6" type="noConversion"/>
  </si>
  <si>
    <t>새천년빌딩</t>
  </si>
  <si>
    <t>예술빌딩</t>
  </si>
  <si>
    <t>월드빌딩</t>
  </si>
  <si>
    <t>한국빌딩</t>
  </si>
  <si>
    <t>[표7]</t>
    <phoneticPr fontId="6" type="noConversion"/>
  </si>
  <si>
    <t>임대번호</t>
  </si>
  <si>
    <t>건물번호</t>
  </si>
  <si>
    <t>평형</t>
  </si>
  <si>
    <t>보증금액</t>
  </si>
  <si>
    <t>임대시작일</t>
  </si>
  <si>
    <t>임대종료일</t>
  </si>
  <si>
    <t>임대기간</t>
    <phoneticPr fontId="6" type="noConversion"/>
  </si>
  <si>
    <t>누적개수</t>
    <phoneticPr fontId="6" type="noConversion"/>
  </si>
  <si>
    <t>A-002</t>
    <phoneticPr fontId="6" type="noConversion"/>
  </si>
  <si>
    <t>A-002</t>
  </si>
  <si>
    <t>Y-010</t>
    <phoneticPr fontId="5" type="noConversion"/>
  </si>
  <si>
    <t>Y-010</t>
    <phoneticPr fontId="6" type="noConversion"/>
  </si>
  <si>
    <t>Y-010</t>
    <phoneticPr fontId="6" type="noConversion"/>
  </si>
  <si>
    <t>W-017</t>
    <phoneticPr fontId="5" type="noConversion"/>
  </si>
  <si>
    <t>H-004</t>
    <phoneticPr fontId="6" type="noConversion"/>
  </si>
  <si>
    <t>H-004</t>
    <phoneticPr fontId="5" type="noConversion"/>
  </si>
  <si>
    <t>H-004</t>
    <phoneticPr fontId="5" type="noConversion"/>
  </si>
  <si>
    <t>동영대학교 성적 현황</t>
    <phoneticPr fontId="6" type="noConversion"/>
  </si>
  <si>
    <t>성명</t>
    <phoneticPr fontId="6" type="noConversion"/>
  </si>
  <si>
    <t>전공학과</t>
    <phoneticPr fontId="6" type="noConversion"/>
  </si>
  <si>
    <t>결석회수</t>
    <phoneticPr fontId="6" type="noConversion"/>
  </si>
  <si>
    <t>출석점수</t>
    <phoneticPr fontId="6" type="noConversion"/>
  </si>
  <si>
    <t>중간고사</t>
    <phoneticPr fontId="6" type="noConversion"/>
  </si>
  <si>
    <t>기말고사</t>
    <phoneticPr fontId="6" type="noConversion"/>
  </si>
  <si>
    <t>평점</t>
    <phoneticPr fontId="6" type="noConversion"/>
  </si>
  <si>
    <t>이미영</t>
    <phoneticPr fontId="6" type="noConversion"/>
  </si>
  <si>
    <t>컴퓨터</t>
    <phoneticPr fontId="6" type="noConversion"/>
  </si>
  <si>
    <t>구기자</t>
    <phoneticPr fontId="6" type="noConversion"/>
  </si>
  <si>
    <t>국문</t>
    <phoneticPr fontId="6" type="noConversion"/>
  </si>
  <si>
    <t>한명구</t>
    <phoneticPr fontId="6" type="noConversion"/>
  </si>
  <si>
    <t>경영</t>
    <phoneticPr fontId="6" type="noConversion"/>
  </si>
  <si>
    <t>사오정</t>
    <phoneticPr fontId="6" type="noConversion"/>
  </si>
  <si>
    <t>오동추</t>
    <phoneticPr fontId="6" type="noConversion"/>
  </si>
  <si>
    <t>컴퓨터</t>
    <phoneticPr fontId="6" type="noConversion"/>
  </si>
  <si>
    <t>윤수아</t>
    <phoneticPr fontId="6" type="noConversion"/>
  </si>
  <si>
    <t>김기자</t>
    <phoneticPr fontId="6" type="noConversion"/>
  </si>
  <si>
    <t>우주태</t>
    <phoneticPr fontId="6" type="noConversion"/>
  </si>
  <si>
    <t>한국사 성적 평가</t>
    <phoneticPr fontId="6" type="noConversion"/>
  </si>
  <si>
    <t>학번</t>
  </si>
  <si>
    <t>이름</t>
  </si>
  <si>
    <t>중간</t>
  </si>
  <si>
    <t>기말</t>
  </si>
  <si>
    <t>최종점수</t>
  </si>
  <si>
    <t>평가</t>
  </si>
  <si>
    <t>안덕구</t>
    <phoneticPr fontId="6" type="noConversion"/>
  </si>
  <si>
    <t>B</t>
  </si>
  <si>
    <t>이지형</t>
    <phoneticPr fontId="6" type="noConversion"/>
  </si>
  <si>
    <t>오두환</t>
    <phoneticPr fontId="6" type="noConversion"/>
  </si>
  <si>
    <t>A</t>
  </si>
  <si>
    <t>김오지</t>
    <phoneticPr fontId="6" type="noConversion"/>
  </si>
  <si>
    <t>D</t>
  </si>
  <si>
    <t>박철형</t>
    <phoneticPr fontId="6" type="noConversion"/>
  </si>
  <si>
    <t>유민한</t>
    <phoneticPr fontId="6" type="noConversion"/>
  </si>
  <si>
    <t>평균</t>
  </si>
  <si>
    <t>통신 요금 내역</t>
    <phoneticPr fontId="6" type="noConversion"/>
  </si>
  <si>
    <t>[표1]</t>
    <phoneticPr fontId="5" type="noConversion"/>
  </si>
  <si>
    <t>고객번호</t>
    <phoneticPr fontId="6" type="noConversion"/>
  </si>
  <si>
    <t>고객 종류명</t>
    <phoneticPr fontId="6" type="noConversion"/>
  </si>
  <si>
    <t>기본요금</t>
    <phoneticPr fontId="5" type="noConversion"/>
  </si>
  <si>
    <t>사용시간</t>
    <phoneticPr fontId="6" type="noConversion"/>
  </si>
  <si>
    <t>청구금액</t>
    <phoneticPr fontId="5" type="noConversion"/>
  </si>
  <si>
    <t>sg512</t>
  </si>
  <si>
    <t>우수회원</t>
    <phoneticPr fontId="5" type="noConversion"/>
  </si>
  <si>
    <t>준회원</t>
    <phoneticPr fontId="5" type="noConversion"/>
  </si>
  <si>
    <t>ex365</t>
  </si>
  <si>
    <t>특별회원</t>
    <phoneticPr fontId="6" type="noConversion"/>
  </si>
  <si>
    <t>cx584</t>
  </si>
  <si>
    <t>정회원</t>
    <phoneticPr fontId="6" type="noConversion"/>
  </si>
  <si>
    <t>eg952</t>
  </si>
  <si>
    <t>단체</t>
    <phoneticPr fontId="6" type="noConversion"/>
  </si>
  <si>
    <t>사번</t>
  </si>
  <si>
    <t>입사일</t>
  </si>
  <si>
    <t>부서</t>
  </si>
  <si>
    <t>기본급</t>
  </si>
  <si>
    <t>수당</t>
  </si>
  <si>
    <t>연락처</t>
  </si>
  <si>
    <t>2014-0008</t>
  </si>
  <si>
    <t>이문열</t>
  </si>
  <si>
    <t>광고부</t>
  </si>
  <si>
    <t>635-6711</t>
  </si>
  <si>
    <t>2014-0016</t>
  </si>
  <si>
    <t>송연정</t>
  </si>
  <si>
    <t>판촉부</t>
  </si>
  <si>
    <t>354-8723</t>
  </si>
  <si>
    <t>2014-0003</t>
  </si>
  <si>
    <t>신영희</t>
  </si>
  <si>
    <t>기획부</t>
  </si>
  <si>
    <t>890-4569</t>
  </si>
  <si>
    <t>2014-0014</t>
  </si>
  <si>
    <t>이출하</t>
  </si>
  <si>
    <t>인사부</t>
  </si>
  <si>
    <t>846-7856</t>
  </si>
  <si>
    <t>2014-0015</t>
  </si>
  <si>
    <t>송명근</t>
  </si>
  <si>
    <t>유통부</t>
  </si>
  <si>
    <t>800-6543</t>
  </si>
  <si>
    <t>2014-0027</t>
  </si>
  <si>
    <t>문영래</t>
  </si>
  <si>
    <t>245-8800</t>
  </si>
  <si>
    <t>2015-0002</t>
  </si>
  <si>
    <t>이은희</t>
  </si>
  <si>
    <t>총무부</t>
  </si>
  <si>
    <t>556-0945</t>
  </si>
  <si>
    <t>순번</t>
  </si>
  <si>
    <t>날짜</t>
  </si>
  <si>
    <t>고객코드</t>
  </si>
  <si>
    <t>통화시간(초)</t>
  </si>
  <si>
    <t>요금코드</t>
  </si>
  <si>
    <t>요금(원)</t>
  </si>
  <si>
    <t>아I-057</t>
  </si>
  <si>
    <t>H-33</t>
  </si>
  <si>
    <t>라I-067</t>
  </si>
  <si>
    <t>T-51</t>
  </si>
  <si>
    <t>가D-077</t>
  </si>
  <si>
    <t>A-05</t>
  </si>
  <si>
    <t>아I-054</t>
  </si>
  <si>
    <t>C-01</t>
  </si>
  <si>
    <t>나F-075</t>
  </si>
  <si>
    <t>사E-074</t>
  </si>
  <si>
    <t>S-29</t>
  </si>
  <si>
    <t>G-17</t>
  </si>
  <si>
    <t>나D-053</t>
  </si>
  <si>
    <t>D-07</t>
  </si>
  <si>
    <t>다D-061</t>
  </si>
  <si>
    <t>S-28</t>
  </si>
  <si>
    <t>사B-072</t>
  </si>
  <si>
    <t>D-09</t>
  </si>
  <si>
    <t>H-31</t>
  </si>
  <si>
    <t>A-03</t>
  </si>
  <si>
    <t>라F-066</t>
  </si>
  <si>
    <t>T-38</t>
  </si>
  <si>
    <t>아B-078</t>
  </si>
  <si>
    <t>C-06</t>
  </si>
  <si>
    <t>아A-071</t>
  </si>
  <si>
    <t>S-30</t>
  </si>
  <si>
    <t>마F-059</t>
  </si>
  <si>
    <t>가A-055</t>
  </si>
  <si>
    <t>H-36</t>
  </si>
  <si>
    <t>자A-079</t>
  </si>
  <si>
    <t>C-07</t>
  </si>
  <si>
    <t>마B-076</t>
  </si>
  <si>
    <t>G-14</t>
  </si>
  <si>
    <t>J-21</t>
  </si>
  <si>
    <t>마H-064</t>
  </si>
  <si>
    <t>가I-063</t>
  </si>
  <si>
    <t>T-50</t>
  </si>
  <si>
    <t>J-20</t>
  </si>
  <si>
    <t>사A-073</t>
  </si>
  <si>
    <t>바A-062</t>
  </si>
  <si>
    <t>S-26</t>
  </si>
  <si>
    <t>자G-070</t>
  </si>
  <si>
    <t>T-49</t>
  </si>
  <si>
    <t>C-04</t>
  </si>
  <si>
    <t>(모두)</t>
  </si>
  <si>
    <t>총합계</t>
  </si>
  <si>
    <t>최소값 : 통화시간(초)</t>
  </si>
  <si>
    <t>최소값 : 요금(원)</t>
  </si>
  <si>
    <t>1-5</t>
  </si>
  <si>
    <t>6-10</t>
  </si>
  <si>
    <t>11-15</t>
  </si>
  <si>
    <t>16-20</t>
  </si>
  <si>
    <t>21-25</t>
  </si>
  <si>
    <t>26-30</t>
  </si>
  <si>
    <t>kk512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</si>
</sst>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76" formatCode="yyyy&quot;-&quot;mm&quot;-&quot;dd"/>
    <numFmt numFmtId="177" formatCode="#,##0_ "/>
    <numFmt numFmtId="178" formatCode="yyyy&quot;/&quot;mm&quot;/&quot;dd"/>
    <numFmt numFmtId="179" formatCode="0_);[Red]\(0\)"/>
    <numFmt numFmtId="180" formatCode="#,##0_);[Red]\(#,##0\)"/>
    <numFmt numFmtId="181" formatCode="dd\-mmm\-yy"/>
  </numFmts>
  <fonts count="1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sz val="15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5" fillId="0" borderId="0"/>
  </cellStyleXfs>
  <cellXfs count="95">
    <xf numFmtId="0" fontId="0" fillId="0" borderId="0" xfId="0">
      <alignment vertical="center"/>
    </xf>
    <xf numFmtId="0" fontId="4" fillId="0" borderId="0" xfId="2" applyFont="1"/>
    <xf numFmtId="0" fontId="4" fillId="0" borderId="1" xfId="2" applyFont="1" applyBorder="1" applyAlignment="1">
      <alignment horizontal="center"/>
    </xf>
    <xf numFmtId="0" fontId="4" fillId="0" borderId="2" xfId="2" applyFont="1" applyBorder="1" applyAlignment="1">
      <alignment horizontal="center"/>
    </xf>
    <xf numFmtId="0" fontId="4" fillId="0" borderId="3" xfId="2" applyFont="1" applyBorder="1" applyAlignment="1">
      <alignment horizontal="center"/>
    </xf>
    <xf numFmtId="0" fontId="4" fillId="0" borderId="4" xfId="2" applyFont="1" applyBorder="1" applyAlignment="1">
      <alignment horizontal="center"/>
    </xf>
    <xf numFmtId="0" fontId="4" fillId="0" borderId="5" xfId="2" applyFont="1" applyBorder="1" applyAlignment="1">
      <alignment horizontal="center"/>
    </xf>
    <xf numFmtId="176" fontId="4" fillId="0" borderId="5" xfId="2" applyNumberFormat="1" applyFont="1" applyBorder="1" applyAlignment="1">
      <alignment horizontal="center"/>
    </xf>
    <xf numFmtId="0" fontId="4" fillId="0" borderId="5" xfId="2" applyNumberFormat="1" applyFont="1" applyBorder="1" applyAlignment="1">
      <alignment horizontal="center"/>
    </xf>
    <xf numFmtId="177" fontId="4" fillId="0" borderId="5" xfId="2" applyNumberFormat="1" applyFont="1" applyBorder="1" applyAlignment="1">
      <alignment horizontal="center"/>
    </xf>
    <xf numFmtId="0" fontId="4" fillId="0" borderId="6" xfId="2" applyFont="1" applyBorder="1" applyAlignment="1">
      <alignment horizontal="center"/>
    </xf>
    <xf numFmtId="0" fontId="4" fillId="0" borderId="7" xfId="2" applyFont="1" applyBorder="1" applyAlignment="1">
      <alignment horizontal="center"/>
    </xf>
    <xf numFmtId="0" fontId="4" fillId="0" borderId="8" xfId="2" applyFont="1" applyBorder="1" applyAlignment="1">
      <alignment horizontal="center"/>
    </xf>
    <xf numFmtId="176" fontId="4" fillId="0" borderId="8" xfId="2" applyNumberFormat="1" applyFont="1" applyBorder="1" applyAlignment="1">
      <alignment horizontal="center"/>
    </xf>
    <xf numFmtId="0" fontId="4" fillId="0" borderId="9" xfId="2" applyFont="1" applyBorder="1" applyAlignment="1">
      <alignment horizontal="center"/>
    </xf>
    <xf numFmtId="0" fontId="4" fillId="0" borderId="10" xfId="2" applyFont="1" applyBorder="1" applyAlignment="1">
      <alignment horizontal="center"/>
    </xf>
    <xf numFmtId="176" fontId="4" fillId="0" borderId="10" xfId="2" applyNumberFormat="1" applyFont="1" applyBorder="1" applyAlignment="1">
      <alignment horizontal="center"/>
    </xf>
    <xf numFmtId="0" fontId="4" fillId="0" borderId="10" xfId="2" applyNumberFormat="1" applyFont="1" applyBorder="1" applyAlignment="1">
      <alignment horizontal="center"/>
    </xf>
    <xf numFmtId="177" fontId="4" fillId="0" borderId="10" xfId="2" applyNumberFormat="1" applyFont="1" applyBorder="1" applyAlignment="1">
      <alignment horizontal="center"/>
    </xf>
    <xf numFmtId="0" fontId="4" fillId="0" borderId="11" xfId="2" applyFont="1" applyBorder="1" applyAlignment="1">
      <alignment horizontal="center"/>
    </xf>
    <xf numFmtId="0" fontId="4" fillId="0" borderId="12" xfId="2" applyFont="1" applyBorder="1" applyAlignment="1">
      <alignment horizontal="center"/>
    </xf>
    <xf numFmtId="41" fontId="4" fillId="0" borderId="12" xfId="3" applyFont="1" applyBorder="1" applyAlignment="1">
      <alignment horizontal="center"/>
    </xf>
    <xf numFmtId="0" fontId="4" fillId="0" borderId="13" xfId="2" applyFont="1" applyBorder="1"/>
    <xf numFmtId="14" fontId="4" fillId="0" borderId="0" xfId="2" quotePrefix="1" applyNumberFormat="1" applyFont="1"/>
    <xf numFmtId="0" fontId="4" fillId="0" borderId="0" xfId="2" applyFont="1" applyFill="1"/>
    <xf numFmtId="0" fontId="4" fillId="0" borderId="0" xfId="2" applyFont="1" applyFill="1" applyBorder="1" applyAlignment="1">
      <alignment horizontal="left"/>
    </xf>
    <xf numFmtId="0" fontId="4" fillId="0" borderId="14" xfId="2" applyFont="1" applyFill="1" applyBorder="1" applyAlignment="1">
      <alignment horizontal="center"/>
    </xf>
    <xf numFmtId="0" fontId="8" fillId="0" borderId="14" xfId="2" applyFont="1" applyFill="1" applyBorder="1" applyAlignment="1">
      <alignment horizontal="center"/>
    </xf>
    <xf numFmtId="0" fontId="4" fillId="2" borderId="8" xfId="2" applyFont="1" applyFill="1" applyBorder="1" applyAlignment="1">
      <alignment horizontal="center"/>
    </xf>
    <xf numFmtId="0" fontId="4" fillId="0" borderId="8" xfId="2" applyFont="1" applyBorder="1"/>
    <xf numFmtId="0" fontId="4" fillId="0" borderId="14" xfId="2" applyFont="1" applyBorder="1" applyAlignment="1">
      <alignment horizontal="left"/>
    </xf>
    <xf numFmtId="0" fontId="8" fillId="0" borderId="14" xfId="2" applyFont="1" applyBorder="1" applyAlignment="1">
      <alignment horizontal="left"/>
    </xf>
    <xf numFmtId="0" fontId="4" fillId="0" borderId="8" xfId="2" applyFont="1" applyFill="1" applyBorder="1" applyAlignment="1">
      <alignment horizontal="center"/>
    </xf>
    <xf numFmtId="0" fontId="4" fillId="2" borderId="8" xfId="2" applyFont="1" applyFill="1" applyBorder="1"/>
    <xf numFmtId="0" fontId="4" fillId="0" borderId="8" xfId="2" applyFont="1" applyBorder="1" applyAlignment="1">
      <alignment horizontal="right"/>
    </xf>
    <xf numFmtId="0" fontId="4" fillId="0" borderId="8" xfId="2" applyFont="1" applyFill="1" applyBorder="1" applyAlignment="1">
      <alignment horizontal="right"/>
    </xf>
    <xf numFmtId="0" fontId="4" fillId="0" borderId="0" xfId="2" applyFont="1" applyBorder="1"/>
    <xf numFmtId="0" fontId="4" fillId="0" borderId="0" xfId="2" applyFont="1" applyBorder="1" applyAlignment="1">
      <alignment horizontal="center"/>
    </xf>
    <xf numFmtId="0" fontId="10" fillId="2" borderId="8" xfId="2" applyFont="1" applyFill="1" applyBorder="1" applyAlignment="1">
      <alignment horizontal="left"/>
    </xf>
    <xf numFmtId="0" fontId="4" fillId="2" borderId="8" xfId="2" applyFont="1" applyFill="1" applyBorder="1" applyAlignment="1">
      <alignment horizontal="left"/>
    </xf>
    <xf numFmtId="0" fontId="4" fillId="0" borderId="8" xfId="2" applyNumberFormat="1" applyFont="1" applyBorder="1" applyAlignment="1">
      <alignment horizontal="center"/>
    </xf>
    <xf numFmtId="0" fontId="4" fillId="0" borderId="14" xfId="2" applyFont="1" applyFill="1" applyBorder="1"/>
    <xf numFmtId="41" fontId="9" fillId="0" borderId="8" xfId="3" applyFont="1" applyBorder="1"/>
    <xf numFmtId="178" fontId="4" fillId="0" borderId="8" xfId="2" applyNumberFormat="1" applyFont="1" applyBorder="1"/>
    <xf numFmtId="41" fontId="9" fillId="0" borderId="8" xfId="3" applyFont="1" applyBorder="1" applyAlignment="1">
      <alignment horizontal="center"/>
    </xf>
    <xf numFmtId="0" fontId="4" fillId="0" borderId="0" xfId="2" applyFont="1" applyAlignment="1">
      <alignment vertical="center"/>
    </xf>
    <xf numFmtId="0" fontId="4" fillId="0" borderId="8" xfId="2" applyFont="1" applyFill="1" applyBorder="1" applyAlignment="1">
      <alignment horizontal="center" vertical="center"/>
    </xf>
    <xf numFmtId="0" fontId="4" fillId="0" borderId="8" xfId="2" applyFont="1" applyFill="1" applyBorder="1" applyAlignment="1">
      <alignment horizontal="center" vertical="center" wrapText="1"/>
    </xf>
    <xf numFmtId="179" fontId="4" fillId="0" borderId="8" xfId="2" applyNumberFormat="1" applyFont="1" applyFill="1" applyBorder="1" applyAlignment="1">
      <alignment horizontal="center" vertical="center" wrapText="1"/>
    </xf>
    <xf numFmtId="180" fontId="4" fillId="0" borderId="8" xfId="3" applyNumberFormat="1" applyFont="1" applyFill="1" applyBorder="1" applyAlignment="1">
      <alignment horizontal="center" vertical="center"/>
    </xf>
    <xf numFmtId="179" fontId="4" fillId="0" borderId="8" xfId="3" applyNumberFormat="1" applyFont="1" applyFill="1" applyBorder="1" applyAlignment="1">
      <alignment horizontal="right" vertical="center"/>
    </xf>
    <xf numFmtId="179" fontId="4" fillId="0" borderId="8" xfId="4" applyNumberFormat="1" applyFont="1" applyFill="1" applyBorder="1" applyAlignment="1">
      <alignment horizontal="right" vertical="center"/>
    </xf>
    <xf numFmtId="179" fontId="4" fillId="0" borderId="8" xfId="3" applyNumberFormat="1" applyFont="1" applyBorder="1" applyAlignment="1">
      <alignment horizontal="right" vertical="center"/>
    </xf>
    <xf numFmtId="0" fontId="4" fillId="0" borderId="0" xfId="2" applyFont="1" applyFill="1" applyBorder="1" applyAlignment="1">
      <alignment horizontal="center"/>
    </xf>
    <xf numFmtId="1" fontId="4" fillId="0" borderId="8" xfId="2" applyNumberFormat="1" applyFont="1" applyBorder="1" applyAlignment="1">
      <alignment horizontal="center"/>
    </xf>
    <xf numFmtId="0" fontId="4" fillId="0" borderId="17" xfId="2" applyFont="1" applyBorder="1" applyAlignment="1">
      <alignment horizontal="center"/>
    </xf>
    <xf numFmtId="0" fontId="4" fillId="0" borderId="15" xfId="2" applyFont="1" applyBorder="1" applyAlignment="1">
      <alignment horizontal="center"/>
    </xf>
    <xf numFmtId="0" fontId="12" fillId="0" borderId="0" xfId="2" applyFont="1"/>
    <xf numFmtId="0" fontId="8" fillId="0" borderId="11" xfId="2" applyFont="1" applyBorder="1" applyAlignment="1">
      <alignment horizontal="center"/>
    </xf>
    <xf numFmtId="0" fontId="8" fillId="0" borderId="12" xfId="2" applyFont="1" applyBorder="1" applyAlignment="1">
      <alignment horizontal="center"/>
    </xf>
    <xf numFmtId="0" fontId="8" fillId="0" borderId="18" xfId="2" applyFont="1" applyBorder="1" applyAlignment="1">
      <alignment horizontal="center"/>
    </xf>
    <xf numFmtId="0" fontId="8" fillId="0" borderId="13" xfId="2" applyFont="1" applyBorder="1" applyAlignment="1">
      <alignment horizontal="center"/>
    </xf>
    <xf numFmtId="0" fontId="4" fillId="0" borderId="5" xfId="2" applyFont="1" applyBorder="1"/>
    <xf numFmtId="41" fontId="4" fillId="0" borderId="5" xfId="1" applyFont="1" applyBorder="1" applyAlignment="1"/>
    <xf numFmtId="41" fontId="4" fillId="0" borderId="8" xfId="1" applyFont="1" applyBorder="1" applyAlignment="1"/>
    <xf numFmtId="0" fontId="13" fillId="0" borderId="0" xfId="2" applyFont="1"/>
    <xf numFmtId="0" fontId="0" fillId="4" borderId="19" xfId="0" applyFont="1" applyFill="1" applyBorder="1">
      <alignment vertical="center"/>
    </xf>
    <xf numFmtId="0" fontId="0" fillId="4" borderId="20" xfId="0" applyFont="1" applyFill="1" applyBorder="1">
      <alignment vertical="center"/>
    </xf>
    <xf numFmtId="22" fontId="0" fillId="4" borderId="20" xfId="0" applyNumberFormat="1" applyFont="1" applyFill="1" applyBorder="1">
      <alignment vertical="center"/>
    </xf>
    <xf numFmtId="0" fontId="0" fillId="4" borderId="21" xfId="0" applyFont="1" applyFill="1" applyBorder="1">
      <alignment vertical="center"/>
    </xf>
    <xf numFmtId="0" fontId="2" fillId="3" borderId="22" xfId="0" applyFont="1" applyFill="1" applyBorder="1">
      <alignment vertical="center"/>
    </xf>
    <xf numFmtId="0" fontId="2" fillId="3" borderId="23" xfId="0" applyFont="1" applyFill="1" applyBorder="1">
      <alignment vertical="center"/>
    </xf>
    <xf numFmtId="0" fontId="2" fillId="3" borderId="24" xfId="0" applyFont="1" applyFill="1" applyBorder="1">
      <alignment vertical="center"/>
    </xf>
    <xf numFmtId="0" fontId="0" fillId="4" borderId="22" xfId="0" applyFont="1" applyFill="1" applyBorder="1">
      <alignment vertical="center"/>
    </xf>
    <xf numFmtId="0" fontId="0" fillId="4" borderId="23" xfId="0" applyFont="1" applyFill="1" applyBorder="1">
      <alignment vertical="center"/>
    </xf>
    <xf numFmtId="22" fontId="0" fillId="4" borderId="23" xfId="0" applyNumberFormat="1" applyFont="1" applyFill="1" applyBorder="1">
      <alignment vertical="center"/>
    </xf>
    <xf numFmtId="0" fontId="0" fillId="4" borderId="24" xfId="0" applyFont="1" applyFill="1" applyBorder="1">
      <alignment vertical="center"/>
    </xf>
    <xf numFmtId="0" fontId="0" fillId="0" borderId="22" xfId="0" applyFont="1" applyBorder="1">
      <alignment vertical="center"/>
    </xf>
    <xf numFmtId="0" fontId="0" fillId="0" borderId="23" xfId="0" applyFont="1" applyBorder="1">
      <alignment vertical="center"/>
    </xf>
    <xf numFmtId="22" fontId="0" fillId="0" borderId="23" xfId="0" applyNumberFormat="1" applyFont="1" applyBorder="1">
      <alignment vertical="center"/>
    </xf>
    <xf numFmtId="0" fontId="0" fillId="0" borderId="24" xfId="0" applyFont="1" applyBorder="1">
      <alignment vertical="center"/>
    </xf>
    <xf numFmtId="0" fontId="14" fillId="5" borderId="25" xfId="5" applyFont="1" applyFill="1" applyBorder="1" applyAlignment="1">
      <alignment horizontal="center"/>
    </xf>
    <xf numFmtId="0" fontId="14" fillId="0" borderId="26" xfId="5" applyFont="1" applyFill="1" applyBorder="1" applyAlignment="1">
      <alignment horizontal="center" wrapText="1"/>
    </xf>
    <xf numFmtId="181" fontId="14" fillId="0" borderId="26" xfId="5" applyNumberFormat="1" applyFont="1" applyFill="1" applyBorder="1" applyAlignment="1">
      <alignment horizontal="center" wrapText="1"/>
    </xf>
    <xf numFmtId="41" fontId="14" fillId="0" borderId="26" xfId="1" applyFont="1" applyFill="1" applyBorder="1" applyAlignment="1">
      <alignment horizont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7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4" fillId="0" borderId="15" xfId="2" applyFont="1" applyBorder="1" applyAlignment="1">
      <alignment horizontal="center"/>
    </xf>
    <xf numFmtId="0" fontId="4" fillId="0" borderId="16" xfId="2" applyFont="1" applyBorder="1" applyAlignment="1">
      <alignment horizontal="center"/>
    </xf>
    <xf numFmtId="0" fontId="4" fillId="0" borderId="0" xfId="2" applyFont="1" applyFill="1" applyBorder="1" applyAlignment="1">
      <alignment horizontal="center"/>
    </xf>
    <xf numFmtId="0" fontId="11" fillId="0" borderId="14" xfId="2" applyFont="1" applyBorder="1" applyAlignment="1">
      <alignment horizontal="center" vertical="center"/>
    </xf>
  </cellXfs>
  <cellStyles count="6">
    <cellStyle name="백분율 2" xfId="4"/>
    <cellStyle name="쉼표 [0]" xfId="1" builtinId="6"/>
    <cellStyle name="쉼표 [0] 2" xfId="3"/>
    <cellStyle name="표준" xfId="0" builtinId="0"/>
    <cellStyle name="표준 2" xfId="2"/>
    <cellStyle name="표준_분석작업-1" xfId="5"/>
  </cellStyles>
  <dxfs count="1"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한국사 성적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'기타작업-1'!$B$3:$B$8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'기타작업-1'!$C$3:$C$8</c:f>
              <c:numCache>
                <c:formatCode>General</c:formatCode>
                <c:ptCount val="6"/>
                <c:pt idx="0">
                  <c:v>67</c:v>
                </c:pt>
                <c:pt idx="1">
                  <c:v>98</c:v>
                </c:pt>
                <c:pt idx="2">
                  <c:v>88</c:v>
                </c:pt>
                <c:pt idx="3">
                  <c:v>83</c:v>
                </c:pt>
                <c:pt idx="4">
                  <c:v>65</c:v>
                </c:pt>
                <c:pt idx="5">
                  <c:v>85</c:v>
                </c:pt>
              </c:numCache>
            </c:numRef>
          </c:val>
        </c:ser>
        <c:ser>
          <c:idx val="2"/>
          <c:order val="2"/>
          <c:tx>
            <c:strRef>
              <c:f>'기타작업-1'!$E$2</c:f>
              <c:strCache>
                <c:ptCount val="1"/>
                <c:pt idx="0">
                  <c:v>최종점수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'기타작업-1'!$B$3:$B$8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'기타작업-1'!$E$3:$E$8</c:f>
              <c:numCache>
                <c:formatCode>0</c:formatCode>
                <c:ptCount val="6"/>
                <c:pt idx="0">
                  <c:v>71.5</c:v>
                </c:pt>
                <c:pt idx="1">
                  <c:v>96.5</c:v>
                </c:pt>
                <c:pt idx="2">
                  <c:v>72</c:v>
                </c:pt>
                <c:pt idx="3">
                  <c:v>80.5</c:v>
                </c:pt>
                <c:pt idx="4">
                  <c:v>71</c:v>
                </c:pt>
                <c:pt idx="5">
                  <c:v>88.5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50"/>
        <c:axId val="41644416"/>
        <c:axId val="41646720"/>
      </c:barChart>
      <c:lineChart>
        <c:grouping val="standard"/>
        <c:varyColors val="0"/>
        <c:ser>
          <c:idx val="1"/>
          <c:order val="1"/>
          <c:tx>
            <c:strRef>
              <c:f>'기타작업-1'!$D$2</c:f>
              <c:strCache>
                <c:ptCount val="1"/>
                <c:pt idx="0">
                  <c:v>기말</c:v>
                </c:pt>
              </c:strCache>
            </c:strRef>
          </c:tx>
          <c:marker>
            <c:symbol val="circle"/>
            <c:size val="7"/>
          </c:marker>
          <c:dLbls>
            <c:dLbl>
              <c:idx val="2"/>
              <c:layout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'기타작업-1'!$B$3:$B$9</c:f>
              <c:strCache>
                <c:ptCount val="7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  <c:pt idx="6">
                  <c:v>평균</c:v>
                </c:pt>
              </c:strCache>
            </c:strRef>
          </c:cat>
          <c:val>
            <c:numRef>
              <c:f>'기타작업-1'!$D$3:$D$8</c:f>
              <c:numCache>
                <c:formatCode>General</c:formatCode>
                <c:ptCount val="6"/>
                <c:pt idx="0">
                  <c:v>76</c:v>
                </c:pt>
                <c:pt idx="1">
                  <c:v>95</c:v>
                </c:pt>
                <c:pt idx="2">
                  <c:v>56</c:v>
                </c:pt>
                <c:pt idx="3">
                  <c:v>78</c:v>
                </c:pt>
                <c:pt idx="4">
                  <c:v>77</c:v>
                </c:pt>
                <c:pt idx="5">
                  <c:v>92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4416"/>
        <c:axId val="41646720"/>
      </c:lineChart>
      <c:catAx>
        <c:axId val="41644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이름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646720"/>
        <c:crosses val="autoZero"/>
        <c:auto val="1"/>
        <c:lblAlgn val="ctr"/>
        <c:lblOffset val="100"/>
        <c:noMultiLvlLbl val="0"/>
      </c:catAx>
      <c:valAx>
        <c:axId val="41646720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점수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1644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조건부서식" textlink="">
      <xdr:nvSpPr>
        <xdr:cNvPr id="2" name="직사각형 1"/>
        <xdr:cNvSpPr/>
      </xdr:nvSpPr>
      <xdr:spPr>
        <a:xfrm>
          <a:off x="5095875" y="219075"/>
          <a:ext cx="13716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조건부 서식 실행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9524</xdr:rowOff>
    </xdr:from>
    <xdr:to>
      <xdr:col>8</xdr:col>
      <xdr:colOff>0</xdr:colOff>
      <xdr:row>26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0</xdr:row>
          <xdr:rowOff>57150</xdr:rowOff>
        </xdr:from>
        <xdr:to>
          <xdr:col>4</xdr:col>
          <xdr:colOff>600075</xdr:colOff>
          <xdr:row>1</xdr:row>
          <xdr:rowOff>57150</xdr:rowOff>
        </xdr:to>
        <xdr:sp macro="" textlink="">
          <xdr:nvSpPr>
            <xdr:cNvPr id="3073" name="cmd요금내역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6.873397916665" createdVersion="4" refreshedVersion="4" minRefreshableVersion="3" recordCount="30">
  <cacheSource type="worksheet">
    <worksheetSource ref="A1:F31" sheet="분석작업-1"/>
  </cacheSource>
  <cacheFields count="6">
    <cacheField name="순번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  <fieldGroup base="0">
        <rangePr startNum="1" endNum="30" groupInterval="5"/>
        <groupItems count="8">
          <s v="&lt;1"/>
          <s v="1-5"/>
          <s v="6-10"/>
          <s v="11-15"/>
          <s v="16-20"/>
          <s v="21-25"/>
          <s v="26-30"/>
          <s v="&gt;31"/>
        </groupItems>
      </fieldGroup>
    </cacheField>
    <cacheField name="날짜" numFmtId="181">
      <sharedItems containsSemiMixedTypes="0" containsNonDate="0" containsDate="1" containsString="0" minDate="2017-01-02T00:00:00" maxDate="2017-02-02T00:00:00"/>
    </cacheField>
    <cacheField name="고객코드" numFmtId="0">
      <sharedItems count="21">
        <s v="아I-057"/>
        <s v="라I-067"/>
        <s v="가D-077"/>
        <s v="아I-054"/>
        <s v="나F-075"/>
        <s v="사E-074"/>
        <s v="나D-053"/>
        <s v="다D-061"/>
        <s v="사B-072"/>
        <s v="라F-066"/>
        <s v="아B-078"/>
        <s v="아A-071"/>
        <s v="마F-059"/>
        <s v="가A-055"/>
        <s v="자A-079"/>
        <s v="마B-076"/>
        <s v="마H-064"/>
        <s v="가I-063"/>
        <s v="사A-073"/>
        <s v="바A-062"/>
        <s v="자G-070"/>
      </sharedItems>
    </cacheField>
    <cacheField name="통화시간(초)" numFmtId="0">
      <sharedItems containsSemiMixedTypes="0" containsString="0" containsNumber="1" containsInteger="1" minValue="77" maxValue="897"/>
    </cacheField>
    <cacheField name="요금코드" numFmtId="0">
      <sharedItems/>
    </cacheField>
    <cacheField name="요금(원)" numFmtId="41">
      <sharedItems containsSemiMixedTypes="0" containsString="0" containsNumber="1" containsInteger="1" minValue="847" maxValue="133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d v="2017-01-02T00:00:00"/>
    <x v="0"/>
    <n v="628"/>
    <s v="H-33"/>
    <n v="6908"/>
  </r>
  <r>
    <x v="1"/>
    <d v="2017-01-03T00:00:00"/>
    <x v="1"/>
    <n v="739"/>
    <s v="T-51"/>
    <n v="9607"/>
  </r>
  <r>
    <x v="2"/>
    <d v="2017-01-04T00:00:00"/>
    <x v="2"/>
    <n v="629"/>
    <s v="A-05"/>
    <n v="9435"/>
  </r>
  <r>
    <x v="3"/>
    <d v="2017-01-05T00:00:00"/>
    <x v="3"/>
    <n v="478"/>
    <s v="C-01"/>
    <n v="2390"/>
  </r>
  <r>
    <x v="4"/>
    <d v="2017-01-06T00:00:00"/>
    <x v="4"/>
    <n v="686"/>
    <s v="H-33"/>
    <n v="7546"/>
  </r>
  <r>
    <x v="5"/>
    <d v="2017-01-07T00:00:00"/>
    <x v="5"/>
    <n v="168"/>
    <s v="S-29"/>
    <n v="1848"/>
  </r>
  <r>
    <x v="6"/>
    <d v="2017-01-08T00:00:00"/>
    <x v="4"/>
    <n v="204"/>
    <s v="G-17"/>
    <n v="2856"/>
  </r>
  <r>
    <x v="7"/>
    <d v="2017-01-09T00:00:00"/>
    <x v="6"/>
    <n v="501"/>
    <s v="D-07"/>
    <n v="4008"/>
  </r>
  <r>
    <x v="8"/>
    <d v="2017-01-10T00:00:00"/>
    <x v="7"/>
    <n v="826"/>
    <s v="S-28"/>
    <n v="8260"/>
  </r>
  <r>
    <x v="9"/>
    <d v="2017-01-11T00:00:00"/>
    <x v="8"/>
    <n v="178"/>
    <s v="D-09"/>
    <n v="1958"/>
  </r>
  <r>
    <x v="10"/>
    <d v="2017-01-12T00:00:00"/>
    <x v="7"/>
    <n v="648"/>
    <s v="H-31"/>
    <n v="10368"/>
  </r>
  <r>
    <x v="11"/>
    <d v="2017-01-13T00:00:00"/>
    <x v="2"/>
    <n v="808"/>
    <s v="A-03"/>
    <n v="9696"/>
  </r>
  <r>
    <x v="12"/>
    <d v="2017-01-14T00:00:00"/>
    <x v="9"/>
    <n v="897"/>
    <s v="T-38"/>
    <n v="8970"/>
  </r>
  <r>
    <x v="13"/>
    <d v="2017-01-15T00:00:00"/>
    <x v="10"/>
    <n v="228"/>
    <s v="C-06"/>
    <n v="1140"/>
  </r>
  <r>
    <x v="14"/>
    <d v="2017-01-16T00:00:00"/>
    <x v="2"/>
    <n v="142"/>
    <s v="D-09"/>
    <n v="1562"/>
  </r>
  <r>
    <x v="15"/>
    <d v="2017-01-17T00:00:00"/>
    <x v="11"/>
    <n v="77"/>
    <s v="S-30"/>
    <n v="847"/>
  </r>
  <r>
    <x v="16"/>
    <d v="2017-01-18T00:00:00"/>
    <x v="12"/>
    <n v="83"/>
    <s v="H-31"/>
    <n v="1328"/>
  </r>
  <r>
    <x v="17"/>
    <d v="2017-01-19T00:00:00"/>
    <x v="13"/>
    <n v="893"/>
    <s v="H-36"/>
    <n v="13395"/>
  </r>
  <r>
    <x v="18"/>
    <d v="2017-01-20T00:00:00"/>
    <x v="14"/>
    <n v="652"/>
    <s v="C-07"/>
    <n v="3260"/>
  </r>
  <r>
    <x v="19"/>
    <d v="2017-01-21T00:00:00"/>
    <x v="15"/>
    <n v="777"/>
    <s v="G-14"/>
    <n v="6993"/>
  </r>
  <r>
    <x v="20"/>
    <d v="2017-01-22T00:00:00"/>
    <x v="2"/>
    <n v="460"/>
    <s v="J-21"/>
    <n v="4140"/>
  </r>
  <r>
    <x v="21"/>
    <d v="2017-01-23T00:00:00"/>
    <x v="16"/>
    <n v="296"/>
    <s v="S-29"/>
    <n v="3256"/>
  </r>
  <r>
    <x v="22"/>
    <d v="2017-01-24T00:00:00"/>
    <x v="17"/>
    <n v="803"/>
    <s v="T-50"/>
    <n v="8833"/>
  </r>
  <r>
    <x v="23"/>
    <d v="2017-01-25T00:00:00"/>
    <x v="3"/>
    <n v="253"/>
    <s v="J-20"/>
    <n v="2783"/>
  </r>
  <r>
    <x v="24"/>
    <d v="2017-01-26T00:00:00"/>
    <x v="18"/>
    <n v="765"/>
    <s v="J-20"/>
    <n v="8415"/>
  </r>
  <r>
    <x v="25"/>
    <d v="2017-01-27T00:00:00"/>
    <x v="3"/>
    <n v="350"/>
    <s v="G-14"/>
    <n v="3150"/>
  </r>
  <r>
    <x v="26"/>
    <d v="2017-01-28T00:00:00"/>
    <x v="19"/>
    <n v="334"/>
    <s v="D-09"/>
    <n v="3674"/>
  </r>
  <r>
    <x v="27"/>
    <d v="2017-01-29T00:00:00"/>
    <x v="7"/>
    <n v="526"/>
    <s v="S-26"/>
    <n v="6312"/>
  </r>
  <r>
    <x v="28"/>
    <d v="2017-01-30T00:00:00"/>
    <x v="20"/>
    <n v="849"/>
    <s v="T-49"/>
    <n v="9339"/>
  </r>
  <r>
    <x v="29"/>
    <d v="2017-02-01T00:00:00"/>
    <x v="11"/>
    <n v="513"/>
    <s v="C-04"/>
    <n v="25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 rowHeaderCaption="순번">
  <location ref="H3:J10" firstHeaderRow="0" firstDataRow="1" firstDataCol="1" rowPageCount="1" colPageCount="1"/>
  <pivotFields count="6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81" showAll="0"/>
    <pivotField axis="axisPage" showAll="0">
      <items count="22">
        <item x="13"/>
        <item x="2"/>
        <item x="17"/>
        <item x="6"/>
        <item x="4"/>
        <item x="7"/>
        <item x="9"/>
        <item x="1"/>
        <item x="15"/>
        <item x="12"/>
        <item x="16"/>
        <item x="19"/>
        <item x="18"/>
        <item x="8"/>
        <item x="5"/>
        <item x="11"/>
        <item x="10"/>
        <item x="3"/>
        <item x="0"/>
        <item x="14"/>
        <item x="20"/>
        <item t="default"/>
      </items>
    </pivotField>
    <pivotField dataField="1" showAll="0"/>
    <pivotField showAll="0"/>
    <pivotField dataField="1" numFmtId="41" showAll="0"/>
  </pivotFields>
  <rowFields count="1">
    <field x="0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최소값 : 통화시간(초)" fld="3" subtotal="min" baseField="0" baseItem="0"/>
    <dataField name="최소값 : 요금(원)" fld="5" subtotal="min" baseField="0" baseItem="3" numFmtId="41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tabSelected="1" workbookViewId="0"/>
  </sheetViews>
  <sheetFormatPr defaultRowHeight="16.5"/>
  <cols>
    <col min="1" max="1" width="10.25" customWidth="1"/>
    <col min="2" max="2" width="7.5" customWidth="1"/>
    <col min="3" max="3" width="15.5" bestFit="1" customWidth="1"/>
    <col min="4" max="4" width="7.5" customWidth="1"/>
    <col min="5" max="5" width="9.375" customWidth="1"/>
    <col min="6" max="6" width="7.5" customWidth="1"/>
    <col min="7" max="7" width="9.375" customWidth="1"/>
    <col min="8" max="9" width="12.125" customWidth="1"/>
  </cols>
  <sheetData>
    <row r="1" spans="1:7">
      <c r="A1" s="1" t="s">
        <v>0</v>
      </c>
    </row>
    <row r="2" spans="1:7">
      <c r="A2" s="70" t="s">
        <v>214</v>
      </c>
      <c r="B2" s="71" t="s">
        <v>183</v>
      </c>
      <c r="C2" s="71" t="s">
        <v>215</v>
      </c>
      <c r="D2" s="71" t="s">
        <v>216</v>
      </c>
      <c r="E2" s="71" t="s">
        <v>217</v>
      </c>
      <c r="F2" s="71" t="s">
        <v>218</v>
      </c>
      <c r="G2" s="72" t="s">
        <v>219</v>
      </c>
    </row>
    <row r="3" spans="1:7">
      <c r="A3" s="73" t="s">
        <v>220</v>
      </c>
      <c r="B3" s="74" t="s">
        <v>221</v>
      </c>
      <c r="C3" s="75">
        <v>41687</v>
      </c>
      <c r="D3" s="74" t="s">
        <v>222</v>
      </c>
      <c r="E3" s="74">
        <v>950000</v>
      </c>
      <c r="F3" s="74">
        <v>20140</v>
      </c>
      <c r="G3" s="76" t="s">
        <v>223</v>
      </c>
    </row>
    <row r="4" spans="1:7">
      <c r="A4" s="77" t="s">
        <v>224</v>
      </c>
      <c r="B4" s="78" t="s">
        <v>225</v>
      </c>
      <c r="C4" s="79">
        <v>41697</v>
      </c>
      <c r="D4" s="78" t="s">
        <v>226</v>
      </c>
      <c r="E4" s="78">
        <v>950000</v>
      </c>
      <c r="F4" s="78">
        <v>30000</v>
      </c>
      <c r="G4" s="80" t="s">
        <v>227</v>
      </c>
    </row>
    <row r="5" spans="1:7">
      <c r="A5" s="73" t="s">
        <v>228</v>
      </c>
      <c r="B5" s="74" t="s">
        <v>229</v>
      </c>
      <c r="C5" s="75">
        <v>41744</v>
      </c>
      <c r="D5" s="74" t="s">
        <v>230</v>
      </c>
      <c r="E5" s="74">
        <v>950000</v>
      </c>
      <c r="F5" s="74">
        <v>0</v>
      </c>
      <c r="G5" s="76" t="s">
        <v>231</v>
      </c>
    </row>
    <row r="6" spans="1:7">
      <c r="A6" s="77" t="s">
        <v>232</v>
      </c>
      <c r="B6" s="78" t="s">
        <v>233</v>
      </c>
      <c r="C6" s="79">
        <v>41824</v>
      </c>
      <c r="D6" s="78" t="s">
        <v>234</v>
      </c>
      <c r="E6" s="78">
        <v>950000</v>
      </c>
      <c r="F6" s="78">
        <v>0</v>
      </c>
      <c r="G6" s="80" t="s">
        <v>235</v>
      </c>
    </row>
    <row r="7" spans="1:7">
      <c r="A7" s="73" t="s">
        <v>236</v>
      </c>
      <c r="B7" s="74" t="s">
        <v>237</v>
      </c>
      <c r="C7" s="75">
        <v>41905</v>
      </c>
      <c r="D7" s="74" t="s">
        <v>238</v>
      </c>
      <c r="E7" s="74">
        <v>950000</v>
      </c>
      <c r="F7" s="74">
        <v>0</v>
      </c>
      <c r="G7" s="76" t="s">
        <v>239</v>
      </c>
    </row>
    <row r="8" spans="1:7">
      <c r="A8" s="77" t="s">
        <v>240</v>
      </c>
      <c r="B8" s="78" t="s">
        <v>241</v>
      </c>
      <c r="C8" s="79">
        <v>41954</v>
      </c>
      <c r="D8" s="78" t="s">
        <v>234</v>
      </c>
      <c r="E8" s="78">
        <v>950000</v>
      </c>
      <c r="F8" s="78">
        <v>0</v>
      </c>
      <c r="G8" s="80" t="s">
        <v>242</v>
      </c>
    </row>
    <row r="9" spans="1:7">
      <c r="A9" s="66" t="s">
        <v>243</v>
      </c>
      <c r="B9" s="67" t="s">
        <v>244</v>
      </c>
      <c r="C9" s="68">
        <v>42074</v>
      </c>
      <c r="D9" s="67" t="s">
        <v>245</v>
      </c>
      <c r="E9" s="67">
        <v>950000</v>
      </c>
      <c r="F9" s="67">
        <v>0</v>
      </c>
      <c r="G9" s="69" t="s">
        <v>246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6"/>
  <sheetViews>
    <sheetView workbookViewId="0"/>
  </sheetViews>
  <sheetFormatPr defaultRowHeight="16.5"/>
  <cols>
    <col min="1" max="1" width="11" bestFit="1" customWidth="1"/>
    <col min="2" max="2" width="11.5" customWidth="1"/>
    <col min="3" max="3" width="12.875" bestFit="1" customWidth="1"/>
    <col min="4" max="4" width="12.125" customWidth="1"/>
    <col min="5" max="5" width="12.875" bestFit="1" customWidth="1"/>
    <col min="6" max="6" width="9.25" bestFit="1" customWidth="1"/>
    <col min="7" max="7" width="10" bestFit="1" customWidth="1"/>
    <col min="8" max="9" width="12.125" customWidth="1"/>
  </cols>
  <sheetData>
    <row r="1" spans="1:9">
      <c r="A1" s="1" t="s">
        <v>1</v>
      </c>
      <c r="B1" s="1"/>
      <c r="C1" s="1"/>
      <c r="D1" s="1"/>
      <c r="E1" s="1"/>
      <c r="F1" s="1"/>
      <c r="G1" s="1"/>
      <c r="H1" s="1"/>
      <c r="I1" s="1"/>
    </row>
    <row r="2" spans="1:9" ht="20.25">
      <c r="A2" s="89" t="s">
        <v>2</v>
      </c>
      <c r="B2" s="89"/>
      <c r="C2" s="89"/>
      <c r="D2" s="89"/>
      <c r="E2" s="89"/>
      <c r="F2" s="89"/>
      <c r="G2" s="89"/>
      <c r="H2" s="89"/>
      <c r="I2" s="89"/>
    </row>
    <row r="3" spans="1:9" ht="17.25" thickBot="1">
      <c r="A3" s="1"/>
      <c r="B3" s="1"/>
      <c r="C3" s="1"/>
      <c r="D3" s="1"/>
      <c r="E3" s="1"/>
      <c r="F3" s="1"/>
      <c r="G3" s="1"/>
      <c r="H3" s="1"/>
      <c r="I3" s="1"/>
    </row>
    <row r="4" spans="1:9" ht="17.25" thickBot="1">
      <c r="A4" s="2" t="s">
        <v>3</v>
      </c>
      <c r="B4" s="3" t="s">
        <v>4</v>
      </c>
      <c r="C4" s="3" t="s">
        <v>5</v>
      </c>
      <c r="D4" s="3" t="s">
        <v>6</v>
      </c>
      <c r="E4" s="3" t="s">
        <v>7</v>
      </c>
      <c r="F4" s="3" t="s">
        <v>8</v>
      </c>
      <c r="G4" s="3" t="s">
        <v>9</v>
      </c>
      <c r="H4" s="3" t="s">
        <v>10</v>
      </c>
      <c r="I4" s="4" t="s">
        <v>11</v>
      </c>
    </row>
    <row r="5" spans="1:9" ht="17.25" thickTop="1">
      <c r="A5" s="5" t="s">
        <v>12</v>
      </c>
      <c r="B5" s="6" t="s">
        <v>13</v>
      </c>
      <c r="C5" s="7">
        <v>41494</v>
      </c>
      <c r="D5" s="6">
        <v>25</v>
      </c>
      <c r="E5" s="6">
        <v>5</v>
      </c>
      <c r="F5" s="8">
        <f ca="1">YEAR(TODAY())-YEAR(C5)</f>
        <v>4</v>
      </c>
      <c r="G5" s="6">
        <f>SUM(D5:E5)</f>
        <v>30</v>
      </c>
      <c r="H5" s="9">
        <f>E5*IF(B5="A",1000,IF(B5="B",2000,3000))</f>
        <v>5000</v>
      </c>
      <c r="I5" s="10">
        <f>RANK(G5,$G$5:$G$11)</f>
        <v>6</v>
      </c>
    </row>
    <row r="6" spans="1:9">
      <c r="A6" s="11" t="s">
        <v>14</v>
      </c>
      <c r="B6" s="12" t="s">
        <v>15</v>
      </c>
      <c r="C6" s="13">
        <v>42206</v>
      </c>
      <c r="D6" s="12">
        <v>15</v>
      </c>
      <c r="E6" s="12">
        <v>20</v>
      </c>
      <c r="F6" s="8">
        <f t="shared" ref="F6:F11" ca="1" si="0">YEAR(TODAY())-YEAR(C6)</f>
        <v>2</v>
      </c>
      <c r="G6" s="6">
        <f t="shared" ref="G6:G11" si="1">SUM(D6:E6)</f>
        <v>35</v>
      </c>
      <c r="H6" s="9">
        <f t="shared" ref="H6:H11" si="2">E6*IF(B6="A",1000,IF(B6="B",2000,3000))</f>
        <v>40000</v>
      </c>
      <c r="I6" s="10">
        <f t="shared" ref="I6:I11" si="3">RANK(G6,$G$5:$G$11)</f>
        <v>4</v>
      </c>
    </row>
    <row r="7" spans="1:9">
      <c r="A7" s="11" t="s">
        <v>16</v>
      </c>
      <c r="B7" s="12" t="s">
        <v>15</v>
      </c>
      <c r="C7" s="13">
        <v>42614</v>
      </c>
      <c r="D7" s="12">
        <v>32</v>
      </c>
      <c r="E7" s="12">
        <v>9</v>
      </c>
      <c r="F7" s="8">
        <f t="shared" ca="1" si="0"/>
        <v>1</v>
      </c>
      <c r="G7" s="6">
        <f t="shared" si="1"/>
        <v>41</v>
      </c>
      <c r="H7" s="9">
        <f t="shared" si="2"/>
        <v>18000</v>
      </c>
      <c r="I7" s="10">
        <f t="shared" si="3"/>
        <v>3</v>
      </c>
    </row>
    <row r="8" spans="1:9">
      <c r="A8" s="11" t="s">
        <v>17</v>
      </c>
      <c r="B8" s="12" t="s">
        <v>18</v>
      </c>
      <c r="C8" s="13">
        <v>42248</v>
      </c>
      <c r="D8" s="12">
        <v>22</v>
      </c>
      <c r="E8" s="12">
        <v>25</v>
      </c>
      <c r="F8" s="8">
        <f t="shared" ca="1" si="0"/>
        <v>2</v>
      </c>
      <c r="G8" s="6">
        <f t="shared" si="1"/>
        <v>47</v>
      </c>
      <c r="H8" s="9">
        <f t="shared" si="2"/>
        <v>25000</v>
      </c>
      <c r="I8" s="10">
        <f t="shared" si="3"/>
        <v>1</v>
      </c>
    </row>
    <row r="9" spans="1:9">
      <c r="A9" s="11" t="s">
        <v>19</v>
      </c>
      <c r="B9" s="12" t="s">
        <v>15</v>
      </c>
      <c r="C9" s="13">
        <v>42615</v>
      </c>
      <c r="D9" s="12">
        <v>18</v>
      </c>
      <c r="E9" s="12">
        <v>5</v>
      </c>
      <c r="F9" s="8">
        <f t="shared" ca="1" si="0"/>
        <v>1</v>
      </c>
      <c r="G9" s="6">
        <f t="shared" si="1"/>
        <v>23</v>
      </c>
      <c r="H9" s="9">
        <f t="shared" si="2"/>
        <v>10000</v>
      </c>
      <c r="I9" s="10">
        <f t="shared" si="3"/>
        <v>7</v>
      </c>
    </row>
    <row r="10" spans="1:9">
      <c r="A10" s="11" t="s">
        <v>20</v>
      </c>
      <c r="B10" s="12" t="s">
        <v>18</v>
      </c>
      <c r="C10" s="13">
        <v>41700</v>
      </c>
      <c r="D10" s="12">
        <v>15</v>
      </c>
      <c r="E10" s="12">
        <v>18</v>
      </c>
      <c r="F10" s="8">
        <f t="shared" ca="1" si="0"/>
        <v>3</v>
      </c>
      <c r="G10" s="6">
        <f t="shared" si="1"/>
        <v>33</v>
      </c>
      <c r="H10" s="9">
        <f t="shared" si="2"/>
        <v>18000</v>
      </c>
      <c r="I10" s="10">
        <f t="shared" si="3"/>
        <v>5</v>
      </c>
    </row>
    <row r="11" spans="1:9" ht="17.25" thickBot="1">
      <c r="A11" s="14" t="s">
        <v>21</v>
      </c>
      <c r="B11" s="15" t="s">
        <v>22</v>
      </c>
      <c r="C11" s="16">
        <v>42045</v>
      </c>
      <c r="D11" s="15">
        <v>25</v>
      </c>
      <c r="E11" s="15">
        <v>19</v>
      </c>
      <c r="F11" s="17">
        <f t="shared" ca="1" si="0"/>
        <v>2</v>
      </c>
      <c r="G11" s="15">
        <f t="shared" si="1"/>
        <v>44</v>
      </c>
      <c r="H11" s="18">
        <f t="shared" si="2"/>
        <v>57000</v>
      </c>
      <c r="I11" s="10">
        <f t="shared" si="3"/>
        <v>2</v>
      </c>
    </row>
    <row r="12" spans="1:9" ht="17.25" thickBot="1">
      <c r="A12" s="19" t="s">
        <v>23</v>
      </c>
      <c r="B12" s="20"/>
      <c r="C12" s="20"/>
      <c r="D12" s="20">
        <f>SUM(D5:D11)</f>
        <v>152</v>
      </c>
      <c r="E12" s="20">
        <f>SUM(E5:E11)</f>
        <v>101</v>
      </c>
      <c r="F12" s="20">
        <f ca="1">MIN(F5:F11)</f>
        <v>1</v>
      </c>
      <c r="G12" s="20">
        <f>SUM(G5:G11)</f>
        <v>253</v>
      </c>
      <c r="H12" s="21">
        <f>SUM(H5:H11)</f>
        <v>173000</v>
      </c>
      <c r="I12" s="22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1" t="s">
        <v>24</v>
      </c>
      <c r="B16" s="1"/>
      <c r="C16" s="1"/>
      <c r="D16" s="1"/>
      <c r="E16" s="1"/>
      <c r="F16" s="1"/>
      <c r="G16" s="1"/>
      <c r="H16" s="1"/>
      <c r="I16" s="1"/>
    </row>
    <row r="17" spans="1:9">
      <c r="A17" s="90" t="s">
        <v>25</v>
      </c>
      <c r="B17" s="90"/>
      <c r="C17" s="90"/>
      <c r="D17" s="90"/>
      <c r="E17" s="90"/>
      <c r="F17" s="90"/>
      <c r="G17" s="90"/>
      <c r="H17" s="90"/>
      <c r="I17" s="1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1" t="s">
        <v>26</v>
      </c>
      <c r="B19" s="1" t="s">
        <v>27</v>
      </c>
      <c r="C19" s="1" t="s">
        <v>28</v>
      </c>
      <c r="D19" s="1" t="s">
        <v>29</v>
      </c>
      <c r="E19" s="1" t="s">
        <v>30</v>
      </c>
      <c r="F19" s="1" t="s">
        <v>31</v>
      </c>
      <c r="G19" s="1" t="s">
        <v>32</v>
      </c>
      <c r="H19" s="1" t="s">
        <v>33</v>
      </c>
      <c r="I19" s="1"/>
    </row>
    <row r="20" spans="1:9">
      <c r="A20" s="1" t="s">
        <v>34</v>
      </c>
      <c r="B20" s="1" t="s">
        <v>35</v>
      </c>
      <c r="C20" s="1" t="s">
        <v>36</v>
      </c>
      <c r="D20" s="1" t="s">
        <v>37</v>
      </c>
      <c r="E20" s="23">
        <v>40836</v>
      </c>
      <c r="F20" s="1" t="s">
        <v>38</v>
      </c>
      <c r="G20" s="1" t="s">
        <v>39</v>
      </c>
      <c r="H20" s="1">
        <v>34</v>
      </c>
      <c r="I20" s="1"/>
    </row>
    <row r="21" spans="1:9">
      <c r="A21" s="1" t="s">
        <v>40</v>
      </c>
      <c r="B21" s="1" t="s">
        <v>41</v>
      </c>
      <c r="C21" s="1" t="s">
        <v>42</v>
      </c>
      <c r="D21" s="1" t="s">
        <v>43</v>
      </c>
      <c r="E21" s="23">
        <v>40837</v>
      </c>
      <c r="F21" s="1" t="s">
        <v>44</v>
      </c>
      <c r="G21" s="1" t="s">
        <v>45</v>
      </c>
      <c r="H21" s="1">
        <v>30</v>
      </c>
      <c r="I21" s="1"/>
    </row>
    <row r="22" spans="1:9">
      <c r="A22" s="1" t="s">
        <v>46</v>
      </c>
      <c r="B22" s="1" t="s">
        <v>47</v>
      </c>
      <c r="C22" s="1" t="s">
        <v>48</v>
      </c>
      <c r="D22" s="1" t="s">
        <v>49</v>
      </c>
      <c r="E22" s="23">
        <v>40838</v>
      </c>
      <c r="F22" s="1" t="s">
        <v>50</v>
      </c>
      <c r="G22" s="1" t="s">
        <v>51</v>
      </c>
      <c r="H22" s="1">
        <v>28</v>
      </c>
      <c r="I22" s="1"/>
    </row>
    <row r="23" spans="1:9">
      <c r="A23" s="1" t="s">
        <v>52</v>
      </c>
      <c r="B23" s="1" t="s">
        <v>35</v>
      </c>
      <c r="C23" s="1" t="s">
        <v>36</v>
      </c>
      <c r="D23" s="1" t="s">
        <v>53</v>
      </c>
      <c r="E23" s="23">
        <v>42083</v>
      </c>
      <c r="F23" s="1" t="s">
        <v>54</v>
      </c>
      <c r="G23" s="1" t="s">
        <v>55</v>
      </c>
      <c r="H23" s="1">
        <v>38</v>
      </c>
      <c r="I23" s="1"/>
    </row>
    <row r="24" spans="1:9">
      <c r="A24" s="1" t="s">
        <v>56</v>
      </c>
      <c r="B24" s="1" t="s">
        <v>47</v>
      </c>
      <c r="C24" s="1" t="s">
        <v>48</v>
      </c>
      <c r="D24" s="1" t="s">
        <v>57</v>
      </c>
      <c r="E24" s="23">
        <v>42084</v>
      </c>
      <c r="F24" s="1" t="s">
        <v>58</v>
      </c>
      <c r="G24" s="1" t="s">
        <v>59</v>
      </c>
      <c r="H24" s="1">
        <v>30</v>
      </c>
      <c r="I24" s="1"/>
    </row>
    <row r="25" spans="1:9">
      <c r="A25" s="1" t="s">
        <v>60</v>
      </c>
      <c r="B25" s="1" t="s">
        <v>41</v>
      </c>
      <c r="C25" s="1" t="s">
        <v>36</v>
      </c>
      <c r="D25" s="1" t="s">
        <v>61</v>
      </c>
      <c r="E25" s="23">
        <v>42085</v>
      </c>
      <c r="F25" s="1" t="s">
        <v>62</v>
      </c>
      <c r="G25" s="1" t="s">
        <v>63</v>
      </c>
      <c r="H25" s="1">
        <v>36</v>
      </c>
      <c r="I25" s="1"/>
    </row>
    <row r="26" spans="1:9">
      <c r="A26" s="1" t="s">
        <v>64</v>
      </c>
      <c r="B26" s="1" t="s">
        <v>35</v>
      </c>
      <c r="C26" s="1" t="s">
        <v>48</v>
      </c>
      <c r="D26" s="1" t="s">
        <v>65</v>
      </c>
      <c r="E26" s="23">
        <v>42086</v>
      </c>
      <c r="F26" s="1" t="s">
        <v>66</v>
      </c>
      <c r="G26" s="1" t="s">
        <v>67</v>
      </c>
      <c r="H26" s="1">
        <v>24</v>
      </c>
      <c r="I26" s="1"/>
    </row>
    <row r="29" spans="1:9">
      <c r="A29" s="24" t="s">
        <v>68</v>
      </c>
      <c r="B29" s="24" t="s">
        <v>69</v>
      </c>
      <c r="C29" s="24" t="s">
        <v>70</v>
      </c>
    </row>
    <row r="30" spans="1:9">
      <c r="A30" s="24" t="s">
        <v>71</v>
      </c>
      <c r="B30" s="24" t="s">
        <v>72</v>
      </c>
    </row>
    <row r="31" spans="1:9">
      <c r="C31" t="s">
        <v>73</v>
      </c>
    </row>
    <row r="34" spans="1:8">
      <c r="A34" s="1" t="s">
        <v>26</v>
      </c>
      <c r="B34" s="1" t="s">
        <v>27</v>
      </c>
      <c r="C34" s="1" t="s">
        <v>28</v>
      </c>
      <c r="D34" s="1" t="s">
        <v>29</v>
      </c>
      <c r="E34" s="1" t="s">
        <v>30</v>
      </c>
      <c r="F34" s="1" t="s">
        <v>31</v>
      </c>
      <c r="G34" s="1" t="s">
        <v>32</v>
      </c>
      <c r="H34" s="1" t="s">
        <v>33</v>
      </c>
    </row>
    <row r="35" spans="1:8">
      <c r="A35" s="1" t="s">
        <v>40</v>
      </c>
      <c r="B35" s="1" t="s">
        <v>41</v>
      </c>
      <c r="C35" s="1" t="s">
        <v>42</v>
      </c>
      <c r="D35" s="1" t="s">
        <v>43</v>
      </c>
      <c r="E35" s="23">
        <v>40837</v>
      </c>
      <c r="F35" s="1" t="s">
        <v>44</v>
      </c>
      <c r="G35" s="1" t="s">
        <v>45</v>
      </c>
      <c r="H35" s="1">
        <v>30</v>
      </c>
    </row>
    <row r="36" spans="1:8">
      <c r="A36" s="1" t="s">
        <v>64</v>
      </c>
      <c r="B36" s="1" t="s">
        <v>35</v>
      </c>
      <c r="C36" s="1" t="s">
        <v>48</v>
      </c>
      <c r="D36" s="1" t="s">
        <v>65</v>
      </c>
      <c r="E36" s="23">
        <v>42086</v>
      </c>
      <c r="F36" s="1" t="s">
        <v>66</v>
      </c>
      <c r="G36" s="1" t="s">
        <v>67</v>
      </c>
      <c r="H36" s="1">
        <v>24</v>
      </c>
    </row>
  </sheetData>
  <mergeCells count="2">
    <mergeCell ref="A2:I2"/>
    <mergeCell ref="A17:H17"/>
  </mergeCells>
  <phoneticPr fontId="5" type="noConversion"/>
  <conditionalFormatting sqref="A5:I11">
    <cfRule type="expression" dxfId="0" priority="1">
      <formula>(YEAR($C5)=2013)+(YEAR($C5)=2014)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56"/>
  <sheetViews>
    <sheetView workbookViewId="0"/>
  </sheetViews>
  <sheetFormatPr defaultRowHeight="16.5"/>
  <cols>
    <col min="1" max="1" width="11.125" style="1" bestFit="1" customWidth="1"/>
    <col min="2" max="2" width="12.75" style="1" customWidth="1"/>
    <col min="3" max="3" width="11.125" style="1" bestFit="1" customWidth="1"/>
    <col min="4" max="4" width="9" style="1"/>
    <col min="5" max="5" width="15.5" style="1" bestFit="1" customWidth="1"/>
    <col min="6" max="6" width="13" style="1" bestFit="1" customWidth="1"/>
    <col min="7" max="8" width="12.375" style="1" bestFit="1" customWidth="1"/>
    <col min="9" max="9" width="11.75" style="1" customWidth="1"/>
    <col min="10" max="10" width="11.5" style="1" customWidth="1"/>
    <col min="11" max="11" width="11.5" style="1" bestFit="1" customWidth="1"/>
    <col min="12" max="16384" width="9" style="1"/>
  </cols>
  <sheetData>
    <row r="1" spans="1:11">
      <c r="A1" s="25" t="s">
        <v>74</v>
      </c>
      <c r="B1" s="26" t="s">
        <v>75</v>
      </c>
      <c r="C1" s="27"/>
      <c r="D1" s="27"/>
      <c r="E1" s="27"/>
    </row>
    <row r="2" spans="1:11">
      <c r="A2" s="12" t="s">
        <v>76</v>
      </c>
      <c r="B2" s="12" t="s">
        <v>77</v>
      </c>
      <c r="C2" s="12" t="s">
        <v>78</v>
      </c>
      <c r="D2" s="12" t="s">
        <v>79</v>
      </c>
      <c r="E2" s="28" t="s">
        <v>80</v>
      </c>
      <c r="G2" s="1" t="s">
        <v>81</v>
      </c>
      <c r="H2" s="1" t="s">
        <v>82</v>
      </c>
    </row>
    <row r="3" spans="1:11">
      <c r="A3" s="29" t="s">
        <v>83</v>
      </c>
      <c r="B3" s="29" t="s">
        <v>84</v>
      </c>
      <c r="C3" s="29" t="s">
        <v>85</v>
      </c>
      <c r="D3" s="29">
        <v>205</v>
      </c>
      <c r="E3" s="29">
        <f>D3*HLOOKUP(LEFT(B3,2),$H$3:$K$5,2,FALSE)*(1-(HLOOKUP(LEFT(B3,2),$H$3:$K$5,3,FALSE)+IF(D3&gt;=200,1%,0%)))</f>
        <v>5965.5</v>
      </c>
      <c r="G3" s="29" t="s">
        <v>86</v>
      </c>
      <c r="H3" s="29" t="s">
        <v>87</v>
      </c>
      <c r="I3" s="29" t="s">
        <v>88</v>
      </c>
      <c r="J3" s="29" t="s">
        <v>89</v>
      </c>
      <c r="K3" s="29" t="s">
        <v>90</v>
      </c>
    </row>
    <row r="4" spans="1:11">
      <c r="A4" s="29" t="s">
        <v>91</v>
      </c>
      <c r="B4" s="29" t="s">
        <v>92</v>
      </c>
      <c r="C4" s="29" t="s">
        <v>93</v>
      </c>
      <c r="D4" s="29">
        <v>100</v>
      </c>
      <c r="E4" s="29">
        <f t="shared" ref="E4:E12" si="0">D4*HLOOKUP(LEFT(B4,2),$H$3:$K$5,2,FALSE)*(1-(HLOOKUP(LEFT(B4,2),$H$3:$K$5,3,FALSE)+IF(D4&gt;=200,1%,0%)))</f>
        <v>11400</v>
      </c>
      <c r="G4" s="29" t="s">
        <v>94</v>
      </c>
      <c r="H4" s="29">
        <v>30</v>
      </c>
      <c r="I4" s="29">
        <v>120</v>
      </c>
      <c r="J4" s="29">
        <v>70</v>
      </c>
      <c r="K4" s="29">
        <v>35</v>
      </c>
    </row>
    <row r="5" spans="1:11">
      <c r="A5" s="29" t="s">
        <v>95</v>
      </c>
      <c r="B5" s="29" t="s">
        <v>96</v>
      </c>
      <c r="C5" s="29" t="s">
        <v>93</v>
      </c>
      <c r="D5" s="29">
        <v>150</v>
      </c>
      <c r="E5" s="29">
        <f t="shared" si="0"/>
        <v>17100</v>
      </c>
      <c r="G5" s="29" t="s">
        <v>97</v>
      </c>
      <c r="H5" s="29">
        <v>0.02</v>
      </c>
      <c r="I5" s="29">
        <v>0.05</v>
      </c>
      <c r="J5" s="29">
        <v>0.04</v>
      </c>
      <c r="K5" s="29">
        <v>0.03</v>
      </c>
    </row>
    <row r="6" spans="1:11">
      <c r="A6" s="29" t="s">
        <v>95</v>
      </c>
      <c r="B6" s="29" t="s">
        <v>98</v>
      </c>
      <c r="C6" s="29" t="s">
        <v>99</v>
      </c>
      <c r="D6" s="29">
        <v>105</v>
      </c>
      <c r="E6" s="29">
        <f t="shared" si="0"/>
        <v>7056</v>
      </c>
    </row>
    <row r="7" spans="1:11">
      <c r="A7" s="29" t="s">
        <v>95</v>
      </c>
      <c r="B7" s="29" t="s">
        <v>100</v>
      </c>
      <c r="C7" s="29" t="s">
        <v>85</v>
      </c>
      <c r="D7" s="29">
        <v>100</v>
      </c>
      <c r="E7" s="29">
        <f t="shared" si="0"/>
        <v>2940</v>
      </c>
    </row>
    <row r="8" spans="1:11">
      <c r="A8" s="29" t="s">
        <v>95</v>
      </c>
      <c r="B8" s="29" t="s">
        <v>101</v>
      </c>
      <c r="C8" s="29" t="s">
        <v>102</v>
      </c>
      <c r="D8" s="29">
        <v>200</v>
      </c>
      <c r="E8" s="29">
        <f t="shared" si="0"/>
        <v>5820</v>
      </c>
      <c r="G8"/>
      <c r="H8"/>
      <c r="I8"/>
    </row>
    <row r="9" spans="1:11">
      <c r="A9" s="29" t="s">
        <v>83</v>
      </c>
      <c r="B9" s="29" t="s">
        <v>103</v>
      </c>
      <c r="C9" s="29" t="s">
        <v>102</v>
      </c>
      <c r="D9" s="29">
        <v>170</v>
      </c>
      <c r="E9" s="29">
        <f t="shared" si="0"/>
        <v>11424</v>
      </c>
      <c r="G9"/>
      <c r="H9"/>
      <c r="I9"/>
    </row>
    <row r="10" spans="1:11">
      <c r="A10" s="29" t="s">
        <v>91</v>
      </c>
      <c r="B10" s="29" t="s">
        <v>104</v>
      </c>
      <c r="C10" s="29" t="s">
        <v>105</v>
      </c>
      <c r="D10" s="29">
        <v>150</v>
      </c>
      <c r="E10" s="29">
        <f t="shared" si="0"/>
        <v>5092.5</v>
      </c>
      <c r="G10"/>
      <c r="H10"/>
      <c r="I10"/>
    </row>
    <row r="11" spans="1:11">
      <c r="A11" s="29" t="s">
        <v>95</v>
      </c>
      <c r="B11" s="29" t="s">
        <v>106</v>
      </c>
      <c r="C11" s="29" t="s">
        <v>105</v>
      </c>
      <c r="D11" s="29">
        <v>220</v>
      </c>
      <c r="E11" s="29">
        <f t="shared" si="0"/>
        <v>7392</v>
      </c>
      <c r="G11"/>
      <c r="H11"/>
      <c r="I11"/>
    </row>
    <row r="12" spans="1:11">
      <c r="A12" s="29" t="s">
        <v>83</v>
      </c>
      <c r="B12" s="29" t="s">
        <v>107</v>
      </c>
      <c r="C12" s="29" t="s">
        <v>85</v>
      </c>
      <c r="D12" s="29">
        <v>110</v>
      </c>
      <c r="E12" s="29">
        <f t="shared" si="0"/>
        <v>3234</v>
      </c>
      <c r="G12"/>
      <c r="H12"/>
      <c r="I12"/>
    </row>
    <row r="14" spans="1:11">
      <c r="A14" s="25" t="s">
        <v>108</v>
      </c>
      <c r="B14" s="30" t="s">
        <v>109</v>
      </c>
      <c r="C14" s="31"/>
      <c r="D14" s="31"/>
      <c r="E14" s="31"/>
      <c r="I14" s="1" t="s">
        <v>110</v>
      </c>
    </row>
    <row r="15" spans="1:11">
      <c r="A15" s="12" t="s">
        <v>111</v>
      </c>
      <c r="B15" s="12" t="s">
        <v>112</v>
      </c>
      <c r="C15" s="12" t="s">
        <v>113</v>
      </c>
      <c r="D15" s="12" t="s">
        <v>114</v>
      </c>
      <c r="E15" s="12" t="s">
        <v>115</v>
      </c>
      <c r="F15" s="32" t="s">
        <v>116</v>
      </c>
      <c r="G15" s="28" t="s">
        <v>117</v>
      </c>
      <c r="I15" s="91" t="s">
        <v>118</v>
      </c>
      <c r="J15" s="92"/>
      <c r="K15" s="33" t="s">
        <v>119</v>
      </c>
    </row>
    <row r="16" spans="1:11">
      <c r="A16" s="12">
        <v>3</v>
      </c>
      <c r="B16" s="12" t="s">
        <v>120</v>
      </c>
      <c r="C16" s="34">
        <v>75</v>
      </c>
      <c r="D16" s="34">
        <v>73</v>
      </c>
      <c r="E16" s="34">
        <v>80</v>
      </c>
      <c r="F16" s="34">
        <f t="shared" ref="F16:F25" si="1">SUM(C16:E16)</f>
        <v>228</v>
      </c>
      <c r="G16" s="12" t="str">
        <f>평점(F16)</f>
        <v>C</v>
      </c>
      <c r="I16" s="32">
        <v>0</v>
      </c>
      <c r="J16" s="34">
        <v>180</v>
      </c>
      <c r="K16" s="29">
        <f t="array" ref="K16:K20">FREQUENCY(F16:F25,J16:J20)</f>
        <v>1</v>
      </c>
    </row>
    <row r="17" spans="1:11">
      <c r="A17" s="12">
        <v>2</v>
      </c>
      <c r="B17" s="12" t="s">
        <v>121</v>
      </c>
      <c r="C17" s="34">
        <v>79</v>
      </c>
      <c r="D17" s="34">
        <v>71</v>
      </c>
      <c r="E17" s="34">
        <v>70</v>
      </c>
      <c r="F17" s="34">
        <f t="shared" si="1"/>
        <v>220</v>
      </c>
      <c r="G17" s="12" t="str">
        <f t="shared" ref="G17:G25" si="2">평점(F17)</f>
        <v>C</v>
      </c>
      <c r="I17" s="32">
        <v>181</v>
      </c>
      <c r="J17" s="34">
        <v>210</v>
      </c>
      <c r="K17" s="29">
        <v>1</v>
      </c>
    </row>
    <row r="18" spans="1:11">
      <c r="A18" s="12">
        <v>1</v>
      </c>
      <c r="B18" s="12" t="s">
        <v>122</v>
      </c>
      <c r="C18" s="34">
        <v>71</v>
      </c>
      <c r="D18" s="34">
        <v>68</v>
      </c>
      <c r="E18" s="34">
        <v>64</v>
      </c>
      <c r="F18" s="34">
        <f t="shared" si="1"/>
        <v>203</v>
      </c>
      <c r="G18" s="12" t="str">
        <f t="shared" si="2"/>
        <v>D</v>
      </c>
      <c r="I18" s="32">
        <v>211</v>
      </c>
      <c r="J18" s="34">
        <v>240</v>
      </c>
      <c r="K18" s="29">
        <v>3</v>
      </c>
    </row>
    <row r="19" spans="1:11">
      <c r="A19" s="12">
        <v>3</v>
      </c>
      <c r="B19" s="12" t="s">
        <v>123</v>
      </c>
      <c r="C19" s="34">
        <v>85</v>
      </c>
      <c r="D19" s="34">
        <v>90</v>
      </c>
      <c r="E19" s="34">
        <v>98</v>
      </c>
      <c r="F19" s="34">
        <f t="shared" si="1"/>
        <v>273</v>
      </c>
      <c r="G19" s="12" t="str">
        <f t="shared" si="2"/>
        <v>A</v>
      </c>
      <c r="I19" s="32">
        <v>241</v>
      </c>
      <c r="J19" s="34">
        <v>270</v>
      </c>
      <c r="K19" s="29">
        <v>4</v>
      </c>
    </row>
    <row r="20" spans="1:11">
      <c r="A20" s="12">
        <v>1</v>
      </c>
      <c r="B20" s="12" t="s">
        <v>124</v>
      </c>
      <c r="C20" s="34">
        <v>77</v>
      </c>
      <c r="D20" s="34">
        <v>75</v>
      </c>
      <c r="E20" s="34">
        <v>79</v>
      </c>
      <c r="F20" s="34">
        <f t="shared" si="1"/>
        <v>231</v>
      </c>
      <c r="G20" s="12" t="str">
        <f t="shared" si="2"/>
        <v>C</v>
      </c>
      <c r="I20" s="32">
        <v>271</v>
      </c>
      <c r="J20" s="35">
        <v>300</v>
      </c>
      <c r="K20" s="29">
        <v>1</v>
      </c>
    </row>
    <row r="21" spans="1:11">
      <c r="A21" s="32">
        <v>2</v>
      </c>
      <c r="B21" s="32" t="s">
        <v>125</v>
      </c>
      <c r="C21" s="35">
        <v>88</v>
      </c>
      <c r="D21" s="35">
        <v>83</v>
      </c>
      <c r="E21" s="35">
        <v>79</v>
      </c>
      <c r="F21" s="34">
        <f t="shared" si="1"/>
        <v>250</v>
      </c>
      <c r="G21" s="12" t="str">
        <f t="shared" si="2"/>
        <v>B</v>
      </c>
    </row>
    <row r="22" spans="1:11">
      <c r="A22" s="32">
        <v>1</v>
      </c>
      <c r="B22" s="32" t="s">
        <v>126</v>
      </c>
      <c r="C22" s="35">
        <v>55</v>
      </c>
      <c r="D22" s="35">
        <v>65</v>
      </c>
      <c r="E22" s="35">
        <v>58</v>
      </c>
      <c r="F22" s="34">
        <f t="shared" si="1"/>
        <v>178</v>
      </c>
      <c r="G22" s="12" t="str">
        <f t="shared" si="2"/>
        <v>F</v>
      </c>
      <c r="I22" s="28" t="s">
        <v>127</v>
      </c>
      <c r="J22" s="28" t="s">
        <v>128</v>
      </c>
      <c r="K22" s="28" t="s">
        <v>129</v>
      </c>
    </row>
    <row r="23" spans="1:11">
      <c r="A23" s="32">
        <v>3</v>
      </c>
      <c r="B23" s="12" t="s">
        <v>130</v>
      </c>
      <c r="C23" s="35">
        <v>80</v>
      </c>
      <c r="D23" s="35">
        <v>94</v>
      </c>
      <c r="E23" s="35">
        <v>94</v>
      </c>
      <c r="F23" s="34">
        <f t="shared" si="1"/>
        <v>268</v>
      </c>
      <c r="G23" s="12" t="str">
        <f t="shared" si="2"/>
        <v>B</v>
      </c>
      <c r="I23" s="28" t="s">
        <v>131</v>
      </c>
      <c r="J23" s="28"/>
      <c r="K23" s="28"/>
    </row>
    <row r="24" spans="1:11">
      <c r="A24" s="32">
        <v>2</v>
      </c>
      <c r="B24" s="12" t="s">
        <v>132</v>
      </c>
      <c r="C24" s="35">
        <v>90</v>
      </c>
      <c r="D24" s="35">
        <v>92</v>
      </c>
      <c r="E24" s="35">
        <v>88</v>
      </c>
      <c r="F24" s="34">
        <f t="shared" si="1"/>
        <v>270</v>
      </c>
      <c r="G24" s="12" t="str">
        <f t="shared" si="2"/>
        <v>A</v>
      </c>
      <c r="I24" s="28"/>
      <c r="J24" s="28" t="s">
        <v>131</v>
      </c>
      <c r="K24" s="28"/>
    </row>
    <row r="25" spans="1:11">
      <c r="A25" s="32">
        <v>3</v>
      </c>
      <c r="B25" s="12" t="s">
        <v>133</v>
      </c>
      <c r="C25" s="35">
        <v>90</v>
      </c>
      <c r="D25" s="35">
        <v>80</v>
      </c>
      <c r="E25" s="35">
        <v>91</v>
      </c>
      <c r="F25" s="34">
        <f t="shared" si="1"/>
        <v>261</v>
      </c>
      <c r="G25" s="12" t="str">
        <f t="shared" si="2"/>
        <v>B</v>
      </c>
      <c r="I25" s="28"/>
      <c r="J25" s="28"/>
      <c r="K25" s="28" t="b">
        <f>F16&gt;=AVERAGE($F$16:$F$25)</f>
        <v>0</v>
      </c>
    </row>
    <row r="26" spans="1:11">
      <c r="A26" s="93"/>
      <c r="B26" s="93"/>
      <c r="C26" s="36"/>
      <c r="D26" s="36"/>
      <c r="E26" s="36"/>
      <c r="F26" s="36"/>
      <c r="G26" s="36"/>
    </row>
    <row r="27" spans="1:11">
      <c r="A27" s="37"/>
      <c r="B27" s="37"/>
      <c r="I27" s="1" t="s">
        <v>134</v>
      </c>
    </row>
    <row r="28" spans="1:11">
      <c r="A28" s="1" t="s">
        <v>135</v>
      </c>
      <c r="D28"/>
      <c r="E28"/>
      <c r="F28"/>
      <c r="I28" s="38" t="s">
        <v>136</v>
      </c>
      <c r="J28" s="39"/>
    </row>
    <row r="29" spans="1:11">
      <c r="A29" s="12" t="s">
        <v>137</v>
      </c>
      <c r="B29" s="28" t="s">
        <v>138</v>
      </c>
      <c r="D29"/>
      <c r="E29"/>
      <c r="F29"/>
      <c r="I29" s="91">
        <f>DAVERAGE(A15:G25,4,I22:K25)</f>
        <v>87.8</v>
      </c>
      <c r="J29" s="92"/>
    </row>
    <row r="30" spans="1:11">
      <c r="A30" s="29" t="s">
        <v>139</v>
      </c>
      <c r="B30" s="40">
        <f t="array" ref="B30">MAX(($C$37:$C$56=A30)*(YEAR($F$37:$F$56)&gt;=2010)*$D$37:$D$56)</f>
        <v>135</v>
      </c>
      <c r="D30"/>
      <c r="E30"/>
      <c r="F30"/>
    </row>
    <row r="31" spans="1:11">
      <c r="A31" s="29" t="s">
        <v>140</v>
      </c>
      <c r="B31" s="40">
        <f t="array" ref="B31">MAX(($C$37:$C$56=A31)*(YEAR($F$37:$F$56)&gt;=2010)*$D$37:$D$56)</f>
        <v>90</v>
      </c>
      <c r="D31"/>
      <c r="E31"/>
      <c r="F31"/>
    </row>
    <row r="32" spans="1:11">
      <c r="A32" s="29" t="s">
        <v>141</v>
      </c>
      <c r="B32" s="40">
        <f t="array" ref="B32">MAX(($C$37:$C$56=A32)*(YEAR($F$37:$F$56)&gt;=2010)*$D$37:$D$56)</f>
        <v>160</v>
      </c>
      <c r="D32"/>
      <c r="E32"/>
      <c r="F32"/>
    </row>
    <row r="33" spans="1:9">
      <c r="A33" s="29" t="s">
        <v>142</v>
      </c>
      <c r="B33" s="40">
        <f t="array" ref="B33">MAX(($C$37:$C$56=A33)*(YEAR($F$37:$F$56)&gt;=2010)*$D$37:$D$56)</f>
        <v>66</v>
      </c>
      <c r="D33"/>
      <c r="E33"/>
      <c r="F33"/>
    </row>
    <row r="34" spans="1:9">
      <c r="D34"/>
      <c r="E34"/>
      <c r="F34"/>
    </row>
    <row r="35" spans="1:9">
      <c r="A35" s="41" t="s">
        <v>143</v>
      </c>
    </row>
    <row r="36" spans="1:9">
      <c r="A36" s="6" t="s">
        <v>144</v>
      </c>
      <c r="B36" s="12" t="s">
        <v>145</v>
      </c>
      <c r="C36" s="12" t="s">
        <v>137</v>
      </c>
      <c r="D36" s="12" t="s">
        <v>146</v>
      </c>
      <c r="E36" s="12" t="s">
        <v>147</v>
      </c>
      <c r="F36" s="12" t="s">
        <v>148</v>
      </c>
      <c r="G36" s="12" t="s">
        <v>149</v>
      </c>
      <c r="H36" s="28" t="s">
        <v>150</v>
      </c>
      <c r="I36" s="28" t="s">
        <v>151</v>
      </c>
    </row>
    <row r="37" spans="1:9">
      <c r="A37" s="29">
        <v>1</v>
      </c>
      <c r="B37" s="12" t="s">
        <v>152</v>
      </c>
      <c r="C37" s="12" t="s">
        <v>139</v>
      </c>
      <c r="D37" s="29">
        <v>25</v>
      </c>
      <c r="E37" s="42">
        <v>14000000</v>
      </c>
      <c r="F37" s="43">
        <v>40414</v>
      </c>
      <c r="G37" s="43">
        <v>41510</v>
      </c>
      <c r="H37" s="44" t="str">
        <f>TEXT(QUOTIENT(DAYS360(F37,G37),30),"00개월")</f>
        <v>36개월</v>
      </c>
      <c r="I37" s="29" t="str">
        <f>IF(LEFT(B37,1)="Y","예술빌딩("&amp;COUNTIF($B$37:B37,"Y*")&amp;")",IF(LEFT(B37,1)="W","월드빌딩("&amp;COUNTIF($B$37:B37,"W*")&amp;")","그외("&amp;COUNTIF($B$37:B37,"&lt;&gt;Y*")-COUNTIF($B$37:B37,"W*")&amp;")"))</f>
        <v>그외(1)</v>
      </c>
    </row>
    <row r="38" spans="1:9">
      <c r="A38" s="29">
        <v>2</v>
      </c>
      <c r="B38" s="12" t="s">
        <v>153</v>
      </c>
      <c r="C38" s="12" t="s">
        <v>139</v>
      </c>
      <c r="D38" s="29">
        <v>20</v>
      </c>
      <c r="E38" s="42">
        <v>10000000</v>
      </c>
      <c r="F38" s="43">
        <v>39373</v>
      </c>
      <c r="G38" s="43">
        <v>41200</v>
      </c>
      <c r="H38" s="44" t="str">
        <f t="shared" ref="H38:H56" si="3">TEXT(QUOTIENT(DAYS360(F38,G38),30),"00개월")</f>
        <v>60개월</v>
      </c>
      <c r="I38" s="29" t="str">
        <f>IF(LEFT(B38,1)="Y","예술빌딩("&amp;COUNTIF($B$37:B38,"Y*")&amp;")",IF(LEFT(B38,1)="W","월드빌딩("&amp;COUNTIF($B$37:B38,"W*")&amp;")","그외("&amp;COUNTIF($B$37:B38,"&lt;&gt;Y*")-COUNTIF($B$37:B38,"W*")&amp;")"))</f>
        <v>그외(2)</v>
      </c>
    </row>
    <row r="39" spans="1:9">
      <c r="A39" s="29">
        <v>3</v>
      </c>
      <c r="B39" s="12" t="s">
        <v>154</v>
      </c>
      <c r="C39" s="12" t="s">
        <v>140</v>
      </c>
      <c r="D39" s="29">
        <v>70</v>
      </c>
      <c r="E39" s="42">
        <v>160000000</v>
      </c>
      <c r="F39" s="43">
        <v>39407</v>
      </c>
      <c r="G39" s="43">
        <v>41264</v>
      </c>
      <c r="H39" s="44" t="str">
        <f t="shared" si="3"/>
        <v>61개월</v>
      </c>
      <c r="I39" s="29" t="str">
        <f>IF(LEFT(B39,1)="Y","예술빌딩("&amp;COUNTIF($B$37:B39,"Y*")&amp;")",IF(LEFT(B39,1)="W","월드빌딩("&amp;COUNTIF($B$37:B39,"W*")&amp;")","그외("&amp;COUNTIF($B$37:B39,"&lt;&gt;Y*")-COUNTIF($B$37:B39,"W*")&amp;")"))</f>
        <v>예술빌딩(1)</v>
      </c>
    </row>
    <row r="40" spans="1:9">
      <c r="A40" s="29">
        <v>4</v>
      </c>
      <c r="B40" s="12" t="s">
        <v>155</v>
      </c>
      <c r="C40" s="12" t="s">
        <v>140</v>
      </c>
      <c r="D40" s="29">
        <v>40</v>
      </c>
      <c r="E40" s="42">
        <v>60000000</v>
      </c>
      <c r="F40" s="43">
        <v>39448</v>
      </c>
      <c r="G40" s="43">
        <v>41275</v>
      </c>
      <c r="H40" s="44" t="str">
        <f t="shared" si="3"/>
        <v>60개월</v>
      </c>
      <c r="I40" s="29" t="str">
        <f>IF(LEFT(B40,1)="Y","예술빌딩("&amp;COUNTIF($B$37:B40,"Y*")&amp;")",IF(LEFT(B40,1)="W","월드빌딩("&amp;COUNTIF($B$37:B40,"W*")&amp;")","그외("&amp;COUNTIF($B$37:B40,"&lt;&gt;Y*")-COUNTIF($B$37:B40,"W*")&amp;")"))</f>
        <v>예술빌딩(2)</v>
      </c>
    </row>
    <row r="41" spans="1:9">
      <c r="A41" s="29">
        <v>5</v>
      </c>
      <c r="B41" s="12" t="s">
        <v>153</v>
      </c>
      <c r="C41" s="12" t="s">
        <v>139</v>
      </c>
      <c r="D41" s="29">
        <v>135</v>
      </c>
      <c r="E41" s="42">
        <v>140000000</v>
      </c>
      <c r="F41" s="43">
        <v>41145</v>
      </c>
      <c r="G41" s="43">
        <v>42240</v>
      </c>
      <c r="H41" s="44" t="str">
        <f t="shared" si="3"/>
        <v>36개월</v>
      </c>
      <c r="I41" s="29" t="str">
        <f>IF(LEFT(B41,1)="Y","예술빌딩("&amp;COUNTIF($B$37:B41,"Y*")&amp;")",IF(LEFT(B41,1)="W","월드빌딩("&amp;COUNTIF($B$37:B41,"W*")&amp;")","그외("&amp;COUNTIF($B$37:B41,"&lt;&gt;Y*")-COUNTIF($B$37:B41,"W*")&amp;")"))</f>
        <v>그외(3)</v>
      </c>
    </row>
    <row r="42" spans="1:9">
      <c r="A42" s="29">
        <v>6</v>
      </c>
      <c r="B42" s="12" t="s">
        <v>153</v>
      </c>
      <c r="C42" s="12" t="s">
        <v>139</v>
      </c>
      <c r="D42" s="29">
        <v>35</v>
      </c>
      <c r="E42" s="42">
        <v>15000000</v>
      </c>
      <c r="F42" s="43">
        <v>41569</v>
      </c>
      <c r="G42" s="43">
        <v>41934</v>
      </c>
      <c r="H42" s="44" t="str">
        <f t="shared" si="3"/>
        <v>12개월</v>
      </c>
      <c r="I42" s="29" t="str">
        <f>IF(LEFT(B42,1)="Y","예술빌딩("&amp;COUNTIF($B$37:B42,"Y*")&amp;")",IF(LEFT(B42,1)="W","월드빌딩("&amp;COUNTIF($B$37:B42,"W*")&amp;")","그외("&amp;COUNTIF($B$37:B42,"&lt;&gt;Y*")-COUNTIF($B$37:B42,"W*")&amp;")"))</f>
        <v>그외(4)</v>
      </c>
    </row>
    <row r="43" spans="1:9">
      <c r="A43" s="29">
        <v>7</v>
      </c>
      <c r="B43" s="12" t="s">
        <v>154</v>
      </c>
      <c r="C43" s="12" t="s">
        <v>140</v>
      </c>
      <c r="D43" s="29">
        <v>45</v>
      </c>
      <c r="E43" s="42">
        <v>48000000</v>
      </c>
      <c r="F43" s="43">
        <v>40503</v>
      </c>
      <c r="G43" s="43">
        <v>42359</v>
      </c>
      <c r="H43" s="44" t="str">
        <f t="shared" si="3"/>
        <v>61개월</v>
      </c>
      <c r="I43" s="29" t="str">
        <f>IF(LEFT(B43,1)="Y","예술빌딩("&amp;COUNTIF($B$37:B43,"Y*")&amp;")",IF(LEFT(B43,1)="W","월드빌딩("&amp;COUNTIF($B$37:B43,"W*")&amp;")","그외("&amp;COUNTIF($B$37:B43,"&lt;&gt;Y*")-COUNTIF($B$37:B43,"W*")&amp;")"))</f>
        <v>예술빌딩(3)</v>
      </c>
    </row>
    <row r="44" spans="1:9">
      <c r="A44" s="29">
        <v>8</v>
      </c>
      <c r="B44" s="12" t="s">
        <v>154</v>
      </c>
      <c r="C44" s="12" t="s">
        <v>140</v>
      </c>
      <c r="D44" s="29">
        <v>90</v>
      </c>
      <c r="E44" s="42">
        <v>170000000</v>
      </c>
      <c r="F44" s="43">
        <v>41599</v>
      </c>
      <c r="G44" s="43">
        <v>42695</v>
      </c>
      <c r="H44" s="44" t="str">
        <f t="shared" si="3"/>
        <v>36개월</v>
      </c>
      <c r="I44" s="29" t="str">
        <f>IF(LEFT(B44,1)="Y","예술빌딩("&amp;COUNTIF($B$37:B44,"Y*")&amp;")",IF(LEFT(B44,1)="W","월드빌딩("&amp;COUNTIF($B$37:B44,"W*")&amp;")","그외("&amp;COUNTIF($B$37:B44,"&lt;&gt;Y*")-COUNTIF($B$37:B44,"W*")&amp;")"))</f>
        <v>예술빌딩(4)</v>
      </c>
    </row>
    <row r="45" spans="1:9">
      <c r="A45" s="29">
        <v>9</v>
      </c>
      <c r="B45" s="12" t="s">
        <v>156</v>
      </c>
      <c r="C45" s="12" t="s">
        <v>140</v>
      </c>
      <c r="D45" s="29">
        <v>50</v>
      </c>
      <c r="E45" s="42">
        <v>60000000</v>
      </c>
      <c r="F45" s="43">
        <v>39873</v>
      </c>
      <c r="G45" s="43">
        <v>41699</v>
      </c>
      <c r="H45" s="44" t="str">
        <f t="shared" si="3"/>
        <v>60개월</v>
      </c>
      <c r="I45" s="29" t="str">
        <f>IF(LEFT(B45,1)="Y","예술빌딩("&amp;COUNTIF($B$37:B45,"Y*")&amp;")",IF(LEFT(B45,1)="W","월드빌딩("&amp;COUNTIF($B$37:B45,"W*")&amp;")","그외("&amp;COUNTIF($B$37:B45,"&lt;&gt;Y*")-COUNTIF($B$37:B45,"W*")&amp;")"))</f>
        <v>예술빌딩(5)</v>
      </c>
    </row>
    <row r="46" spans="1:9">
      <c r="A46" s="29">
        <v>10</v>
      </c>
      <c r="B46" s="12" t="s">
        <v>157</v>
      </c>
      <c r="C46" s="12" t="s">
        <v>141</v>
      </c>
      <c r="D46" s="29">
        <v>150</v>
      </c>
      <c r="E46" s="42">
        <v>150000000</v>
      </c>
      <c r="F46" s="43">
        <v>40728</v>
      </c>
      <c r="G46" s="43">
        <v>42189</v>
      </c>
      <c r="H46" s="44" t="str">
        <f t="shared" si="3"/>
        <v>48개월</v>
      </c>
      <c r="I46" s="29" t="str">
        <f>IF(LEFT(B46,1)="Y","예술빌딩("&amp;COUNTIF($B$37:B46,"Y*")&amp;")",IF(LEFT(B46,1)="W","월드빌딩("&amp;COUNTIF($B$37:B46,"W*")&amp;")","그외("&amp;COUNTIF($B$37:B46,"&lt;&gt;Y*")-COUNTIF($B$37:B46,"W*")&amp;")"))</f>
        <v>월드빌딩(1)</v>
      </c>
    </row>
    <row r="47" spans="1:9">
      <c r="A47" s="29">
        <v>11</v>
      </c>
      <c r="B47" s="12" t="s">
        <v>158</v>
      </c>
      <c r="C47" s="12" t="s">
        <v>142</v>
      </c>
      <c r="D47" s="29">
        <v>15</v>
      </c>
      <c r="E47" s="42">
        <v>25000000</v>
      </c>
      <c r="F47" s="43">
        <v>37857</v>
      </c>
      <c r="G47" s="43">
        <v>38223</v>
      </c>
      <c r="H47" s="44" t="str">
        <f t="shared" si="3"/>
        <v>12개월</v>
      </c>
      <c r="I47" s="29" t="str">
        <f>IF(LEFT(B47,1)="Y","예술빌딩("&amp;COUNTIF($B$37:B47,"Y*")&amp;")",IF(LEFT(B47,1)="W","월드빌딩("&amp;COUNTIF($B$37:B47,"W*")&amp;")","그외("&amp;COUNTIF($B$37:B47,"&lt;&gt;Y*")-COUNTIF($B$37:B47,"W*")&amp;")"))</f>
        <v>그외(5)</v>
      </c>
    </row>
    <row r="48" spans="1:9">
      <c r="A48" s="29">
        <v>12</v>
      </c>
      <c r="B48" s="12" t="s">
        <v>157</v>
      </c>
      <c r="C48" s="12" t="s">
        <v>141</v>
      </c>
      <c r="D48" s="29">
        <v>32</v>
      </c>
      <c r="E48" s="42">
        <v>30000000</v>
      </c>
      <c r="F48" s="43">
        <v>41147</v>
      </c>
      <c r="G48" s="43">
        <v>42242</v>
      </c>
      <c r="H48" s="44" t="str">
        <f t="shared" si="3"/>
        <v>36개월</v>
      </c>
      <c r="I48" s="29" t="str">
        <f>IF(LEFT(B48,1)="Y","예술빌딩("&amp;COUNTIF($B$37:B48,"Y*")&amp;")",IF(LEFT(B48,1)="W","월드빌딩("&amp;COUNTIF($B$37:B48,"W*")&amp;")","그외("&amp;COUNTIF($B$37:B48,"&lt;&gt;Y*")-COUNTIF($B$37:B48,"W*")&amp;")"))</f>
        <v>월드빌딩(2)</v>
      </c>
    </row>
    <row r="49" spans="1:9">
      <c r="A49" s="29">
        <v>13</v>
      </c>
      <c r="B49" s="12" t="s">
        <v>157</v>
      </c>
      <c r="C49" s="12" t="s">
        <v>141</v>
      </c>
      <c r="D49" s="29">
        <v>160</v>
      </c>
      <c r="E49" s="42">
        <v>160000000</v>
      </c>
      <c r="F49" s="43">
        <v>40839</v>
      </c>
      <c r="G49" s="43">
        <v>42300</v>
      </c>
      <c r="H49" s="44" t="str">
        <f t="shared" si="3"/>
        <v>48개월</v>
      </c>
      <c r="I49" s="29" t="str">
        <f>IF(LEFT(B49,1)="Y","예술빌딩("&amp;COUNTIF($B$37:B49,"Y*")&amp;")",IF(LEFT(B49,1)="W","월드빌딩("&amp;COUNTIF($B$37:B49,"W*")&amp;")","그외("&amp;COUNTIF($B$37:B49,"&lt;&gt;Y*")-COUNTIF($B$37:B49,"W*")&amp;")"))</f>
        <v>월드빌딩(3)</v>
      </c>
    </row>
    <row r="50" spans="1:9">
      <c r="A50" s="29">
        <v>14</v>
      </c>
      <c r="B50" s="12" t="s">
        <v>157</v>
      </c>
      <c r="C50" s="12" t="s">
        <v>141</v>
      </c>
      <c r="D50" s="29">
        <v>36</v>
      </c>
      <c r="E50" s="42">
        <v>60000000</v>
      </c>
      <c r="F50" s="43">
        <v>41570</v>
      </c>
      <c r="G50" s="43">
        <v>41935</v>
      </c>
      <c r="H50" s="44" t="str">
        <f t="shared" si="3"/>
        <v>12개월</v>
      </c>
      <c r="I50" s="29" t="str">
        <f>IF(LEFT(B50,1)="Y","예술빌딩("&amp;COUNTIF($B$37:B50,"Y*")&amp;")",IF(LEFT(B50,1)="W","월드빌딩("&amp;COUNTIF($B$37:B50,"W*")&amp;")","그외("&amp;COUNTIF($B$37:B50,"&lt;&gt;Y*")-COUNTIF($B$37:B50,"W*")&amp;")"))</f>
        <v>월드빌딩(4)</v>
      </c>
    </row>
    <row r="51" spans="1:9">
      <c r="A51" s="29">
        <v>15</v>
      </c>
      <c r="B51" s="12" t="s">
        <v>157</v>
      </c>
      <c r="C51" s="12" t="s">
        <v>141</v>
      </c>
      <c r="D51" s="29">
        <v>39</v>
      </c>
      <c r="E51" s="42">
        <v>60000000</v>
      </c>
      <c r="F51" s="43">
        <v>40109</v>
      </c>
      <c r="G51" s="43">
        <v>41570</v>
      </c>
      <c r="H51" s="44" t="str">
        <f t="shared" si="3"/>
        <v>48개월</v>
      </c>
      <c r="I51" s="29" t="str">
        <f>IF(LEFT(B51,1)="Y","예술빌딩("&amp;COUNTIF($B$37:B51,"Y*")&amp;")",IF(LEFT(B51,1)="W","월드빌딩("&amp;COUNTIF($B$37:B51,"W*")&amp;")","그외("&amp;COUNTIF($B$37:B51,"&lt;&gt;Y*")-COUNTIF($B$37:B51,"W*")&amp;")"))</f>
        <v>월드빌딩(5)</v>
      </c>
    </row>
    <row r="52" spans="1:9">
      <c r="A52" s="29">
        <v>16</v>
      </c>
      <c r="B52" s="12" t="s">
        <v>159</v>
      </c>
      <c r="C52" s="12" t="s">
        <v>142</v>
      </c>
      <c r="D52" s="29">
        <v>66</v>
      </c>
      <c r="E52" s="42">
        <v>110000000</v>
      </c>
      <c r="F52" s="43">
        <v>40873</v>
      </c>
      <c r="G52" s="43">
        <v>41969</v>
      </c>
      <c r="H52" s="44" t="str">
        <f t="shared" si="3"/>
        <v>36개월</v>
      </c>
      <c r="I52" s="29" t="str">
        <f>IF(LEFT(B52,1)="Y","예술빌딩("&amp;COUNTIF($B$37:B52,"Y*")&amp;")",IF(LEFT(B52,1)="W","월드빌딩("&amp;COUNTIF($B$37:B52,"W*")&amp;")","그외("&amp;COUNTIF($B$37:B52,"&lt;&gt;Y*")-COUNTIF($B$37:B52,"W*")&amp;")"))</f>
        <v>그외(6)</v>
      </c>
    </row>
    <row r="53" spans="1:9">
      <c r="A53" s="29">
        <v>17</v>
      </c>
      <c r="B53" s="12" t="s">
        <v>158</v>
      </c>
      <c r="C53" s="12" t="s">
        <v>142</v>
      </c>
      <c r="D53" s="29">
        <v>35</v>
      </c>
      <c r="E53" s="42">
        <v>6000000</v>
      </c>
      <c r="F53" s="43">
        <v>41295</v>
      </c>
      <c r="G53" s="43">
        <v>42025</v>
      </c>
      <c r="H53" s="44" t="str">
        <f t="shared" si="3"/>
        <v>24개월</v>
      </c>
      <c r="I53" s="29" t="str">
        <f>IF(LEFT(B53,1)="Y","예술빌딩("&amp;COUNTIF($B$37:B53,"Y*")&amp;")",IF(LEFT(B53,1)="W","월드빌딩("&amp;COUNTIF($B$37:B53,"W*")&amp;")","그외("&amp;COUNTIF($B$37:B53,"&lt;&gt;Y*")-COUNTIF($B$37:B53,"W*")&amp;")"))</f>
        <v>그외(7)</v>
      </c>
    </row>
    <row r="54" spans="1:9">
      <c r="A54" s="29">
        <v>18</v>
      </c>
      <c r="B54" s="12" t="s">
        <v>157</v>
      </c>
      <c r="C54" s="12" t="s">
        <v>141</v>
      </c>
      <c r="D54" s="29">
        <v>110</v>
      </c>
      <c r="E54" s="42">
        <v>120000000</v>
      </c>
      <c r="F54" s="43">
        <v>41127</v>
      </c>
      <c r="G54" s="43">
        <v>42222</v>
      </c>
      <c r="H54" s="44" t="str">
        <f t="shared" si="3"/>
        <v>36개월</v>
      </c>
      <c r="I54" s="29" t="str">
        <f>IF(LEFT(B54,1)="Y","예술빌딩("&amp;COUNTIF($B$37:B54,"Y*")&amp;")",IF(LEFT(B54,1)="W","월드빌딩("&amp;COUNTIF($B$37:B54,"W*")&amp;")","그외("&amp;COUNTIF($B$37:B54,"&lt;&gt;Y*")-COUNTIF($B$37:B54,"W*")&amp;")"))</f>
        <v>월드빌딩(6)</v>
      </c>
    </row>
    <row r="55" spans="1:9">
      <c r="A55" s="29">
        <v>19</v>
      </c>
      <c r="B55" s="12" t="s">
        <v>155</v>
      </c>
      <c r="C55" s="12" t="s">
        <v>140</v>
      </c>
      <c r="D55" s="29">
        <v>40</v>
      </c>
      <c r="E55" s="42">
        <v>60000000</v>
      </c>
      <c r="F55" s="43">
        <v>41509</v>
      </c>
      <c r="G55" s="43">
        <v>42970</v>
      </c>
      <c r="H55" s="44" t="str">
        <f t="shared" si="3"/>
        <v>48개월</v>
      </c>
      <c r="I55" s="29" t="str">
        <f>IF(LEFT(B55,1)="Y","예술빌딩("&amp;COUNTIF($B$37:B55,"Y*")&amp;")",IF(LEFT(B55,1)="W","월드빌딩("&amp;COUNTIF($B$37:B55,"W*")&amp;")","그외("&amp;COUNTIF($B$37:B55,"&lt;&gt;Y*")-COUNTIF($B$37:B55,"W*")&amp;")"))</f>
        <v>예술빌딩(6)</v>
      </c>
    </row>
    <row r="56" spans="1:9">
      <c r="A56" s="29">
        <v>20</v>
      </c>
      <c r="B56" s="12" t="s">
        <v>160</v>
      </c>
      <c r="C56" s="12" t="s">
        <v>142</v>
      </c>
      <c r="D56" s="29">
        <v>15</v>
      </c>
      <c r="E56" s="42">
        <v>10000000</v>
      </c>
      <c r="F56" s="43">
        <v>40301</v>
      </c>
      <c r="G56" s="43">
        <v>42127</v>
      </c>
      <c r="H56" s="44" t="str">
        <f t="shared" si="3"/>
        <v>60개월</v>
      </c>
      <c r="I56" s="29" t="str">
        <f>IF(LEFT(B56,1)="Y","예술빌딩("&amp;COUNTIF($B$37:B56,"Y*")&amp;")",IF(LEFT(B56,1)="W","월드빌딩("&amp;COUNTIF($B$37:B56,"W*")&amp;")","그외("&amp;COUNTIF($B$37:B56,"&lt;&gt;Y*")-COUNTIF($B$37:B56,"W*")&amp;")"))</f>
        <v>그외(8)</v>
      </c>
    </row>
  </sheetData>
  <mergeCells count="3">
    <mergeCell ref="I15:J15"/>
    <mergeCell ref="A26:B26"/>
    <mergeCell ref="I29:J29"/>
  </mergeCells>
  <phoneticPr fontId="5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34"/>
  <sheetViews>
    <sheetView workbookViewId="0"/>
  </sheetViews>
  <sheetFormatPr defaultRowHeight="16.5"/>
  <cols>
    <col min="1" max="1" width="9" style="1"/>
    <col min="2" max="2" width="11.375" style="1" customWidth="1"/>
    <col min="3" max="3" width="10.375" style="1" customWidth="1"/>
    <col min="4" max="4" width="12.375" style="1" bestFit="1" customWidth="1"/>
    <col min="5" max="5" width="10.125" style="1" customWidth="1"/>
    <col min="6" max="6" width="10.5" style="1" customWidth="1"/>
    <col min="7" max="7" width="9" style="1"/>
    <col min="8" max="8" width="11.875" style="1" bestFit="1" customWidth="1"/>
    <col min="9" max="9" width="20.75" style="1" bestFit="1" customWidth="1"/>
    <col min="10" max="10" width="16.625" style="1" bestFit="1" customWidth="1"/>
    <col min="11" max="16384" width="9" style="1"/>
  </cols>
  <sheetData>
    <row r="1" spans="1:10">
      <c r="A1" s="81" t="s">
        <v>247</v>
      </c>
      <c r="B1" s="81" t="s">
        <v>248</v>
      </c>
      <c r="C1" s="81" t="s">
        <v>249</v>
      </c>
      <c r="D1" s="81" t="s">
        <v>250</v>
      </c>
      <c r="E1" s="81" t="s">
        <v>251</v>
      </c>
      <c r="F1" s="81" t="s">
        <v>252</v>
      </c>
      <c r="H1" s="85" t="s">
        <v>249</v>
      </c>
      <c r="I1" t="s">
        <v>297</v>
      </c>
    </row>
    <row r="2" spans="1:10">
      <c r="A2" s="82">
        <v>1</v>
      </c>
      <c r="B2" s="83">
        <v>42737</v>
      </c>
      <c r="C2" s="82" t="s">
        <v>253</v>
      </c>
      <c r="D2" s="82">
        <v>628</v>
      </c>
      <c r="E2" s="82" t="s">
        <v>254</v>
      </c>
      <c r="F2" s="84">
        <v>6908</v>
      </c>
    </row>
    <row r="3" spans="1:10">
      <c r="A3" s="82">
        <v>2</v>
      </c>
      <c r="B3" s="83">
        <v>42738</v>
      </c>
      <c r="C3" s="82" t="s">
        <v>255</v>
      </c>
      <c r="D3" s="82">
        <v>739</v>
      </c>
      <c r="E3" s="82" t="s">
        <v>256</v>
      </c>
      <c r="F3" s="84">
        <v>9607</v>
      </c>
      <c r="H3" s="85" t="s">
        <v>247</v>
      </c>
      <c r="I3" t="s">
        <v>299</v>
      </c>
      <c r="J3" t="s">
        <v>300</v>
      </c>
    </row>
    <row r="4" spans="1:10">
      <c r="A4" s="82">
        <v>3</v>
      </c>
      <c r="B4" s="83">
        <v>42739</v>
      </c>
      <c r="C4" s="82" t="s">
        <v>257</v>
      </c>
      <c r="D4" s="82">
        <v>629</v>
      </c>
      <c r="E4" s="82" t="s">
        <v>258</v>
      </c>
      <c r="F4" s="84">
        <v>9435</v>
      </c>
      <c r="H4" s="86" t="s">
        <v>301</v>
      </c>
      <c r="I4" s="87">
        <v>478</v>
      </c>
      <c r="J4" s="88">
        <v>2390</v>
      </c>
    </row>
    <row r="5" spans="1:10">
      <c r="A5" s="82">
        <v>4</v>
      </c>
      <c r="B5" s="83">
        <v>42740</v>
      </c>
      <c r="C5" s="82" t="s">
        <v>259</v>
      </c>
      <c r="D5" s="82">
        <v>478</v>
      </c>
      <c r="E5" s="82" t="s">
        <v>260</v>
      </c>
      <c r="F5" s="84">
        <v>2390</v>
      </c>
      <c r="H5" s="86" t="s">
        <v>302</v>
      </c>
      <c r="I5" s="87">
        <v>168</v>
      </c>
      <c r="J5" s="88">
        <v>1848</v>
      </c>
    </row>
    <row r="6" spans="1:10">
      <c r="A6" s="82">
        <v>5</v>
      </c>
      <c r="B6" s="83">
        <v>42741</v>
      </c>
      <c r="C6" s="82" t="s">
        <v>261</v>
      </c>
      <c r="D6" s="82">
        <v>686</v>
      </c>
      <c r="E6" s="82" t="s">
        <v>254</v>
      </c>
      <c r="F6" s="84">
        <v>7546</v>
      </c>
      <c r="H6" s="86" t="s">
        <v>303</v>
      </c>
      <c r="I6" s="87">
        <v>142</v>
      </c>
      <c r="J6" s="88">
        <v>1140</v>
      </c>
    </row>
    <row r="7" spans="1:10">
      <c r="A7" s="82">
        <v>6</v>
      </c>
      <c r="B7" s="83">
        <v>42742</v>
      </c>
      <c r="C7" s="82" t="s">
        <v>262</v>
      </c>
      <c r="D7" s="82">
        <v>168</v>
      </c>
      <c r="E7" s="82" t="s">
        <v>263</v>
      </c>
      <c r="F7" s="84">
        <v>1848</v>
      </c>
      <c r="H7" s="86" t="s">
        <v>304</v>
      </c>
      <c r="I7" s="87">
        <v>77</v>
      </c>
      <c r="J7" s="88">
        <v>847</v>
      </c>
    </row>
    <row r="8" spans="1:10">
      <c r="A8" s="82">
        <v>7</v>
      </c>
      <c r="B8" s="83">
        <v>42743</v>
      </c>
      <c r="C8" s="82" t="s">
        <v>261</v>
      </c>
      <c r="D8" s="82">
        <v>204</v>
      </c>
      <c r="E8" s="82" t="s">
        <v>264</v>
      </c>
      <c r="F8" s="84">
        <v>2856</v>
      </c>
      <c r="H8" s="86" t="s">
        <v>305</v>
      </c>
      <c r="I8" s="87">
        <v>253</v>
      </c>
      <c r="J8" s="88">
        <v>2783</v>
      </c>
    </row>
    <row r="9" spans="1:10">
      <c r="A9" s="82">
        <v>8</v>
      </c>
      <c r="B9" s="83">
        <v>42744</v>
      </c>
      <c r="C9" s="82" t="s">
        <v>265</v>
      </c>
      <c r="D9" s="82">
        <v>501</v>
      </c>
      <c r="E9" s="82" t="s">
        <v>266</v>
      </c>
      <c r="F9" s="84">
        <v>4008</v>
      </c>
      <c r="H9" s="86" t="s">
        <v>306</v>
      </c>
      <c r="I9" s="87">
        <v>334</v>
      </c>
      <c r="J9" s="88">
        <v>2565</v>
      </c>
    </row>
    <row r="10" spans="1:10">
      <c r="A10" s="82">
        <v>9</v>
      </c>
      <c r="B10" s="83">
        <v>42745</v>
      </c>
      <c r="C10" s="82" t="s">
        <v>267</v>
      </c>
      <c r="D10" s="82">
        <v>826</v>
      </c>
      <c r="E10" s="82" t="s">
        <v>268</v>
      </c>
      <c r="F10" s="84">
        <v>8260</v>
      </c>
      <c r="H10" s="86" t="s">
        <v>298</v>
      </c>
      <c r="I10" s="87">
        <v>77</v>
      </c>
      <c r="J10" s="88">
        <v>847</v>
      </c>
    </row>
    <row r="11" spans="1:10">
      <c r="A11" s="82">
        <v>10</v>
      </c>
      <c r="B11" s="83">
        <v>42746</v>
      </c>
      <c r="C11" s="82" t="s">
        <v>269</v>
      </c>
      <c r="D11" s="82">
        <v>178</v>
      </c>
      <c r="E11" s="82" t="s">
        <v>270</v>
      </c>
      <c r="F11" s="84">
        <v>1958</v>
      </c>
      <c r="H11"/>
      <c r="I11"/>
      <c r="J11"/>
    </row>
    <row r="12" spans="1:10">
      <c r="A12" s="82">
        <v>11</v>
      </c>
      <c r="B12" s="83">
        <v>42747</v>
      </c>
      <c r="C12" s="82" t="s">
        <v>267</v>
      </c>
      <c r="D12" s="82">
        <v>648</v>
      </c>
      <c r="E12" s="82" t="s">
        <v>271</v>
      </c>
      <c r="F12" s="84">
        <v>10368</v>
      </c>
      <c r="H12"/>
      <c r="I12"/>
      <c r="J12"/>
    </row>
    <row r="13" spans="1:10">
      <c r="A13" s="82">
        <v>12</v>
      </c>
      <c r="B13" s="83">
        <v>42748</v>
      </c>
      <c r="C13" s="82" t="s">
        <v>257</v>
      </c>
      <c r="D13" s="82">
        <v>808</v>
      </c>
      <c r="E13" s="82" t="s">
        <v>272</v>
      </c>
      <c r="F13" s="84">
        <v>9696</v>
      </c>
      <c r="H13"/>
      <c r="I13"/>
      <c r="J13"/>
    </row>
    <row r="14" spans="1:10">
      <c r="A14" s="82">
        <v>13</v>
      </c>
      <c r="B14" s="83">
        <v>42749</v>
      </c>
      <c r="C14" s="82" t="s">
        <v>273</v>
      </c>
      <c r="D14" s="82">
        <v>897</v>
      </c>
      <c r="E14" s="82" t="s">
        <v>274</v>
      </c>
      <c r="F14" s="84">
        <v>8970</v>
      </c>
      <c r="H14"/>
      <c r="I14"/>
      <c r="J14"/>
    </row>
    <row r="15" spans="1:10">
      <c r="A15" s="82">
        <v>14</v>
      </c>
      <c r="B15" s="83">
        <v>42750</v>
      </c>
      <c r="C15" s="82" t="s">
        <v>275</v>
      </c>
      <c r="D15" s="82">
        <v>228</v>
      </c>
      <c r="E15" s="82" t="s">
        <v>276</v>
      </c>
      <c r="F15" s="84">
        <v>1140</v>
      </c>
      <c r="H15"/>
      <c r="I15"/>
      <c r="J15"/>
    </row>
    <row r="16" spans="1:10">
      <c r="A16" s="82">
        <v>15</v>
      </c>
      <c r="B16" s="83">
        <v>42751</v>
      </c>
      <c r="C16" s="82" t="s">
        <v>257</v>
      </c>
      <c r="D16" s="82">
        <v>142</v>
      </c>
      <c r="E16" s="82" t="s">
        <v>270</v>
      </c>
      <c r="F16" s="84">
        <v>1562</v>
      </c>
      <c r="H16"/>
      <c r="I16"/>
      <c r="J16"/>
    </row>
    <row r="17" spans="1:10">
      <c r="A17" s="82">
        <v>16</v>
      </c>
      <c r="B17" s="83">
        <v>42752</v>
      </c>
      <c r="C17" s="82" t="s">
        <v>277</v>
      </c>
      <c r="D17" s="82">
        <v>77</v>
      </c>
      <c r="E17" s="82" t="s">
        <v>278</v>
      </c>
      <c r="F17" s="84">
        <v>847</v>
      </c>
      <c r="H17"/>
      <c r="I17"/>
      <c r="J17"/>
    </row>
    <row r="18" spans="1:10">
      <c r="A18" s="82">
        <v>17</v>
      </c>
      <c r="B18" s="83">
        <v>42753</v>
      </c>
      <c r="C18" s="82" t="s">
        <v>279</v>
      </c>
      <c r="D18" s="82">
        <v>83</v>
      </c>
      <c r="E18" s="82" t="s">
        <v>271</v>
      </c>
      <c r="F18" s="84">
        <v>1328</v>
      </c>
      <c r="H18"/>
      <c r="I18"/>
      <c r="J18"/>
    </row>
    <row r="19" spans="1:10">
      <c r="A19" s="82">
        <v>18</v>
      </c>
      <c r="B19" s="83">
        <v>42754</v>
      </c>
      <c r="C19" s="82" t="s">
        <v>280</v>
      </c>
      <c r="D19" s="82">
        <v>893</v>
      </c>
      <c r="E19" s="82" t="s">
        <v>281</v>
      </c>
      <c r="F19" s="84">
        <v>13395</v>
      </c>
      <c r="H19"/>
      <c r="I19"/>
      <c r="J19"/>
    </row>
    <row r="20" spans="1:10">
      <c r="A20" s="82">
        <v>19</v>
      </c>
      <c r="B20" s="83">
        <v>42755</v>
      </c>
      <c r="C20" s="82" t="s">
        <v>282</v>
      </c>
      <c r="D20" s="82">
        <v>652</v>
      </c>
      <c r="E20" s="82" t="s">
        <v>283</v>
      </c>
      <c r="F20" s="84">
        <v>3260</v>
      </c>
      <c r="H20"/>
      <c r="I20"/>
      <c r="J20"/>
    </row>
    <row r="21" spans="1:10">
      <c r="A21" s="82">
        <v>20</v>
      </c>
      <c r="B21" s="83">
        <v>42756</v>
      </c>
      <c r="C21" s="82" t="s">
        <v>284</v>
      </c>
      <c r="D21" s="82">
        <v>777</v>
      </c>
      <c r="E21" s="82" t="s">
        <v>285</v>
      </c>
      <c r="F21" s="84">
        <v>6993</v>
      </c>
      <c r="H21"/>
      <c r="I21"/>
      <c r="J21"/>
    </row>
    <row r="22" spans="1:10">
      <c r="A22" s="82">
        <v>21</v>
      </c>
      <c r="B22" s="83">
        <v>42757</v>
      </c>
      <c r="C22" s="82" t="s">
        <v>257</v>
      </c>
      <c r="D22" s="82">
        <v>460</v>
      </c>
      <c r="E22" s="82" t="s">
        <v>286</v>
      </c>
      <c r="F22" s="84">
        <v>4140</v>
      </c>
      <c r="H22"/>
      <c r="I22"/>
      <c r="J22"/>
    </row>
    <row r="23" spans="1:10">
      <c r="A23" s="82">
        <v>22</v>
      </c>
      <c r="B23" s="83">
        <v>42758</v>
      </c>
      <c r="C23" s="82" t="s">
        <v>287</v>
      </c>
      <c r="D23" s="82">
        <v>296</v>
      </c>
      <c r="E23" s="82" t="s">
        <v>263</v>
      </c>
      <c r="F23" s="84">
        <v>3256</v>
      </c>
      <c r="H23"/>
      <c r="I23"/>
      <c r="J23"/>
    </row>
    <row r="24" spans="1:10">
      <c r="A24" s="82">
        <v>23</v>
      </c>
      <c r="B24" s="83">
        <v>42759</v>
      </c>
      <c r="C24" s="82" t="s">
        <v>288</v>
      </c>
      <c r="D24" s="82">
        <v>803</v>
      </c>
      <c r="E24" s="82" t="s">
        <v>289</v>
      </c>
      <c r="F24" s="84">
        <v>8833</v>
      </c>
      <c r="H24"/>
      <c r="I24"/>
      <c r="J24"/>
    </row>
    <row r="25" spans="1:10">
      <c r="A25" s="82">
        <v>24</v>
      </c>
      <c r="B25" s="83">
        <v>42760</v>
      </c>
      <c r="C25" s="82" t="s">
        <v>259</v>
      </c>
      <c r="D25" s="82">
        <v>253</v>
      </c>
      <c r="E25" s="82" t="s">
        <v>290</v>
      </c>
      <c r="F25" s="84">
        <v>2783</v>
      </c>
      <c r="H25"/>
      <c r="I25"/>
      <c r="J25"/>
    </row>
    <row r="26" spans="1:10">
      <c r="A26" s="82">
        <v>25</v>
      </c>
      <c r="B26" s="83">
        <v>42761</v>
      </c>
      <c r="C26" s="82" t="s">
        <v>291</v>
      </c>
      <c r="D26" s="82">
        <v>765</v>
      </c>
      <c r="E26" s="82" t="s">
        <v>290</v>
      </c>
      <c r="F26" s="84">
        <v>8415</v>
      </c>
      <c r="H26"/>
      <c r="I26"/>
      <c r="J26"/>
    </row>
    <row r="27" spans="1:10">
      <c r="A27" s="82">
        <v>26</v>
      </c>
      <c r="B27" s="83">
        <v>42762</v>
      </c>
      <c r="C27" s="82" t="s">
        <v>259</v>
      </c>
      <c r="D27" s="82">
        <v>350</v>
      </c>
      <c r="E27" s="82" t="s">
        <v>285</v>
      </c>
      <c r="F27" s="84">
        <v>3150</v>
      </c>
      <c r="H27"/>
      <c r="I27"/>
      <c r="J27"/>
    </row>
    <row r="28" spans="1:10">
      <c r="A28" s="82">
        <v>27</v>
      </c>
      <c r="B28" s="83">
        <v>42763</v>
      </c>
      <c r="C28" s="82" t="s">
        <v>292</v>
      </c>
      <c r="D28" s="82">
        <v>334</v>
      </c>
      <c r="E28" s="82" t="s">
        <v>270</v>
      </c>
      <c r="F28" s="84">
        <v>3674</v>
      </c>
      <c r="H28"/>
      <c r="I28"/>
      <c r="J28"/>
    </row>
    <row r="29" spans="1:10">
      <c r="A29" s="82">
        <v>28</v>
      </c>
      <c r="B29" s="83">
        <v>42764</v>
      </c>
      <c r="C29" s="82" t="s">
        <v>267</v>
      </c>
      <c r="D29" s="82">
        <v>526</v>
      </c>
      <c r="E29" s="82" t="s">
        <v>293</v>
      </c>
      <c r="F29" s="84">
        <v>6312</v>
      </c>
      <c r="H29"/>
      <c r="I29"/>
      <c r="J29"/>
    </row>
    <row r="30" spans="1:10">
      <c r="A30" s="82">
        <v>29</v>
      </c>
      <c r="B30" s="83">
        <v>42765</v>
      </c>
      <c r="C30" s="82" t="s">
        <v>294</v>
      </c>
      <c r="D30" s="82">
        <v>849</v>
      </c>
      <c r="E30" s="82" t="s">
        <v>295</v>
      </c>
      <c r="F30" s="84">
        <v>9339</v>
      </c>
      <c r="H30"/>
      <c r="I30"/>
      <c r="J30"/>
    </row>
    <row r="31" spans="1:10">
      <c r="A31" s="82">
        <v>30</v>
      </c>
      <c r="B31" s="83">
        <v>42767</v>
      </c>
      <c r="C31" s="82" t="s">
        <v>277</v>
      </c>
      <c r="D31" s="82">
        <v>513</v>
      </c>
      <c r="E31" s="82" t="s">
        <v>296</v>
      </c>
      <c r="F31" s="84">
        <v>2565</v>
      </c>
      <c r="H31"/>
      <c r="I31"/>
      <c r="J31"/>
    </row>
    <row r="32" spans="1:10">
      <c r="H32"/>
      <c r="I32"/>
      <c r="J32"/>
    </row>
    <row r="33" spans="8:10">
      <c r="H33"/>
      <c r="I33"/>
      <c r="J33"/>
    </row>
    <row r="34" spans="8:10">
      <c r="H34"/>
      <c r="I34"/>
      <c r="J34"/>
    </row>
  </sheetData>
  <phoneticPr fontId="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"/>
  <sheetViews>
    <sheetView workbookViewId="0">
      <selection activeCell="E35" sqref="E35"/>
    </sheetView>
  </sheetViews>
  <sheetFormatPr defaultRowHeight="16.5"/>
  <cols>
    <col min="1" max="1" width="8.75" style="1" customWidth="1"/>
    <col min="2" max="2" width="9" style="1"/>
    <col min="3" max="3" width="9.25" style="1" customWidth="1"/>
    <col min="4" max="6" width="9" style="1"/>
    <col min="7" max="7" width="10.25" style="1" customWidth="1"/>
    <col min="8" max="8" width="2.625" style="1" customWidth="1"/>
    <col min="9" max="16384" width="9" style="1"/>
  </cols>
  <sheetData>
    <row r="1" spans="1:7" s="45" customFormat="1" ht="17.25">
      <c r="A1" s="94" t="s">
        <v>161</v>
      </c>
      <c r="B1" s="94"/>
      <c r="C1" s="94"/>
      <c r="D1" s="94"/>
      <c r="E1" s="94"/>
      <c r="F1" s="94"/>
      <c r="G1" s="94"/>
    </row>
    <row r="2" spans="1:7">
      <c r="A2" s="46" t="s">
        <v>162</v>
      </c>
      <c r="B2" s="47" t="s">
        <v>163</v>
      </c>
      <c r="C2" s="48" t="s">
        <v>164</v>
      </c>
      <c r="D2" s="48" t="s">
        <v>165</v>
      </c>
      <c r="E2" s="48" t="s">
        <v>166</v>
      </c>
      <c r="F2" s="48" t="s">
        <v>167</v>
      </c>
      <c r="G2" s="48" t="s">
        <v>168</v>
      </c>
    </row>
    <row r="3" spans="1:7">
      <c r="A3" s="46" t="s">
        <v>169</v>
      </c>
      <c r="B3" s="49" t="s">
        <v>170</v>
      </c>
      <c r="C3" s="50">
        <v>1</v>
      </c>
      <c r="D3" s="51">
        <f t="shared" ref="D3:D10" si="0">100-(C3*2)</f>
        <v>98</v>
      </c>
      <c r="E3" s="50">
        <v>90</v>
      </c>
      <c r="F3" s="52">
        <v>88</v>
      </c>
      <c r="G3" s="50">
        <f t="shared" ref="G3:G10" si="1">SUM(D3:F3)/3</f>
        <v>92</v>
      </c>
    </row>
    <row r="4" spans="1:7">
      <c r="A4" s="46" t="s">
        <v>171</v>
      </c>
      <c r="B4" s="49" t="s">
        <v>172</v>
      </c>
      <c r="C4" s="50">
        <v>3</v>
      </c>
      <c r="D4" s="51">
        <f t="shared" si="0"/>
        <v>94</v>
      </c>
      <c r="E4" s="50">
        <v>100</v>
      </c>
      <c r="F4" s="52">
        <v>90</v>
      </c>
      <c r="G4" s="50">
        <f t="shared" si="1"/>
        <v>94.666666666666671</v>
      </c>
    </row>
    <row r="5" spans="1:7">
      <c r="A5" s="46" t="s">
        <v>173</v>
      </c>
      <c r="B5" s="49" t="s">
        <v>174</v>
      </c>
      <c r="C5" s="50">
        <v>2</v>
      </c>
      <c r="D5" s="51">
        <f t="shared" si="0"/>
        <v>96</v>
      </c>
      <c r="E5" s="50">
        <v>87</v>
      </c>
      <c r="F5" s="52">
        <v>95</v>
      </c>
      <c r="G5" s="50">
        <f t="shared" si="1"/>
        <v>92.666666666666671</v>
      </c>
    </row>
    <row r="6" spans="1:7">
      <c r="A6" s="46" t="s">
        <v>175</v>
      </c>
      <c r="B6" s="49" t="s">
        <v>172</v>
      </c>
      <c r="C6" s="50">
        <v>8</v>
      </c>
      <c r="D6" s="51">
        <f t="shared" si="0"/>
        <v>84</v>
      </c>
      <c r="E6" s="50">
        <v>78</v>
      </c>
      <c r="F6" s="52">
        <v>80</v>
      </c>
      <c r="G6" s="50">
        <f t="shared" si="1"/>
        <v>80.666666666666671</v>
      </c>
    </row>
    <row r="7" spans="1:7">
      <c r="A7" s="46" t="s">
        <v>176</v>
      </c>
      <c r="B7" s="49" t="s">
        <v>177</v>
      </c>
      <c r="C7" s="50">
        <v>5</v>
      </c>
      <c r="D7" s="51">
        <f t="shared" si="0"/>
        <v>90</v>
      </c>
      <c r="E7" s="50">
        <v>119.99999999999997</v>
      </c>
      <c r="F7" s="52">
        <v>94</v>
      </c>
      <c r="G7" s="50">
        <v>101.33333333333333</v>
      </c>
    </row>
    <row r="8" spans="1:7">
      <c r="A8" s="46" t="s">
        <v>178</v>
      </c>
      <c r="B8" s="49" t="s">
        <v>174</v>
      </c>
      <c r="C8" s="50">
        <v>6</v>
      </c>
      <c r="D8" s="51">
        <f t="shared" si="0"/>
        <v>88</v>
      </c>
      <c r="E8" s="50">
        <v>66</v>
      </c>
      <c r="F8" s="52">
        <v>90</v>
      </c>
      <c r="G8" s="50">
        <f t="shared" si="1"/>
        <v>81.333333333333329</v>
      </c>
    </row>
    <row r="9" spans="1:7">
      <c r="A9" s="46" t="s">
        <v>179</v>
      </c>
      <c r="B9" s="49" t="s">
        <v>177</v>
      </c>
      <c r="C9" s="50">
        <v>4</v>
      </c>
      <c r="D9" s="51">
        <f t="shared" si="0"/>
        <v>92</v>
      </c>
      <c r="E9" s="50">
        <v>89</v>
      </c>
      <c r="F9" s="52">
        <v>88</v>
      </c>
      <c r="G9" s="50">
        <f t="shared" si="1"/>
        <v>89.666666666666671</v>
      </c>
    </row>
    <row r="10" spans="1:7">
      <c r="A10" s="46" t="s">
        <v>180</v>
      </c>
      <c r="B10" s="49" t="s">
        <v>174</v>
      </c>
      <c r="C10" s="50">
        <v>2</v>
      </c>
      <c r="D10" s="51">
        <f t="shared" si="0"/>
        <v>96</v>
      </c>
      <c r="E10" s="50">
        <v>90</v>
      </c>
      <c r="F10" s="52">
        <v>95</v>
      </c>
      <c r="G10" s="50">
        <f t="shared" si="1"/>
        <v>93.666666666666671</v>
      </c>
    </row>
  </sheetData>
  <mergeCells count="1">
    <mergeCell ref="A1:G1"/>
  </mergeCells>
  <phoneticPr fontId="5" type="noConversion"/>
  <conditionalFormatting sqref="G3:G1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{B3D750AC-BCF8-4CDB-8243-80DA218408C8}</x14:id>
        </ext>
      </extLst>
    </cfRule>
  </conditionalFormatting>
  <pageMargins left="0.75" right="0.75" top="1" bottom="1" header="0.5" footer="0.5"/>
  <headerFooter alignWithMargin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D750AC-BCF8-4CDB-8243-80DA218408C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G3:G10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9"/>
  <sheetViews>
    <sheetView workbookViewId="0"/>
  </sheetViews>
  <sheetFormatPr defaultRowHeight="16.5"/>
  <cols>
    <col min="1" max="1" width="10.25" style="1" customWidth="1"/>
    <col min="2" max="2" width="8.75" style="1" customWidth="1"/>
    <col min="3" max="3" width="9.375" style="1" customWidth="1"/>
    <col min="4" max="4" width="13" style="1" bestFit="1" customWidth="1"/>
    <col min="5" max="5" width="11.375" style="1" customWidth="1"/>
    <col min="6" max="6" width="12.625" style="1" customWidth="1"/>
    <col min="7" max="7" width="9.625" style="1" customWidth="1"/>
    <col min="8" max="16384" width="9" style="1"/>
  </cols>
  <sheetData>
    <row r="1" spans="1:6">
      <c r="A1" s="53"/>
      <c r="B1" s="1" t="s">
        <v>181</v>
      </c>
    </row>
    <row r="2" spans="1:6">
      <c r="A2" s="12" t="s">
        <v>182</v>
      </c>
      <c r="B2" s="12" t="s">
        <v>183</v>
      </c>
      <c r="C2" s="12" t="s">
        <v>184</v>
      </c>
      <c r="D2" s="12" t="s">
        <v>185</v>
      </c>
      <c r="E2" s="12" t="s">
        <v>186</v>
      </c>
      <c r="F2" s="12" t="s">
        <v>187</v>
      </c>
    </row>
    <row r="3" spans="1:6">
      <c r="A3" s="12">
        <v>101</v>
      </c>
      <c r="B3" s="12" t="s">
        <v>188</v>
      </c>
      <c r="C3" s="12">
        <v>67</v>
      </c>
      <c r="D3" s="12">
        <v>76</v>
      </c>
      <c r="E3" s="54">
        <f t="shared" ref="E3:E8" si="0">AVERAGE(C3:D3)</f>
        <v>71.5</v>
      </c>
      <c r="F3" s="12" t="s">
        <v>189</v>
      </c>
    </row>
    <row r="4" spans="1:6">
      <c r="A4" s="12">
        <v>102</v>
      </c>
      <c r="B4" s="54" t="s">
        <v>190</v>
      </c>
      <c r="C4" s="12">
        <v>98</v>
      </c>
      <c r="D4" s="12">
        <v>95</v>
      </c>
      <c r="E4" s="54">
        <f t="shared" si="0"/>
        <v>96.5</v>
      </c>
      <c r="F4" s="12" t="s">
        <v>189</v>
      </c>
    </row>
    <row r="5" spans="1:6">
      <c r="A5" s="12">
        <v>103</v>
      </c>
      <c r="B5" s="54" t="s">
        <v>191</v>
      </c>
      <c r="C5" s="12">
        <v>88</v>
      </c>
      <c r="D5" s="12">
        <v>56</v>
      </c>
      <c r="E5" s="54">
        <f t="shared" si="0"/>
        <v>72</v>
      </c>
      <c r="F5" s="12" t="s">
        <v>192</v>
      </c>
    </row>
    <row r="6" spans="1:6">
      <c r="A6" s="12">
        <v>104</v>
      </c>
      <c r="B6" s="54" t="s">
        <v>193</v>
      </c>
      <c r="C6" s="12">
        <v>83</v>
      </c>
      <c r="D6" s="12">
        <v>78</v>
      </c>
      <c r="E6" s="54">
        <f t="shared" si="0"/>
        <v>80.5</v>
      </c>
      <c r="F6" s="12" t="s">
        <v>194</v>
      </c>
    </row>
    <row r="7" spans="1:6">
      <c r="A7" s="12">
        <v>105</v>
      </c>
      <c r="B7" s="12" t="s">
        <v>195</v>
      </c>
      <c r="C7" s="12">
        <v>65</v>
      </c>
      <c r="D7" s="12">
        <v>77</v>
      </c>
      <c r="E7" s="54">
        <f t="shared" si="0"/>
        <v>71</v>
      </c>
      <c r="F7" s="12" t="s">
        <v>194</v>
      </c>
    </row>
    <row r="8" spans="1:6">
      <c r="A8" s="12">
        <v>106</v>
      </c>
      <c r="B8" s="12" t="s">
        <v>196</v>
      </c>
      <c r="C8" s="12">
        <v>85</v>
      </c>
      <c r="D8" s="12">
        <v>92</v>
      </c>
      <c r="E8" s="54">
        <f t="shared" si="0"/>
        <v>88.5</v>
      </c>
      <c r="F8" s="12" t="s">
        <v>189</v>
      </c>
    </row>
    <row r="9" spans="1:6">
      <c r="A9" s="55"/>
      <c r="B9" s="56" t="s">
        <v>197</v>
      </c>
      <c r="C9" s="12">
        <f>AVERAGE(C3:C8)</f>
        <v>81</v>
      </c>
      <c r="D9" s="12">
        <f>AVERAGE(D3:D8)</f>
        <v>79</v>
      </c>
      <c r="E9" s="12">
        <f>AVERAGE(E3:E8)</f>
        <v>80</v>
      </c>
      <c r="F9" s="55"/>
    </row>
  </sheetData>
  <phoneticPr fontId="5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A35" sqref="A35"/>
    </sheetView>
  </sheetViews>
  <sheetFormatPr defaultRowHeight="16.5"/>
  <cols>
    <col min="1" max="1" width="10.125" style="1" customWidth="1"/>
    <col min="2" max="2" width="12" style="1" bestFit="1" customWidth="1"/>
    <col min="3" max="3" width="9" style="1"/>
    <col min="4" max="4" width="11.875" style="1" bestFit="1" customWidth="1"/>
    <col min="5" max="5" width="9.375" style="1" bestFit="1" customWidth="1"/>
    <col min="6" max="16384" width="9" style="1"/>
  </cols>
  <sheetData>
    <row r="1" spans="1:5" ht="24">
      <c r="A1" s="57" t="s">
        <v>198</v>
      </c>
    </row>
    <row r="2" spans="1:5" ht="17.25" thickBot="1">
      <c r="A2" s="1" t="s">
        <v>199</v>
      </c>
    </row>
    <row r="3" spans="1:5" ht="17.25" thickBot="1">
      <c r="A3" s="58" t="s">
        <v>200</v>
      </c>
      <c r="B3" s="59" t="s">
        <v>201</v>
      </c>
      <c r="C3" s="60" t="s">
        <v>202</v>
      </c>
      <c r="D3" s="59" t="s">
        <v>203</v>
      </c>
      <c r="E3" s="61" t="s">
        <v>204</v>
      </c>
    </row>
    <row r="4" spans="1:5">
      <c r="A4" s="6" t="s">
        <v>205</v>
      </c>
      <c r="B4" s="6" t="s">
        <v>206</v>
      </c>
      <c r="C4" s="42">
        <v>15000</v>
      </c>
      <c r="D4" s="62">
        <v>13</v>
      </c>
      <c r="E4" s="63">
        <f>C4+D4*12350</f>
        <v>175550</v>
      </c>
    </row>
    <row r="5" spans="1:5">
      <c r="A5" s="12" t="s">
        <v>307</v>
      </c>
      <c r="B5" s="12" t="s">
        <v>207</v>
      </c>
      <c r="C5" s="42">
        <v>25000</v>
      </c>
      <c r="D5" s="29">
        <v>5</v>
      </c>
      <c r="E5" s="63">
        <f>C5+D5*12350</f>
        <v>86750</v>
      </c>
    </row>
    <row r="6" spans="1:5">
      <c r="A6" s="12" t="s">
        <v>208</v>
      </c>
      <c r="B6" s="12" t="s">
        <v>209</v>
      </c>
      <c r="C6" s="42">
        <v>10000</v>
      </c>
      <c r="D6" s="29">
        <v>10</v>
      </c>
      <c r="E6" s="63">
        <f>C6+D6*12350</f>
        <v>133500</v>
      </c>
    </row>
    <row r="7" spans="1:5">
      <c r="A7" s="12" t="s">
        <v>210</v>
      </c>
      <c r="B7" s="12" t="s">
        <v>211</v>
      </c>
      <c r="C7" s="42">
        <v>20000</v>
      </c>
      <c r="D7" s="29">
        <v>4</v>
      </c>
      <c r="E7" s="63">
        <f>C7+D7*12350</f>
        <v>69400</v>
      </c>
    </row>
    <row r="8" spans="1:5">
      <c r="A8" s="12" t="s">
        <v>212</v>
      </c>
      <c r="B8" s="12" t="s">
        <v>213</v>
      </c>
      <c r="C8" s="42">
        <v>30000</v>
      </c>
      <c r="D8" s="29">
        <v>25</v>
      </c>
      <c r="E8" s="64">
        <f>C8+D8*12350</f>
        <v>338750</v>
      </c>
    </row>
    <row r="9" spans="1:5">
      <c r="A9" s="29"/>
      <c r="B9" s="29"/>
      <c r="C9" s="29"/>
      <c r="D9" s="29"/>
      <c r="E9" s="29"/>
    </row>
    <row r="15" spans="1:5" s="65" customFormat="1" ht="17.25"/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요금내역">
          <controlPr defaultSize="0" autoLine="0" r:id="rId4">
            <anchor moveWithCells="1">
              <from>
                <xdr:col>3</xdr:col>
                <xdr:colOff>371475</xdr:colOff>
                <xdr:row>0</xdr:row>
                <xdr:rowOff>57150</xdr:rowOff>
              </from>
              <to>
                <xdr:col>4</xdr:col>
                <xdr:colOff>600075</xdr:colOff>
                <xdr:row>1</xdr:row>
                <xdr:rowOff>57150</xdr:rowOff>
              </to>
            </anchor>
          </controlPr>
        </control>
      </mc:Choice>
      <mc:Fallback>
        <control shapeId="3073" r:id="rId3" name="cmd요금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2017-09-06T01:24:10Z</cp:lastPrinted>
  <dcterms:created xsi:type="dcterms:W3CDTF">2017-08-29T11:28:32Z</dcterms:created>
  <dcterms:modified xsi:type="dcterms:W3CDTF">2017-09-06T01:32:49Z</dcterms:modified>
</cp:coreProperties>
</file>