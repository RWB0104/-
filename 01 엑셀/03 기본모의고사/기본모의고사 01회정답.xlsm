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885" yWindow="1815" windowWidth="12675" windowHeight="9570" tabRatio="807" activeTab="6"/>
  </bookViews>
  <sheets>
    <sheet name="기본작업-1" sheetId="1" r:id="rId1"/>
    <sheet name="기본작업-2" sheetId="2" r:id="rId2"/>
    <sheet name="계산작업" sheetId="3" r:id="rId3"/>
    <sheet name="기술부" sheetId="12" r:id="rId4"/>
    <sheet name="분석작업-1" sheetId="4" r:id="rId5"/>
    <sheet name="분석작업-2" sheetId="5" r:id="rId6"/>
    <sheet name="기타작업-1" sheetId="6" r:id="rId7"/>
    <sheet name="기타작업-2" sheetId="7" r:id="rId8"/>
  </sheets>
  <functionGroups builtInGroupCount="17"/>
  <definedNames>
    <definedName name="_xlnm._FilterDatabase" localSheetId="1" hidden="1">'기본작업-2'!$A$20:$G$26</definedName>
    <definedName name="_xlnm.Criteria" localSheetId="1">'기본작업-2'!$A$28:$A$29</definedName>
    <definedName name="_xlnm.Extract" localSheetId="1">'기본작업-2'!$A$32:$G$32</definedName>
    <definedName name="_xlnm.Print_Area" localSheetId="1">'기본작업-2'!$A$17:$G$36</definedName>
  </definedNames>
  <calcPr calcId="145621"/>
  <pivotCaches>
    <pivotCache cacheId="11" r:id="rId9"/>
  </pivotCaches>
</workbook>
</file>

<file path=xl/calcChain.xml><?xml version="1.0" encoding="utf-8"?>
<calcChain xmlns="http://schemas.openxmlformats.org/spreadsheetml/2006/main">
  <c r="E3" i="3" l="1"/>
  <c r="C4" i="3"/>
  <c r="C5" i="3"/>
  <c r="C6" i="3"/>
  <c r="C3" i="3"/>
  <c r="D6" i="5" l="1"/>
  <c r="D5" i="5"/>
  <c r="D4" i="5"/>
  <c r="D3" i="5"/>
  <c r="F39" i="3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B15" i="3" a="1"/>
  <c r="B15" i="3" s="1"/>
  <c r="B14" i="3" a="1"/>
  <c r="B14" i="3" s="1"/>
  <c r="B13" i="3" a="1"/>
  <c r="B13" i="3" s="1"/>
  <c r="F12" i="3" a="1"/>
  <c r="F12" i="3" s="1"/>
  <c r="B12" i="3" a="1"/>
  <c r="B12" i="3" s="1"/>
  <c r="F11" i="3" a="1"/>
  <c r="F11" i="3" s="1"/>
  <c r="B11" i="3" a="1"/>
  <c r="B11" i="3" s="1"/>
  <c r="F10" i="3" a="1"/>
  <c r="F10" i="3" s="1"/>
  <c r="B10" i="3" a="1"/>
  <c r="B10" i="3" s="1"/>
  <c r="A29" i="2"/>
  <c r="I35" i="3"/>
  <c r="I32" i="3"/>
  <c r="I29" i="3"/>
  <c r="I26" i="3"/>
  <c r="I20" i="3"/>
  <c r="I23" i="3"/>
  <c r="I39" i="3"/>
  <c r="I36" i="3"/>
  <c r="I33" i="3"/>
  <c r="I30" i="3"/>
  <c r="I27" i="3"/>
  <c r="I24" i="3"/>
  <c r="I37" i="3"/>
  <c r="I34" i="3"/>
  <c r="I31" i="3"/>
  <c r="I28" i="3"/>
  <c r="I25" i="3"/>
  <c r="I22" i="3"/>
  <c r="I38" i="3"/>
  <c r="I21" i="3"/>
</calcChain>
</file>

<file path=xl/connections.xml><?xml version="1.0" encoding="utf-8"?>
<connections xmlns="http://schemas.openxmlformats.org/spreadsheetml/2006/main">
  <connection id="1" name="MS Access Database_Query" type="1" refreshedVersion="4">
    <dbPr connection="DSN=MS Access Database;DBQ=C:\길벗컴활1급(2010)\01 엑셀\03 기본모의고사\성적.accdb;DefaultDir=C:\길벗컴활1급(2010)\01 엑셀\03 기본모의고사;DriverId=25;FIL=MS Access;MaxBufferSize=2048;PageTimeout=5;" command="SELECT 사원평가정보.이름, 사원평가정보.부서명, 사원평가정보.영어독해, 사원평가정보.영어듣기, 사원평가정보.전산이론, 사원평가정보.전산실기_x000d__x000a_FROM `C:\길벗컴활1급(2010)\01 엑셀\03 기본모의고사\성적.accdb`.사원평가정보 사원평가정보"/>
  </connection>
</connections>
</file>

<file path=xl/sharedStrings.xml><?xml version="1.0" encoding="utf-8"?>
<sst xmlns="http://schemas.openxmlformats.org/spreadsheetml/2006/main" count="414" uniqueCount="255">
  <si>
    <t>DVD 입고현황</t>
    <phoneticPr fontId="6" type="noConversion"/>
  </si>
  <si>
    <t>입고일자</t>
  </si>
  <si>
    <t>관리코드</t>
  </si>
  <si>
    <t>타이틀명</t>
  </si>
  <si>
    <t>장르</t>
  </si>
  <si>
    <t>대여료</t>
  </si>
  <si>
    <t>대여기간</t>
  </si>
  <si>
    <t>DVD-15</t>
  </si>
  <si>
    <t>반지의 제왕</t>
  </si>
  <si>
    <t>모험</t>
  </si>
  <si>
    <t>DVD-16</t>
  </si>
  <si>
    <t>피도 눈물도 없이</t>
  </si>
  <si>
    <t>액션</t>
  </si>
  <si>
    <t>DVD-19</t>
  </si>
  <si>
    <t>스몰빌</t>
  </si>
  <si>
    <t>DVD-21</t>
  </si>
  <si>
    <t>하드 캐쉬</t>
  </si>
  <si>
    <t>DVD-23</t>
  </si>
  <si>
    <t>진주만</t>
  </si>
  <si>
    <t>DVD-25</t>
  </si>
  <si>
    <t>서부전선 이상없다</t>
  </si>
  <si>
    <t>DVD-28</t>
  </si>
  <si>
    <t>스파이 게임</t>
  </si>
  <si>
    <t>[표1]</t>
    <phoneticPr fontId="5" type="noConversion"/>
  </si>
  <si>
    <t>개인 성적 현황</t>
  </si>
  <si>
    <t>접수번호</t>
    <phoneticPr fontId="6" type="noConversion"/>
  </si>
  <si>
    <t>이름</t>
    <phoneticPr fontId="6" type="noConversion"/>
  </si>
  <si>
    <t>내신등급</t>
    <phoneticPr fontId="6" type="noConversion"/>
  </si>
  <si>
    <t>면접</t>
    <phoneticPr fontId="6" type="noConversion"/>
  </si>
  <si>
    <t>1학년</t>
    <phoneticPr fontId="6" type="noConversion"/>
  </si>
  <si>
    <t>2학년</t>
    <phoneticPr fontId="6" type="noConversion"/>
  </si>
  <si>
    <t>3학년</t>
    <phoneticPr fontId="6" type="noConversion"/>
  </si>
  <si>
    <t>태도</t>
    <phoneticPr fontId="6" type="noConversion"/>
  </si>
  <si>
    <t>적성</t>
    <phoneticPr fontId="6" type="noConversion"/>
  </si>
  <si>
    <t>이자경</t>
    <phoneticPr fontId="6" type="noConversion"/>
  </si>
  <si>
    <t>권기옥</t>
    <phoneticPr fontId="6" type="noConversion"/>
  </si>
  <si>
    <t>하판선</t>
    <phoneticPr fontId="6" type="noConversion"/>
  </si>
  <si>
    <t>김석민</t>
    <phoneticPr fontId="6" type="noConversion"/>
  </si>
  <si>
    <t>김민기</t>
    <phoneticPr fontId="6" type="noConversion"/>
  </si>
  <si>
    <t>추남철</t>
    <phoneticPr fontId="6" type="noConversion"/>
  </si>
  <si>
    <t>이민영</t>
    <phoneticPr fontId="6" type="noConversion"/>
  </si>
  <si>
    <t>서기준</t>
    <phoneticPr fontId="6" type="noConversion"/>
  </si>
  <si>
    <t>[표2]</t>
    <phoneticPr fontId="6" type="noConversion"/>
  </si>
  <si>
    <t>전자상거래사 시험 성적</t>
    <phoneticPr fontId="6" type="noConversion"/>
  </si>
  <si>
    <t>수험번호</t>
    <phoneticPr fontId="6" type="noConversion"/>
  </si>
  <si>
    <t>이름</t>
    <phoneticPr fontId="6" type="noConversion"/>
  </si>
  <si>
    <t>장소</t>
    <phoneticPr fontId="6" type="noConversion"/>
  </si>
  <si>
    <t>직업</t>
    <phoneticPr fontId="6" type="noConversion"/>
  </si>
  <si>
    <t>주소</t>
    <phoneticPr fontId="6" type="noConversion"/>
  </si>
  <si>
    <t>필기시험</t>
    <phoneticPr fontId="6" type="noConversion"/>
  </si>
  <si>
    <t>실기시험</t>
    <phoneticPr fontId="6" type="noConversion"/>
  </si>
  <si>
    <t>김승진</t>
    <phoneticPr fontId="6" type="noConversion"/>
  </si>
  <si>
    <t>대구</t>
    <phoneticPr fontId="6" type="noConversion"/>
  </si>
  <si>
    <t>공무원</t>
    <phoneticPr fontId="6" type="noConversion"/>
  </si>
  <si>
    <t>대구시</t>
    <phoneticPr fontId="6" type="noConversion"/>
  </si>
  <si>
    <t>이소라</t>
    <phoneticPr fontId="6" type="noConversion"/>
  </si>
  <si>
    <t>서울</t>
    <phoneticPr fontId="6" type="noConversion"/>
  </si>
  <si>
    <t>회사원</t>
    <phoneticPr fontId="6" type="noConversion"/>
  </si>
  <si>
    <t>수원시</t>
    <phoneticPr fontId="6" type="noConversion"/>
  </si>
  <si>
    <t>최승엽</t>
    <phoneticPr fontId="6" type="noConversion"/>
  </si>
  <si>
    <t>광주</t>
    <phoneticPr fontId="6" type="noConversion"/>
  </si>
  <si>
    <t>군인</t>
    <phoneticPr fontId="6" type="noConversion"/>
  </si>
  <si>
    <t>광주시</t>
    <phoneticPr fontId="6" type="noConversion"/>
  </si>
  <si>
    <t>이유리</t>
    <phoneticPr fontId="6" type="noConversion"/>
  </si>
  <si>
    <t>인천</t>
    <phoneticPr fontId="6" type="noConversion"/>
  </si>
  <si>
    <t>의사</t>
    <phoneticPr fontId="6" type="noConversion"/>
  </si>
  <si>
    <t>부천시</t>
    <phoneticPr fontId="6" type="noConversion"/>
  </si>
  <si>
    <t>김동철</t>
    <phoneticPr fontId="6" type="noConversion"/>
  </si>
  <si>
    <t>부산</t>
    <phoneticPr fontId="6" type="noConversion"/>
  </si>
  <si>
    <t>교사</t>
    <phoneticPr fontId="6" type="noConversion"/>
  </si>
  <si>
    <t>부산시</t>
    <phoneticPr fontId="6" type="noConversion"/>
  </si>
  <si>
    <t>하진호</t>
    <phoneticPr fontId="6" type="noConversion"/>
  </si>
  <si>
    <t>조건</t>
    <phoneticPr fontId="5" type="noConversion"/>
  </si>
  <si>
    <t>인원수</t>
    <phoneticPr fontId="5" type="noConversion"/>
  </si>
  <si>
    <t>부서</t>
    <phoneticPr fontId="5" type="noConversion"/>
  </si>
  <si>
    <t>판매1팀</t>
    <phoneticPr fontId="5" type="noConversion"/>
  </si>
  <si>
    <t>[표3]</t>
    <phoneticPr fontId="6" type="noConversion"/>
  </si>
  <si>
    <t>[표4] 판매부의 팀별 기본급 합계</t>
    <phoneticPr fontId="6" type="noConversion"/>
  </si>
  <si>
    <t>부서</t>
    <phoneticPr fontId="6" type="noConversion"/>
  </si>
  <si>
    <t>기본급 평균</t>
    <phoneticPr fontId="6" type="noConversion"/>
  </si>
  <si>
    <t>기본급 합계</t>
    <phoneticPr fontId="6" type="noConversion"/>
  </si>
  <si>
    <t>판매1팀</t>
    <phoneticPr fontId="6" type="noConversion"/>
  </si>
  <si>
    <t>1팀</t>
    <phoneticPr fontId="6" type="noConversion"/>
  </si>
  <si>
    <t>판매2팀</t>
    <phoneticPr fontId="6" type="noConversion"/>
  </si>
  <si>
    <t>2팀</t>
    <phoneticPr fontId="6" type="noConversion"/>
  </si>
  <si>
    <t>판매3팀</t>
    <phoneticPr fontId="6" type="noConversion"/>
  </si>
  <si>
    <t>3팀</t>
    <phoneticPr fontId="6" type="noConversion"/>
  </si>
  <si>
    <t>관리1팀</t>
    <phoneticPr fontId="6" type="noConversion"/>
  </si>
  <si>
    <t>관리2팀</t>
    <phoneticPr fontId="6" type="noConversion"/>
  </si>
  <si>
    <t>관리3팀</t>
    <phoneticPr fontId="6" type="noConversion"/>
  </si>
  <si>
    <t>[표5]</t>
    <phoneticPr fontId="6" type="noConversion"/>
  </si>
  <si>
    <t>사원명</t>
    <phoneticPr fontId="6" type="noConversion"/>
  </si>
  <si>
    <t>사원코드</t>
    <phoneticPr fontId="6" type="noConversion"/>
  </si>
  <si>
    <t>입사연도</t>
    <phoneticPr fontId="6" type="noConversion"/>
  </si>
  <si>
    <t>변경사원코드</t>
    <phoneticPr fontId="6" type="noConversion"/>
  </si>
  <si>
    <t>직위</t>
    <phoneticPr fontId="6" type="noConversion"/>
  </si>
  <si>
    <t>기본급</t>
    <phoneticPr fontId="6" type="noConversion"/>
  </si>
  <si>
    <t>상여금</t>
    <phoneticPr fontId="6" type="noConversion"/>
  </si>
  <si>
    <t>신소진</t>
    <phoneticPr fontId="6" type="noConversion"/>
  </si>
  <si>
    <t>p01</t>
  </si>
  <si>
    <t>강현미</t>
    <phoneticPr fontId="6" type="noConversion"/>
  </si>
  <si>
    <t>k12</t>
  </si>
  <si>
    <t>이은철</t>
    <phoneticPr fontId="6" type="noConversion"/>
  </si>
  <si>
    <t>k02</t>
  </si>
  <si>
    <t>관리1팀</t>
    <phoneticPr fontId="6" type="noConversion"/>
  </si>
  <si>
    <t>강현진</t>
    <phoneticPr fontId="6" type="noConversion"/>
  </si>
  <si>
    <t>k34</t>
  </si>
  <si>
    <t>박희천</t>
    <phoneticPr fontId="6" type="noConversion"/>
  </si>
  <si>
    <t>s62</t>
  </si>
  <si>
    <t>이미라</t>
    <phoneticPr fontId="6" type="noConversion"/>
  </si>
  <si>
    <t>k23</t>
  </si>
  <si>
    <t>판매1팀</t>
    <phoneticPr fontId="6" type="noConversion"/>
  </si>
  <si>
    <t>노수용</t>
    <phoneticPr fontId="6" type="noConversion"/>
  </si>
  <si>
    <t>k01</t>
  </si>
  <si>
    <t>강진숙</t>
    <phoneticPr fontId="6" type="noConversion"/>
  </si>
  <si>
    <t>d09</t>
  </si>
  <si>
    <t>조명섭</t>
    <phoneticPr fontId="6" type="noConversion"/>
  </si>
  <si>
    <t>s17</t>
  </si>
  <si>
    <t>이기수</t>
    <phoneticPr fontId="6" type="noConversion"/>
  </si>
  <si>
    <t>p03</t>
  </si>
  <si>
    <t>관리2팀</t>
    <phoneticPr fontId="6" type="noConversion"/>
  </si>
  <si>
    <t>김미나</t>
    <phoneticPr fontId="6" type="noConversion"/>
  </si>
  <si>
    <t>k05</t>
  </si>
  <si>
    <t>최신호</t>
    <phoneticPr fontId="6" type="noConversion"/>
  </si>
  <si>
    <t>d01</t>
  </si>
  <si>
    <t>이을동</t>
    <phoneticPr fontId="6" type="noConversion"/>
  </si>
  <si>
    <t>s32</t>
  </si>
  <si>
    <t>박건창</t>
    <phoneticPr fontId="6" type="noConversion"/>
  </si>
  <si>
    <t>p02</t>
  </si>
  <si>
    <t>관리2팀</t>
    <phoneticPr fontId="6" type="noConversion"/>
  </si>
  <si>
    <t>장진미</t>
    <phoneticPr fontId="6" type="noConversion"/>
  </si>
  <si>
    <t>s34</t>
  </si>
  <si>
    <t>판매3팀</t>
    <phoneticPr fontId="6" type="noConversion"/>
  </si>
  <si>
    <t>김재규</t>
    <phoneticPr fontId="6" type="noConversion"/>
  </si>
  <si>
    <t>k03</t>
  </si>
  <si>
    <t>관리3팀</t>
    <phoneticPr fontId="6" type="noConversion"/>
  </si>
  <si>
    <t>우수희</t>
    <phoneticPr fontId="6" type="noConversion"/>
  </si>
  <si>
    <t>s51</t>
  </si>
  <si>
    <t>판매2팀</t>
    <phoneticPr fontId="6" type="noConversion"/>
  </si>
  <si>
    <t>현진형</t>
    <phoneticPr fontId="6" type="noConversion"/>
  </si>
  <si>
    <t>d20</t>
  </si>
  <si>
    <t>관리4팀</t>
    <phoneticPr fontId="6" type="noConversion"/>
  </si>
  <si>
    <t>윤진숙</t>
    <phoneticPr fontId="6" type="noConversion"/>
  </si>
  <si>
    <t>k42</t>
  </si>
  <si>
    <t>관리1팀</t>
    <phoneticPr fontId="6" type="noConversion"/>
  </si>
  <si>
    <t>태민영</t>
    <phoneticPr fontId="6" type="noConversion"/>
  </si>
  <si>
    <t>s25</t>
  </si>
  <si>
    <t>이름</t>
  </si>
  <si>
    <t>(모두)</t>
  </si>
  <si>
    <t>행 레이블</t>
  </si>
  <si>
    <t>평균 : 영어독해</t>
  </si>
  <si>
    <t>평균 : 영어듣기</t>
  </si>
  <si>
    <t>평균 : 전산이론</t>
  </si>
  <si>
    <t>평균 : 전산실기</t>
  </si>
  <si>
    <t>기술부</t>
  </si>
  <si>
    <t>기획부</t>
  </si>
  <si>
    <t>영업부</t>
  </si>
  <si>
    <t>총무부</t>
  </si>
  <si>
    <r>
      <t xml:space="preserve">대전 </t>
    </r>
    <r>
      <rPr>
        <sz val="11"/>
        <color theme="1"/>
        <rFont val="맑은 고딕"/>
        <family val="3"/>
        <charset val="129"/>
        <scheme val="minor"/>
      </rPr>
      <t>대리점 판매현황</t>
    </r>
    <phoneticPr fontId="6" type="noConversion"/>
  </si>
  <si>
    <t>품목</t>
  </si>
  <si>
    <t>목표량</t>
    <phoneticPr fontId="11" type="noConversion"/>
  </si>
  <si>
    <t>판매량</t>
    <phoneticPr fontId="11" type="noConversion"/>
  </si>
  <si>
    <t>목표달성률</t>
    <phoneticPr fontId="6" type="noConversion"/>
  </si>
  <si>
    <t>세탁기</t>
    <phoneticPr fontId="6" type="noConversion"/>
  </si>
  <si>
    <t>식기세척기</t>
    <phoneticPr fontId="6" type="noConversion"/>
  </si>
  <si>
    <t>오디오</t>
    <phoneticPr fontId="6" type="noConversion"/>
  </si>
  <si>
    <t>카메라</t>
    <phoneticPr fontId="6" type="noConversion"/>
  </si>
  <si>
    <t>공종별 수주 내역서</t>
    <phoneticPr fontId="6" type="noConversion"/>
  </si>
  <si>
    <t>단위:백만</t>
    <phoneticPr fontId="6" type="noConversion"/>
  </si>
  <si>
    <r>
      <t xml:space="preserve">공  </t>
    </r>
    <r>
      <rPr>
        <sz val="11"/>
        <color theme="1"/>
        <rFont val="맑은 고딕"/>
        <family val="3"/>
        <charset val="129"/>
      </rPr>
      <t>종</t>
    </r>
    <phoneticPr fontId="6" type="noConversion"/>
  </si>
  <si>
    <t>회사명</t>
    <phoneticPr fontId="6" type="noConversion"/>
  </si>
  <si>
    <r>
      <t>1</t>
    </r>
    <r>
      <rPr>
        <sz val="11"/>
        <color theme="1"/>
        <rFont val="맑은 고딕"/>
        <family val="3"/>
        <charset val="129"/>
      </rPr>
      <t>차 수주액</t>
    </r>
    <phoneticPr fontId="6" type="noConversion"/>
  </si>
  <si>
    <r>
      <t>2</t>
    </r>
    <r>
      <rPr>
        <sz val="11"/>
        <color theme="1"/>
        <rFont val="맑은 고딕"/>
        <family val="3"/>
        <charset val="129"/>
      </rPr>
      <t>차</t>
    </r>
    <r>
      <rPr>
        <sz val="11"/>
        <rFont val="맑은 고딕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수주액</t>
    </r>
  </si>
  <si>
    <t>수주합계</t>
    <phoneticPr fontId="6" type="noConversion"/>
  </si>
  <si>
    <t>부가세</t>
    <phoneticPr fontId="6" type="noConversion"/>
  </si>
  <si>
    <t>공급가</t>
    <phoneticPr fontId="6" type="noConversion"/>
  </si>
  <si>
    <t>코디</t>
    <phoneticPr fontId="6" type="noConversion"/>
  </si>
  <si>
    <t>JINA'S STUDIO</t>
    <phoneticPr fontId="6" type="noConversion"/>
  </si>
  <si>
    <t>토목</t>
    <phoneticPr fontId="6" type="noConversion"/>
  </si>
  <si>
    <t>유림토목건설㈜</t>
    <phoneticPr fontId="6" type="noConversion"/>
  </si>
  <si>
    <t>설비</t>
    <phoneticPr fontId="6" type="noConversion"/>
  </si>
  <si>
    <t>형제설비</t>
    <phoneticPr fontId="6" type="noConversion"/>
  </si>
  <si>
    <t>조경</t>
    <phoneticPr fontId="6" type="noConversion"/>
  </si>
  <si>
    <t>늘 푸른조경</t>
    <phoneticPr fontId="6" type="noConversion"/>
  </si>
  <si>
    <t>하늘 조경</t>
    <phoneticPr fontId="6" type="noConversion"/>
  </si>
  <si>
    <t>콘도 이용요금</t>
    <phoneticPr fontId="6" type="noConversion"/>
  </si>
  <si>
    <t>고객번호</t>
    <phoneticPr fontId="6" type="noConversion"/>
  </si>
  <si>
    <t>콘도명</t>
    <phoneticPr fontId="6" type="noConversion"/>
  </si>
  <si>
    <t>이용일수</t>
    <phoneticPr fontId="6" type="noConversion"/>
  </si>
  <si>
    <t>사용요금</t>
    <phoneticPr fontId="6" type="noConversion"/>
  </si>
  <si>
    <t>일일요금</t>
    <phoneticPr fontId="6" type="noConversion"/>
  </si>
  <si>
    <t>고려</t>
  </si>
  <si>
    <t>백제</t>
    <phoneticPr fontId="6" type="noConversion"/>
  </si>
  <si>
    <t>동해</t>
  </si>
  <si>
    <t>한성</t>
    <phoneticPr fontId="6" type="noConversion"/>
  </si>
  <si>
    <t>대한</t>
  </si>
  <si>
    <t>고려</t>
    <phoneticPr fontId="6" type="noConversion"/>
  </si>
  <si>
    <t>대한</t>
    <phoneticPr fontId="6" type="noConversion"/>
  </si>
  <si>
    <t>동해</t>
    <phoneticPr fontId="6" type="noConversion"/>
  </si>
  <si>
    <t>신라</t>
    <phoneticPr fontId="6" type="noConversion"/>
  </si>
  <si>
    <t>부서명</t>
  </si>
  <si>
    <t>영어독해</t>
  </si>
  <si>
    <t>영어듣기</t>
  </si>
  <si>
    <t>전산이론</t>
  </si>
  <si>
    <t>전산실기</t>
  </si>
  <si>
    <t>최민영</t>
  </si>
  <si>
    <t>마소희</t>
  </si>
  <si>
    <t>최민정</t>
  </si>
  <si>
    <t>김민호</t>
  </si>
  <si>
    <t>한가람</t>
  </si>
  <si>
    <t>우성룡</t>
  </si>
  <si>
    <t>박혁거</t>
  </si>
  <si>
    <t>이현주</t>
  </si>
  <si>
    <t>박미리</t>
  </si>
  <si>
    <t>이순신</t>
  </si>
  <si>
    <t>사원번호</t>
  </si>
  <si>
    <t>직위</t>
  </si>
  <si>
    <t>업무수행</t>
  </si>
  <si>
    <t>사원</t>
  </si>
  <si>
    <t>우희진</t>
  </si>
  <si>
    <t>대리</t>
  </si>
  <si>
    <t>이나라</t>
  </si>
  <si>
    <t>강타</t>
  </si>
  <si>
    <t>정준호</t>
  </si>
  <si>
    <t>유강현</t>
  </si>
  <si>
    <t>소식가</t>
  </si>
  <si>
    <t>이기자</t>
  </si>
  <si>
    <t>방정환</t>
  </si>
  <si>
    <t>홍난수</t>
  </si>
  <si>
    <t>김대진</t>
  </si>
  <si>
    <t>왕연</t>
  </si>
  <si>
    <t>김윤선</t>
  </si>
  <si>
    <t>조성수</t>
  </si>
  <si>
    <t>고선지</t>
  </si>
  <si>
    <t>한명회</t>
  </si>
  <si>
    <t>안호근</t>
  </si>
  <si>
    <t>김순자</t>
  </si>
  <si>
    <t>최민돌</t>
  </si>
  <si>
    <t>김나비</t>
  </si>
  <si>
    <t>배기성</t>
  </si>
  <si>
    <t>아유라</t>
  </si>
  <si>
    <t>김규리</t>
  </si>
  <si>
    <t>엄화정</t>
  </si>
  <si>
    <t>조용히</t>
  </si>
  <si>
    <t>강감찬</t>
  </si>
  <si>
    <t>김정식</t>
  </si>
  <si>
    <t>배우리</t>
  </si>
  <si>
    <t>컴활합격</t>
  </si>
  <si>
    <t xml:space="preserve">작성날짜 : </t>
    <phoneticPr fontId="5" type="noConversion"/>
  </si>
  <si>
    <t>비고</t>
    <phoneticPr fontId="6" type="noConversion"/>
  </si>
  <si>
    <t xml:space="preserve">[표1] 입사연도별 인원수 </t>
    <phoneticPr fontId="6" type="noConversion"/>
  </si>
  <si>
    <t>입사연도</t>
    <phoneticPr fontId="5" type="noConversion"/>
  </si>
  <si>
    <t>&gt;=2016</t>
    <phoneticPr fontId="5" type="noConversion"/>
  </si>
  <si>
    <t>부서 판매1팀, 입사연도가 2016년 이상인 사원의 기본급</t>
    <phoneticPr fontId="6" type="noConversion"/>
  </si>
  <si>
    <t>입사연도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</si>
</sst>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#,##0_);[Red]\(#,##0\)"/>
    <numFmt numFmtId="177" formatCode="#&quot;점&quot;"/>
    <numFmt numFmtId="178" formatCode="_-&quot;₩&quot;* #,##0.0_-;\-&quot;₩&quot;* #,##0.0_-;_-&quot;₩&quot;* &quot;-&quot;_-;_-@_-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/>
        <bgColor indexed="0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/>
  </cellStyleXfs>
  <cellXfs count="93">
    <xf numFmtId="0" fontId="0" fillId="0" borderId="0" xfId="0">
      <alignment vertical="center"/>
    </xf>
    <xf numFmtId="0" fontId="4" fillId="0" borderId="0" xfId="2" applyFont="1"/>
    <xf numFmtId="0" fontId="4" fillId="0" borderId="0" xfId="2" applyFont="1" applyFill="1"/>
    <xf numFmtId="0" fontId="4" fillId="0" borderId="9" xfId="2" applyFont="1" applyFill="1" applyBorder="1" applyAlignment="1">
      <alignment horizontal="center" vertical="center"/>
    </xf>
    <xf numFmtId="0" fontId="4" fillId="0" borderId="9" xfId="2" applyNumberFormat="1" applyFont="1" applyFill="1" applyBorder="1" applyAlignment="1">
      <alignment horizontal="center" vertical="center"/>
    </xf>
    <xf numFmtId="0" fontId="4" fillId="0" borderId="10" xfId="2" applyFont="1" applyFill="1" applyBorder="1" applyAlignment="1">
      <alignment horizontal="center" vertical="center"/>
    </xf>
    <xf numFmtId="0" fontId="4" fillId="0" borderId="11" xfId="2" applyFont="1" applyFill="1" applyBorder="1" applyAlignment="1">
      <alignment horizontal="center" vertical="center"/>
    </xf>
    <xf numFmtId="0" fontId="4" fillId="0" borderId="12" xfId="2" applyFont="1" applyFill="1" applyBorder="1" applyAlignment="1">
      <alignment horizontal="center" vertical="center"/>
    </xf>
    <xf numFmtId="1" fontId="4" fillId="0" borderId="12" xfId="2" applyNumberFormat="1" applyFont="1" applyFill="1" applyBorder="1" applyAlignment="1">
      <alignment horizontal="center" vertical="center"/>
    </xf>
    <xf numFmtId="0" fontId="4" fillId="0" borderId="13" xfId="2" applyFont="1" applyFill="1" applyBorder="1" applyAlignment="1">
      <alignment horizontal="center" vertical="center"/>
    </xf>
    <xf numFmtId="0" fontId="4" fillId="0" borderId="14" xfId="2" applyFont="1" applyFill="1" applyBorder="1" applyAlignment="1">
      <alignment horizontal="center" vertical="center"/>
    </xf>
    <xf numFmtId="0" fontId="4" fillId="0" borderId="15" xfId="2" applyFont="1" applyFill="1" applyBorder="1" applyAlignment="1">
      <alignment horizontal="center" vertical="center"/>
    </xf>
    <xf numFmtId="1" fontId="4" fillId="0" borderId="15" xfId="2" applyNumberFormat="1" applyFont="1" applyFill="1" applyBorder="1" applyAlignment="1">
      <alignment horizontal="center" vertical="center"/>
    </xf>
    <xf numFmtId="0" fontId="4" fillId="0" borderId="16" xfId="2" applyFont="1" applyFill="1" applyBorder="1" applyAlignment="1">
      <alignment horizontal="center" vertical="center"/>
    </xf>
    <xf numFmtId="0" fontId="4" fillId="0" borderId="17" xfId="2" applyFont="1" applyFill="1" applyBorder="1" applyAlignment="1">
      <alignment horizontal="center" vertical="center"/>
    </xf>
    <xf numFmtId="1" fontId="4" fillId="0" borderId="9" xfId="2" applyNumberFormat="1" applyFont="1" applyFill="1" applyBorder="1" applyAlignment="1">
      <alignment horizontal="center" vertical="center"/>
    </xf>
    <xf numFmtId="42" fontId="7" fillId="0" borderId="0" xfId="3" applyFont="1"/>
    <xf numFmtId="0" fontId="4" fillId="0" borderId="15" xfId="2" applyFont="1" applyBorder="1" applyAlignment="1">
      <alignment horizontal="center"/>
    </xf>
    <xf numFmtId="0" fontId="4" fillId="4" borderId="15" xfId="2" applyFont="1" applyFill="1" applyBorder="1" applyAlignment="1">
      <alignment horizontal="center"/>
    </xf>
    <xf numFmtId="0" fontId="4" fillId="5" borderId="15" xfId="2" applyFont="1" applyFill="1" applyBorder="1" applyAlignment="1">
      <alignment horizontal="left"/>
    </xf>
    <xf numFmtId="0" fontId="4" fillId="0" borderId="15" xfId="2" applyFont="1" applyBorder="1"/>
    <xf numFmtId="0" fontId="4" fillId="0" borderId="15" xfId="2" applyNumberFormat="1" applyFont="1" applyBorder="1"/>
    <xf numFmtId="0" fontId="4" fillId="5" borderId="15" xfId="2" applyFont="1" applyFill="1" applyBorder="1"/>
    <xf numFmtId="0" fontId="10" fillId="5" borderId="15" xfId="2" applyFont="1" applyFill="1" applyBorder="1" applyAlignment="1">
      <alignment horizontal="center"/>
    </xf>
    <xf numFmtId="176" fontId="9" fillId="0" borderId="15" xfId="4" applyNumberFormat="1" applyFont="1" applyBorder="1"/>
    <xf numFmtId="41" fontId="4" fillId="0" borderId="15" xfId="1" applyFont="1" applyBorder="1" applyAlignment="1"/>
    <xf numFmtId="0" fontId="4" fillId="0" borderId="0" xfId="2" applyFont="1" applyBorder="1"/>
    <xf numFmtId="0" fontId="4" fillId="0" borderId="0" xfId="2" applyFont="1" applyFill="1" applyBorder="1" applyAlignment="1">
      <alignment horizontal="left"/>
    </xf>
    <xf numFmtId="0" fontId="10" fillId="0" borderId="15" xfId="2" applyFont="1" applyBorder="1" applyAlignment="1">
      <alignment horizontal="center"/>
    </xf>
    <xf numFmtId="0" fontId="10" fillId="0" borderId="15" xfId="2" applyFont="1" applyFill="1" applyBorder="1" applyAlignment="1">
      <alignment horizontal="center"/>
    </xf>
    <xf numFmtId="41" fontId="4" fillId="0" borderId="15" xfId="4" applyFont="1" applyBorder="1"/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4" fillId="0" borderId="22" xfId="2" applyFont="1" applyBorder="1" applyAlignment="1">
      <alignment horizontal="center" vertical="center"/>
    </xf>
    <xf numFmtId="0" fontId="4" fillId="0" borderId="23" xfId="2" applyFont="1" applyBorder="1" applyAlignment="1">
      <alignment horizontal="center" vertical="center"/>
    </xf>
    <xf numFmtId="0" fontId="4" fillId="0" borderId="24" xfId="2" applyFont="1" applyBorder="1" applyAlignment="1">
      <alignment horizontal="center" vertical="center"/>
    </xf>
    <xf numFmtId="0" fontId="4" fillId="0" borderId="25" xfId="2" applyFont="1" applyBorder="1" applyAlignment="1">
      <alignment horizontal="center" vertical="center"/>
    </xf>
    <xf numFmtId="0" fontId="4" fillId="0" borderId="26" xfId="2" applyFont="1" applyBorder="1" applyAlignment="1">
      <alignment horizontal="center" vertical="center"/>
    </xf>
    <xf numFmtId="41" fontId="4" fillId="0" borderId="27" xfId="2" applyNumberFormat="1" applyFont="1" applyBorder="1" applyAlignment="1">
      <alignment vertical="center"/>
    </xf>
    <xf numFmtId="41" fontId="4" fillId="0" borderId="28" xfId="2" applyNumberFormat="1" applyFont="1" applyBorder="1" applyAlignment="1">
      <alignment vertical="center"/>
    </xf>
    <xf numFmtId="9" fontId="4" fillId="0" borderId="29" xfId="5" applyFont="1" applyBorder="1" applyAlignment="1">
      <alignment vertical="center"/>
    </xf>
    <xf numFmtId="0" fontId="4" fillId="0" borderId="30" xfId="2" applyFont="1" applyBorder="1" applyAlignment="1">
      <alignment horizontal="center" vertical="center"/>
    </xf>
    <xf numFmtId="41" fontId="4" fillId="0" borderId="31" xfId="2" applyNumberFormat="1" applyFont="1" applyBorder="1" applyAlignment="1">
      <alignment vertical="center"/>
    </xf>
    <xf numFmtId="41" fontId="4" fillId="0" borderId="15" xfId="2" applyNumberFormat="1" applyFont="1" applyBorder="1" applyAlignment="1">
      <alignment vertical="center"/>
    </xf>
    <xf numFmtId="0" fontId="4" fillId="0" borderId="32" xfId="2" applyFont="1" applyBorder="1" applyAlignment="1">
      <alignment horizontal="center" vertical="center"/>
    </xf>
    <xf numFmtId="41" fontId="4" fillId="0" borderId="33" xfId="2" applyNumberFormat="1" applyFont="1" applyBorder="1" applyAlignment="1">
      <alignment vertical="center"/>
    </xf>
    <xf numFmtId="41" fontId="4" fillId="0" borderId="9" xfId="2" applyNumberFormat="1" applyFont="1" applyBorder="1" applyAlignment="1">
      <alignment vertical="center"/>
    </xf>
    <xf numFmtId="9" fontId="4" fillId="0" borderId="34" xfId="5" applyFont="1" applyBorder="1" applyAlignment="1">
      <alignment vertical="center"/>
    </xf>
    <xf numFmtId="0" fontId="12" fillId="0" borderId="0" xfId="2" applyFont="1"/>
    <xf numFmtId="0" fontId="12" fillId="0" borderId="35" xfId="2" applyFont="1" applyBorder="1" applyAlignment="1">
      <alignment horizontal="right"/>
    </xf>
    <xf numFmtId="0" fontId="12" fillId="0" borderId="15" xfId="2" applyFont="1" applyBorder="1" applyAlignment="1">
      <alignment horizontal="center"/>
    </xf>
    <xf numFmtId="42" fontId="12" fillId="0" borderId="15" xfId="3" applyFont="1" applyBorder="1" applyAlignment="1">
      <alignment horizontal="center"/>
    </xf>
    <xf numFmtId="42" fontId="12" fillId="0" borderId="15" xfId="3" applyFont="1" applyBorder="1"/>
    <xf numFmtId="178" fontId="12" fillId="0" borderId="15" xfId="3" applyNumberFormat="1" applyFont="1" applyBorder="1"/>
    <xf numFmtId="0" fontId="10" fillId="0" borderId="0" xfId="2" applyFont="1" applyAlignment="1">
      <alignment horizontal="center"/>
    </xf>
    <xf numFmtId="3" fontId="4" fillId="0" borderId="0" xfId="2" applyNumberFormat="1" applyFont="1"/>
    <xf numFmtId="22" fontId="0" fillId="3" borderId="36" xfId="0" applyNumberFormat="1" applyFont="1" applyFill="1" applyBorder="1">
      <alignment vertical="center"/>
    </xf>
    <xf numFmtId="0" fontId="0" fillId="3" borderId="37" xfId="0" applyFont="1" applyFill="1" applyBorder="1">
      <alignment vertical="center"/>
    </xf>
    <xf numFmtId="0" fontId="0" fillId="3" borderId="38" xfId="0" applyFont="1" applyFill="1" applyBorder="1">
      <alignment vertical="center"/>
    </xf>
    <xf numFmtId="0" fontId="2" fillId="2" borderId="39" xfId="0" applyFont="1" applyFill="1" applyBorder="1">
      <alignment vertical="center"/>
    </xf>
    <xf numFmtId="0" fontId="2" fillId="2" borderId="40" xfId="0" applyFont="1" applyFill="1" applyBorder="1">
      <alignment vertical="center"/>
    </xf>
    <xf numFmtId="0" fontId="2" fillId="2" borderId="41" xfId="0" applyFont="1" applyFill="1" applyBorder="1">
      <alignment vertical="center"/>
    </xf>
    <xf numFmtId="22" fontId="0" fillId="3" borderId="39" xfId="0" applyNumberFormat="1" applyFont="1" applyFill="1" applyBorder="1">
      <alignment vertical="center"/>
    </xf>
    <xf numFmtId="0" fontId="0" fillId="3" borderId="40" xfId="0" applyFont="1" applyFill="1" applyBorder="1">
      <alignment vertical="center"/>
    </xf>
    <xf numFmtId="0" fontId="0" fillId="3" borderId="41" xfId="0" applyFont="1" applyFill="1" applyBorder="1">
      <alignment vertical="center"/>
    </xf>
    <xf numFmtId="22" fontId="0" fillId="0" borderId="39" xfId="0" applyNumberFormat="1" applyFont="1" applyBorder="1">
      <alignment vertical="center"/>
    </xf>
    <xf numFmtId="0" fontId="0" fillId="0" borderId="40" xfId="0" applyFont="1" applyBorder="1">
      <alignment vertical="center"/>
    </xf>
    <xf numFmtId="0" fontId="0" fillId="0" borderId="41" xfId="0" applyFont="1" applyBorder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7" fillId="6" borderId="42" xfId="6" applyFont="1" applyFill="1" applyBorder="1" applyAlignment="1">
      <alignment horizontal="center" vertical="center"/>
    </xf>
    <xf numFmtId="0" fontId="15" fillId="0" borderId="42" xfId="6" applyFont="1" applyFill="1" applyBorder="1" applyAlignment="1">
      <alignment horizontal="center" vertical="center" wrapText="1"/>
    </xf>
    <xf numFmtId="0" fontId="15" fillId="0" borderId="42" xfId="6" applyFont="1" applyFill="1" applyBorder="1" applyAlignment="1">
      <alignment horizontal="right" vertical="center" wrapText="1"/>
    </xf>
    <xf numFmtId="0" fontId="0" fillId="0" borderId="0" xfId="0" pivotButton="1">
      <alignment vertical="center"/>
    </xf>
    <xf numFmtId="14" fontId="4" fillId="0" borderId="0" xfId="2" applyNumberFormat="1" applyFont="1"/>
    <xf numFmtId="0" fontId="4" fillId="0" borderId="0" xfId="2" applyNumberFormat="1" applyFont="1"/>
    <xf numFmtId="0" fontId="4" fillId="0" borderId="1" xfId="2" applyFont="1" applyFill="1" applyBorder="1" applyAlignment="1">
      <alignment horizontal="center" vertical="center"/>
    </xf>
    <xf numFmtId="0" fontId="4" fillId="0" borderId="7" xfId="2" applyFont="1" applyFill="1" applyBorder="1" applyAlignment="1">
      <alignment horizontal="center" vertical="center"/>
    </xf>
    <xf numFmtId="0" fontId="4" fillId="0" borderId="2" xfId="2" applyFont="1" applyFill="1" applyBorder="1" applyAlignment="1">
      <alignment horizontal="center" vertical="center" wrapText="1"/>
    </xf>
    <xf numFmtId="0" fontId="4" fillId="0" borderId="8" xfId="2" applyFont="1" applyFill="1" applyBorder="1" applyAlignment="1">
      <alignment horizontal="center" vertical="center" wrapText="1"/>
    </xf>
    <xf numFmtId="0" fontId="4" fillId="0" borderId="3" xfId="2" applyFont="1" applyFill="1" applyBorder="1" applyAlignment="1">
      <alignment horizontal="center" vertical="center" wrapText="1"/>
    </xf>
    <xf numFmtId="0" fontId="4" fillId="0" borderId="4" xfId="2" applyFont="1" applyFill="1" applyBorder="1" applyAlignment="1">
      <alignment horizontal="center" vertical="center" wrapText="1"/>
    </xf>
    <xf numFmtId="0" fontId="4" fillId="0" borderId="5" xfId="2" applyFont="1" applyFill="1" applyBorder="1" applyAlignment="1">
      <alignment horizontal="center" vertical="center" wrapText="1"/>
    </xf>
    <xf numFmtId="0" fontId="4" fillId="0" borderId="3" xfId="2" applyFont="1" applyFill="1" applyBorder="1" applyAlignment="1">
      <alignment horizontal="center" vertical="center"/>
    </xf>
    <xf numFmtId="0" fontId="4" fillId="0" borderId="6" xfId="2" applyFont="1" applyFill="1" applyBorder="1" applyAlignment="1">
      <alignment horizontal="center" vertical="center"/>
    </xf>
    <xf numFmtId="0" fontId="8" fillId="5" borderId="15" xfId="2" applyFont="1" applyFill="1" applyBorder="1" applyAlignment="1">
      <alignment horizontal="center"/>
    </xf>
    <xf numFmtId="0" fontId="8" fillId="5" borderId="18" xfId="2" applyFont="1" applyFill="1" applyBorder="1" applyAlignment="1">
      <alignment horizontal="center"/>
    </xf>
    <xf numFmtId="41" fontId="9" fillId="0" borderId="15" xfId="4" applyFont="1" applyBorder="1" applyAlignment="1">
      <alignment horizontal="center"/>
    </xf>
    <xf numFmtId="41" fontId="9" fillId="0" borderId="18" xfId="4" applyFont="1" applyBorder="1" applyAlignment="1">
      <alignment horizontal="center"/>
    </xf>
    <xf numFmtId="0" fontId="4" fillId="0" borderId="19" xfId="2" applyFont="1" applyBorder="1" applyAlignment="1">
      <alignment horizontal="center"/>
    </xf>
    <xf numFmtId="0" fontId="4" fillId="0" borderId="20" xfId="2" applyFont="1" applyBorder="1" applyAlignment="1">
      <alignment horizontal="center"/>
    </xf>
    <xf numFmtId="0" fontId="4" fillId="0" borderId="21" xfId="2" applyFont="1" applyBorder="1" applyAlignment="1">
      <alignment horizontal="center"/>
    </xf>
    <xf numFmtId="0" fontId="13" fillId="0" borderId="35" xfId="2" applyFont="1" applyBorder="1" applyAlignment="1">
      <alignment horizontal="center"/>
    </xf>
  </cellXfs>
  <cellStyles count="7">
    <cellStyle name="백분율 2" xfId="5"/>
    <cellStyle name="쉼표 [0]" xfId="1" builtinId="6"/>
    <cellStyle name="쉼표 [0] 2" xfId="4"/>
    <cellStyle name="통화 [0] 2" xfId="3"/>
    <cellStyle name="표준" xfId="0" builtinId="0"/>
    <cellStyle name="표준 2" xfId="2"/>
    <cellStyle name="표준_분석작업-1" xfId="6"/>
  </cellStyles>
  <dxfs count="2">
    <dxf>
      <numFmt numFmtId="177" formatCode="#&quot;점&quot;"/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1, 2</a:t>
            </a:r>
            <a:r>
              <a:rPr lang="ko-KR" altLang="en-US"/>
              <a:t>차 수주 내역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1차 수주액</c:v>
                </c:pt>
              </c:strCache>
            </c:strRef>
          </c:tx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'기타작업-1'!$B$3:$B$7</c:f>
              <c:strCache>
                <c:ptCount val="5"/>
                <c:pt idx="0">
                  <c:v>JINA'S STUDIO</c:v>
                </c:pt>
                <c:pt idx="1">
                  <c:v>유림토목건설㈜</c:v>
                </c:pt>
                <c:pt idx="2">
                  <c:v>형제설비</c:v>
                </c:pt>
                <c:pt idx="3">
                  <c:v>늘 푸른조경</c:v>
                </c:pt>
                <c:pt idx="4">
                  <c:v>하늘 조경</c:v>
                </c:pt>
              </c:strCache>
            </c:strRef>
          </c:cat>
          <c:val>
            <c:numRef>
              <c:f>'기타작업-1'!$C$3:$C$7</c:f>
              <c:numCache>
                <c:formatCode>_("₩"* #,##0_);_("₩"* \(#,##0\);_("₩"* "-"_);_(@_)</c:formatCode>
                <c:ptCount val="5"/>
                <c:pt idx="0">
                  <c:v>384</c:v>
                </c:pt>
                <c:pt idx="1">
                  <c:v>345</c:v>
                </c:pt>
                <c:pt idx="2">
                  <c:v>259</c:v>
                </c:pt>
                <c:pt idx="3">
                  <c:v>250</c:v>
                </c:pt>
                <c:pt idx="4">
                  <c:v>245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2차 수주액</c:v>
                </c:pt>
              </c:strCache>
            </c:strRef>
          </c:tx>
          <c:cat>
            <c:strRef>
              <c:f>'기타작업-1'!$B$3:$B$7</c:f>
              <c:strCache>
                <c:ptCount val="5"/>
                <c:pt idx="0">
                  <c:v>JINA'S STUDIO</c:v>
                </c:pt>
                <c:pt idx="1">
                  <c:v>유림토목건설㈜</c:v>
                </c:pt>
                <c:pt idx="2">
                  <c:v>형제설비</c:v>
                </c:pt>
                <c:pt idx="3">
                  <c:v>늘 푸른조경</c:v>
                </c:pt>
                <c:pt idx="4">
                  <c:v>하늘 조경</c:v>
                </c:pt>
              </c:strCache>
            </c:strRef>
          </c:cat>
          <c:val>
            <c:numRef>
              <c:f>'기타작업-1'!$D$3:$D$7</c:f>
              <c:numCache>
                <c:formatCode>_("₩"* #,##0_);_("₩"* \(#,##0\);_("₩"* "-"_);_(@_)</c:formatCode>
                <c:ptCount val="5"/>
                <c:pt idx="0">
                  <c:v>50</c:v>
                </c:pt>
                <c:pt idx="1">
                  <c:v>89</c:v>
                </c:pt>
                <c:pt idx="2">
                  <c:v>38</c:v>
                </c:pt>
                <c:pt idx="3">
                  <c:v>43</c:v>
                </c:pt>
                <c:pt idx="4">
                  <c:v>40</c:v>
                </c:pt>
              </c:numCache>
            </c:numRef>
          </c:val>
          <c:smooth val="0"/>
        </c:ser>
        <c:ser>
          <c:idx val="2"/>
          <c:order val="2"/>
          <c:tx>
            <c:v>수주</c:v>
          </c:tx>
          <c:val>
            <c:numRef>
              <c:f>'기타작업-1'!$E$3:$E$7</c:f>
              <c:numCache>
                <c:formatCode>_("₩"* #,##0_);_("₩"* \(#,##0\);_("₩"* "-"_);_(@_)</c:formatCode>
                <c:ptCount val="5"/>
                <c:pt idx="0">
                  <c:v>434</c:v>
                </c:pt>
                <c:pt idx="1">
                  <c:v>434</c:v>
                </c:pt>
                <c:pt idx="2">
                  <c:v>297</c:v>
                </c:pt>
                <c:pt idx="3">
                  <c:v>293</c:v>
                </c:pt>
                <c:pt idx="4">
                  <c:v>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33824"/>
        <c:axId val="193045056"/>
      </c:lineChart>
      <c:catAx>
        <c:axId val="20513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회사명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i="1"/>
            </a:pPr>
            <a:endParaRPr lang="ko-KR"/>
          </a:p>
        </c:txPr>
        <c:crossAx val="193045056"/>
        <c:crossesAt val="200"/>
        <c:auto val="1"/>
        <c:lblAlgn val="ctr"/>
        <c:lblOffset val="100"/>
        <c:noMultiLvlLbl val="0"/>
      </c:catAx>
      <c:valAx>
        <c:axId val="19304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layout/>
          <c:overlay val="0"/>
        </c:title>
        <c:numFmt formatCode="_(&quot;₩&quot;* #,##0_);_(&quot;₩&quot;* \(#,##0\);_(&quot;₩&quot;* &quot;-&quot;_);_(@_)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ko-KR"/>
          </a:p>
        </c:txPr>
        <c:crossAx val="205133824"/>
        <c:crosses val="autoZero"/>
        <c:crossBetween val="between"/>
        <c:majorUnit val="100"/>
      </c:valAx>
    </c:plotArea>
    <c:legend>
      <c:legendPos val="t"/>
      <c:layout/>
      <c:overlay val="0"/>
      <c:spPr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4</xdr:col>
      <xdr:colOff>0</xdr:colOff>
      <xdr:row>10</xdr:row>
      <xdr:rowOff>0</xdr:rowOff>
    </xdr:to>
    <xdr:sp macro="[0]!카메라" textlink="">
      <xdr:nvSpPr>
        <xdr:cNvPr id="2" name="순서도: 천공 테이프 1"/>
        <xdr:cNvSpPr/>
      </xdr:nvSpPr>
      <xdr:spPr>
        <a:xfrm>
          <a:off x="1524000" y="1495425"/>
          <a:ext cx="1533525" cy="628650"/>
        </a:xfrm>
        <a:prstGeom prst="flowChartPunchedTap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카메라목표달성률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0</xdr:row>
          <xdr:rowOff>152400</xdr:rowOff>
        </xdr:from>
        <xdr:to>
          <xdr:col>5</xdr:col>
          <xdr:colOff>600075</xdr:colOff>
          <xdr:row>3</xdr:row>
          <xdr:rowOff>104775</xdr:rowOff>
        </xdr:to>
        <xdr:sp macro="" textlink="">
          <xdr:nvSpPr>
            <xdr:cNvPr id="3073" name="cmd등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6.602169097219" createdVersion="4" refreshedVersion="4" minRefreshableVersion="3" recordCount="37">
  <cacheSource type="worksheet">
    <worksheetSource ref="A2:I39" sheet="분석작업-1"/>
  </cacheSource>
  <cacheFields count="9">
    <cacheField name="사원번호" numFmtId="0">
      <sharedItems containsSemiMixedTypes="0" containsString="0" containsNumber="1" containsInteger="1" minValue="200101" maxValue="200137"/>
    </cacheField>
    <cacheField name="이름" numFmtId="0">
      <sharedItems count="37">
        <s v="최민영"/>
        <s v="우희진"/>
        <s v="이나라"/>
        <s v="김민호"/>
        <s v="한가람"/>
        <s v="강타"/>
        <s v="정준호"/>
        <s v="이현주"/>
        <s v="박미리"/>
        <s v="유강현"/>
        <s v="소식가"/>
        <s v="이기자"/>
        <s v="이순신"/>
        <s v="방정환"/>
        <s v="홍난수"/>
        <s v="김대진"/>
        <s v="왕연"/>
        <s v="김윤선"/>
        <s v="조성수"/>
        <s v="고선지"/>
        <s v="박혁거"/>
        <s v="한명회"/>
        <s v="안호근"/>
        <s v="우성룡"/>
        <s v="김순자"/>
        <s v="최민돌"/>
        <s v="김나비"/>
        <s v="최민정"/>
        <s v="배기성"/>
        <s v="아유라"/>
        <s v="마소희"/>
        <s v="김규리"/>
        <s v="엄화정"/>
        <s v="조용히"/>
        <s v="강감찬"/>
        <s v="김정식"/>
        <s v="배우리"/>
      </sharedItems>
    </cacheField>
    <cacheField name="부서명" numFmtId="0">
      <sharedItems count="4">
        <s v="기술부"/>
        <s v="영업부"/>
        <s v="총무부"/>
        <s v="기획부"/>
      </sharedItems>
    </cacheField>
    <cacheField name="직위" numFmtId="0">
      <sharedItems/>
    </cacheField>
    <cacheField name="업무수행" numFmtId="0">
      <sharedItems containsSemiMixedTypes="0" containsString="0" containsNumber="1" containsInteger="1" minValue="0" maxValue="100"/>
    </cacheField>
    <cacheField name="영어독해" numFmtId="0">
      <sharedItems containsSemiMixedTypes="0" containsString="0" containsNumber="1" containsInteger="1" minValue="0" maxValue="88"/>
    </cacheField>
    <cacheField name="영어듣기" numFmtId="0">
      <sharedItems containsSemiMixedTypes="0" containsString="0" containsNumber="1" containsInteger="1" minValue="0" maxValue="80"/>
    </cacheField>
    <cacheField name="전산이론" numFmtId="0">
      <sharedItems containsSemiMixedTypes="0" containsString="0" containsNumber="1" containsInteger="1" minValue="0" maxValue="100"/>
    </cacheField>
    <cacheField name="전산실기" numFmtId="0">
      <sharedItems containsSemiMixedTypes="0" containsString="0" containsNumber="1" containsInteger="1" minValue="7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n v="200124"/>
    <x v="0"/>
    <x v="0"/>
    <s v="사원"/>
    <n v="70"/>
    <n v="52"/>
    <n v="64"/>
    <n v="70"/>
    <n v="90"/>
  </r>
  <r>
    <n v="200116"/>
    <x v="1"/>
    <x v="1"/>
    <s v="대리"/>
    <n v="80"/>
    <n v="56"/>
    <n v="56"/>
    <n v="80"/>
    <n v="90"/>
  </r>
  <r>
    <n v="200122"/>
    <x v="2"/>
    <x v="2"/>
    <s v="대리"/>
    <n v="70"/>
    <n v="48"/>
    <n v="64"/>
    <n v="100"/>
    <n v="100"/>
  </r>
  <r>
    <n v="200115"/>
    <x v="3"/>
    <x v="0"/>
    <s v="대리"/>
    <n v="70"/>
    <n v="52"/>
    <n v="48"/>
    <n v="0"/>
    <n v="100"/>
  </r>
  <r>
    <n v="200108"/>
    <x v="4"/>
    <x v="0"/>
    <s v="대리"/>
    <n v="80"/>
    <n v="64"/>
    <n v="40"/>
    <n v="90"/>
    <n v="100"/>
  </r>
  <r>
    <n v="200101"/>
    <x v="5"/>
    <x v="1"/>
    <s v="대리"/>
    <n v="50"/>
    <n v="0"/>
    <n v="0"/>
    <n v="90"/>
    <n v="80"/>
  </r>
  <r>
    <n v="200111"/>
    <x v="6"/>
    <x v="1"/>
    <s v="대리"/>
    <n v="100"/>
    <n v="32"/>
    <n v="48"/>
    <n v="90"/>
    <n v="100"/>
  </r>
  <r>
    <n v="200118"/>
    <x v="7"/>
    <x v="0"/>
    <s v="대리"/>
    <n v="70"/>
    <n v="64"/>
    <n v="56"/>
    <n v="90"/>
    <n v="100"/>
  </r>
  <r>
    <n v="200121"/>
    <x v="8"/>
    <x v="0"/>
    <s v="대리"/>
    <n v="80"/>
    <n v="68"/>
    <n v="60"/>
    <n v="100"/>
    <n v="100"/>
  </r>
  <r>
    <n v="200135"/>
    <x v="9"/>
    <x v="1"/>
    <s v="사원"/>
    <n v="100"/>
    <n v="72"/>
    <n v="80"/>
    <n v="100"/>
    <n v="100"/>
  </r>
  <r>
    <n v="200112"/>
    <x v="10"/>
    <x v="2"/>
    <s v="대리"/>
    <n v="100"/>
    <n v="36"/>
    <n v="48"/>
    <n v="90"/>
    <n v="100"/>
  </r>
  <r>
    <n v="200110"/>
    <x v="11"/>
    <x v="3"/>
    <s v="대리"/>
    <n v="90"/>
    <n v="48"/>
    <n v="44"/>
    <n v="80"/>
    <n v="100"/>
  </r>
  <r>
    <n v="200130"/>
    <x v="12"/>
    <x v="0"/>
    <s v="사원"/>
    <n v="90"/>
    <n v="68"/>
    <n v="72"/>
    <n v="100"/>
    <n v="100"/>
  </r>
  <r>
    <n v="200133"/>
    <x v="13"/>
    <x v="3"/>
    <s v="사원"/>
    <n v="90"/>
    <n v="64"/>
    <n v="76"/>
    <n v="90"/>
    <n v="80"/>
  </r>
  <r>
    <n v="200136"/>
    <x v="14"/>
    <x v="2"/>
    <s v="사원"/>
    <n v="100"/>
    <n v="68"/>
    <n v="80"/>
    <n v="100"/>
    <n v="100"/>
  </r>
  <r>
    <n v="200134"/>
    <x v="15"/>
    <x v="3"/>
    <s v="사원"/>
    <n v="70"/>
    <n v="52"/>
    <n v="76"/>
    <n v="90"/>
    <n v="100"/>
  </r>
  <r>
    <n v="200119"/>
    <x v="16"/>
    <x v="2"/>
    <s v="대리"/>
    <n v="100"/>
    <n v="44"/>
    <n v="60"/>
    <n v="90"/>
    <n v="90"/>
  </r>
  <r>
    <n v="200114"/>
    <x v="17"/>
    <x v="3"/>
    <s v="대리"/>
    <n v="100"/>
    <n v="60"/>
    <n v="48"/>
    <n v="90"/>
    <n v="100"/>
  </r>
  <r>
    <n v="200102"/>
    <x v="18"/>
    <x v="1"/>
    <s v="대리"/>
    <n v="0"/>
    <n v="0"/>
    <n v="0"/>
    <n v="0"/>
    <n v="80"/>
  </r>
  <r>
    <n v="200109"/>
    <x v="19"/>
    <x v="1"/>
    <s v="대리"/>
    <n v="100"/>
    <n v="52"/>
    <n v="44"/>
    <n v="80"/>
    <n v="80"/>
  </r>
  <r>
    <n v="200107"/>
    <x v="20"/>
    <x v="0"/>
    <s v="대리"/>
    <n v="80"/>
    <n v="52"/>
    <n v="36"/>
    <n v="80"/>
    <n v="80"/>
  </r>
  <r>
    <n v="200103"/>
    <x v="21"/>
    <x v="3"/>
    <s v="대리"/>
    <n v="80"/>
    <n v="68"/>
    <n v="0"/>
    <n v="90"/>
    <n v="80"/>
  </r>
  <r>
    <n v="200113"/>
    <x v="22"/>
    <x v="2"/>
    <s v="대리"/>
    <n v="100"/>
    <n v="72"/>
    <n v="48"/>
    <n v="80"/>
    <n v="100"/>
  </r>
  <r>
    <n v="200105"/>
    <x v="23"/>
    <x v="0"/>
    <s v="대리"/>
    <n v="80"/>
    <n v="40"/>
    <n v="24"/>
    <n v="80"/>
    <n v="100"/>
  </r>
  <r>
    <n v="200117"/>
    <x v="24"/>
    <x v="3"/>
    <s v="대리"/>
    <n v="100"/>
    <n v="52"/>
    <n v="56"/>
    <n v="80"/>
    <n v="100"/>
  </r>
  <r>
    <n v="200125"/>
    <x v="25"/>
    <x v="3"/>
    <s v="사원"/>
    <n v="70"/>
    <n v="52"/>
    <n v="68"/>
    <n v="80"/>
    <n v="90"/>
  </r>
  <r>
    <n v="200123"/>
    <x v="26"/>
    <x v="2"/>
    <s v="대리"/>
    <n v="100"/>
    <n v="56"/>
    <n v="64"/>
    <n v="80"/>
    <n v="100"/>
  </r>
  <r>
    <n v="200106"/>
    <x v="27"/>
    <x v="0"/>
    <s v="대리"/>
    <n v="50"/>
    <n v="40"/>
    <n v="28"/>
    <n v="0"/>
    <n v="90"/>
  </r>
  <r>
    <n v="200129"/>
    <x v="28"/>
    <x v="3"/>
    <s v="사원"/>
    <n v="100"/>
    <n v="88"/>
    <n v="72"/>
    <n v="100"/>
    <n v="100"/>
  </r>
  <r>
    <n v="200120"/>
    <x v="29"/>
    <x v="3"/>
    <s v="대리"/>
    <n v="100"/>
    <n v="60"/>
    <n v="60"/>
    <n v="90"/>
    <n v="80"/>
  </r>
  <r>
    <n v="200131"/>
    <x v="30"/>
    <x v="0"/>
    <s v="사원"/>
    <n v="90"/>
    <n v="76"/>
    <n v="72"/>
    <n v="100"/>
    <n v="100"/>
  </r>
  <r>
    <n v="200126"/>
    <x v="31"/>
    <x v="3"/>
    <s v="사원"/>
    <n v="100"/>
    <n v="68"/>
    <n v="68"/>
    <n v="90"/>
    <n v="100"/>
  </r>
  <r>
    <n v="200128"/>
    <x v="32"/>
    <x v="2"/>
    <s v="사원"/>
    <n v="100"/>
    <n v="68"/>
    <n v="72"/>
    <n v="90"/>
    <n v="100"/>
  </r>
  <r>
    <n v="200132"/>
    <x v="33"/>
    <x v="1"/>
    <s v="사원"/>
    <n v="100"/>
    <n v="76"/>
    <n v="76"/>
    <n v="90"/>
    <n v="100"/>
  </r>
  <r>
    <n v="200104"/>
    <x v="34"/>
    <x v="3"/>
    <s v="대리"/>
    <n v="10"/>
    <n v="0"/>
    <n v="0"/>
    <n v="90"/>
    <n v="70"/>
  </r>
  <r>
    <n v="200137"/>
    <x v="35"/>
    <x v="3"/>
    <s v="사원"/>
    <n v="100"/>
    <n v="76"/>
    <n v="80"/>
    <n v="100"/>
    <n v="100"/>
  </r>
  <r>
    <n v="200127"/>
    <x v="36"/>
    <x v="1"/>
    <s v="사원"/>
    <n v="100"/>
    <n v="64"/>
    <n v="72"/>
    <n v="9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11" applyNumberFormats="0" applyBorderFormats="0" applyFontFormats="0" applyPatternFormats="0" applyAlignmentFormats="0" applyWidthHeightFormats="1" dataCaption="값" updatedVersion="4" minRefreshableVersion="3" useAutoFormatting="1" rowGrandTotals="0" itemPrintTitles="1" createdVersion="4" indent="0" outline="1" outlineData="1" multipleFieldFilters="0">
  <location ref="K4:O8" firstHeaderRow="0" firstDataRow="1" firstDataCol="1" rowPageCount="1" colPageCount="1"/>
  <pivotFields count="9">
    <pivotField showAll="0"/>
    <pivotField axis="axisPage" showAll="0">
      <items count="38">
        <item x="34"/>
        <item x="5"/>
        <item x="19"/>
        <item x="31"/>
        <item x="26"/>
        <item x="15"/>
        <item x="3"/>
        <item x="24"/>
        <item x="17"/>
        <item x="35"/>
        <item x="30"/>
        <item x="8"/>
        <item x="20"/>
        <item x="13"/>
        <item x="28"/>
        <item x="36"/>
        <item x="10"/>
        <item x="29"/>
        <item x="22"/>
        <item x="32"/>
        <item x="16"/>
        <item x="23"/>
        <item x="1"/>
        <item x="9"/>
        <item x="11"/>
        <item x="2"/>
        <item x="12"/>
        <item x="7"/>
        <item x="6"/>
        <item x="18"/>
        <item x="33"/>
        <item x="25"/>
        <item x="0"/>
        <item x="27"/>
        <item x="4"/>
        <item x="21"/>
        <item x="14"/>
        <item t="default"/>
      </items>
    </pivotField>
    <pivotField axis="axisRow" showAll="0">
      <items count="5">
        <item x="0"/>
        <item x="3"/>
        <item x="1"/>
        <item x="2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평균 : 영어독해" fld="5" subtotal="average" baseField="2" baseItem="1" numFmtId="177"/>
    <dataField name="평균 : 영어듣기" fld="6" subtotal="average" baseField="2" baseItem="1" numFmtId="177"/>
    <dataField name="평균 : 전산이론" fld="7" subtotal="average" baseField="2" baseItem="1" numFmtId="177"/>
    <dataField name="평균 : 전산실기" fld="8" subtotal="average" baseField="2" baseItem="2" numFmtId="177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표7" displayName="표7" ref="A1:I11" totalsRowShown="0">
  <autoFilter ref="A1:I11"/>
  <tableColumns count="9">
    <tableColumn id="1" name="사원번호"/>
    <tableColumn id="2" name="이름"/>
    <tableColumn id="3" name="부서명"/>
    <tableColumn id="4" name="직위"/>
    <tableColumn id="5" name="업무수행"/>
    <tableColumn id="6" name="영어독해"/>
    <tableColumn id="7" name="영어듣기"/>
    <tableColumn id="8" name="전산이론"/>
    <tableColumn id="9" name="전산실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/>
  </sheetViews>
  <sheetFormatPr defaultRowHeight="16.5"/>
  <cols>
    <col min="1" max="1" width="15.5" customWidth="1"/>
    <col min="2" max="2" width="11.25" customWidth="1"/>
    <col min="3" max="3" width="17.875" customWidth="1"/>
    <col min="4" max="4" width="7.5" customWidth="1"/>
    <col min="5" max="5" width="9.375" customWidth="1"/>
    <col min="6" max="6" width="11.25" customWidth="1"/>
    <col min="7" max="7" width="13.125" bestFit="1" customWidth="1"/>
  </cols>
  <sheetData>
    <row r="1" spans="1:6">
      <c r="A1" s="1"/>
      <c r="B1" s="1"/>
      <c r="C1" s="1"/>
      <c r="D1" s="1"/>
    </row>
    <row r="2" spans="1:6">
      <c r="A2" s="1"/>
      <c r="B2" s="1"/>
      <c r="C2" s="1" t="s">
        <v>0</v>
      </c>
      <c r="D2" s="1"/>
    </row>
    <row r="3" spans="1:6">
      <c r="A3" s="59" t="s">
        <v>1</v>
      </c>
      <c r="B3" s="60" t="s">
        <v>2</v>
      </c>
      <c r="C3" s="60" t="s">
        <v>3</v>
      </c>
      <c r="D3" s="60" t="s">
        <v>4</v>
      </c>
      <c r="E3" s="60" t="s">
        <v>5</v>
      </c>
      <c r="F3" s="61" t="s">
        <v>6</v>
      </c>
    </row>
    <row r="4" spans="1:6">
      <c r="A4" s="62">
        <v>42390</v>
      </c>
      <c r="B4" s="63" t="s">
        <v>7</v>
      </c>
      <c r="C4" s="63" t="s">
        <v>8</v>
      </c>
      <c r="D4" s="63" t="s">
        <v>9</v>
      </c>
      <c r="E4" s="63">
        <v>1000</v>
      </c>
      <c r="F4" s="64">
        <v>2</v>
      </c>
    </row>
    <row r="5" spans="1:6">
      <c r="A5" s="65">
        <v>42415</v>
      </c>
      <c r="B5" s="66" t="s">
        <v>10</v>
      </c>
      <c r="C5" s="66" t="s">
        <v>11</v>
      </c>
      <c r="D5" s="66" t="s">
        <v>12</v>
      </c>
      <c r="E5" s="66">
        <v>1500</v>
      </c>
      <c r="F5" s="67">
        <v>1</v>
      </c>
    </row>
    <row r="6" spans="1:6">
      <c r="A6" s="62">
        <v>42464</v>
      </c>
      <c r="B6" s="63" t="s">
        <v>13</v>
      </c>
      <c r="C6" s="63" t="s">
        <v>14</v>
      </c>
      <c r="D6" s="63" t="s">
        <v>12</v>
      </c>
      <c r="E6" s="63">
        <v>1000</v>
      </c>
      <c r="F6" s="64">
        <v>2</v>
      </c>
    </row>
    <row r="7" spans="1:6">
      <c r="A7" s="65">
        <v>42496</v>
      </c>
      <c r="B7" s="66" t="s">
        <v>15</v>
      </c>
      <c r="C7" s="66" t="s">
        <v>16</v>
      </c>
      <c r="D7" s="66" t="s">
        <v>12</v>
      </c>
      <c r="E7" s="66">
        <v>1500</v>
      </c>
      <c r="F7" s="67">
        <v>1</v>
      </c>
    </row>
    <row r="8" spans="1:6">
      <c r="A8" s="62">
        <v>42528</v>
      </c>
      <c r="B8" s="63" t="s">
        <v>17</v>
      </c>
      <c r="C8" s="63" t="s">
        <v>18</v>
      </c>
      <c r="D8" s="63" t="s">
        <v>9</v>
      </c>
      <c r="E8" s="63">
        <v>3000</v>
      </c>
      <c r="F8" s="64">
        <v>2</v>
      </c>
    </row>
    <row r="9" spans="1:6">
      <c r="A9" s="65">
        <v>42560</v>
      </c>
      <c r="B9" s="66" t="s">
        <v>19</v>
      </c>
      <c r="C9" s="66" t="s">
        <v>20</v>
      </c>
      <c r="D9" s="66" t="s">
        <v>12</v>
      </c>
      <c r="E9" s="66">
        <v>1000</v>
      </c>
      <c r="F9" s="67">
        <v>1</v>
      </c>
    </row>
    <row r="10" spans="1:6">
      <c r="A10" s="56">
        <v>42608</v>
      </c>
      <c r="B10" s="57" t="s">
        <v>21</v>
      </c>
      <c r="C10" s="57" t="s">
        <v>22</v>
      </c>
      <c r="D10" s="57" t="s">
        <v>12</v>
      </c>
      <c r="E10" s="57">
        <v>1000</v>
      </c>
      <c r="F10" s="58">
        <v>2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6"/>
  <sheetViews>
    <sheetView workbookViewId="0"/>
  </sheetViews>
  <sheetFormatPr defaultRowHeight="16.5"/>
  <cols>
    <col min="1" max="1" width="15.5" customWidth="1"/>
    <col min="2" max="2" width="11.25" customWidth="1"/>
    <col min="3" max="3" width="17.875" customWidth="1"/>
    <col min="4" max="4" width="7.5" customWidth="1"/>
    <col min="5" max="5" width="9.375" customWidth="1"/>
    <col min="6" max="6" width="11.25" customWidth="1"/>
    <col min="7" max="7" width="13.125" bestFit="1" customWidth="1"/>
  </cols>
  <sheetData>
    <row r="1" spans="1:7">
      <c r="A1" t="s">
        <v>23</v>
      </c>
    </row>
    <row r="2" spans="1:7">
      <c r="A2" s="2"/>
      <c r="B2" s="2"/>
      <c r="C2" s="2" t="s">
        <v>24</v>
      </c>
      <c r="D2" s="2"/>
      <c r="E2" s="2"/>
      <c r="F2" s="2"/>
      <c r="G2" s="2"/>
    </row>
    <row r="3" spans="1:7" ht="17.25" thickBot="1">
      <c r="A3" s="2"/>
      <c r="B3" s="2"/>
      <c r="C3" s="2"/>
      <c r="D3" s="2"/>
      <c r="E3" s="2"/>
      <c r="F3" s="2"/>
      <c r="G3" s="2"/>
    </row>
    <row r="4" spans="1:7">
      <c r="A4" s="76" t="s">
        <v>25</v>
      </c>
      <c r="B4" s="78" t="s">
        <v>26</v>
      </c>
      <c r="C4" s="80" t="s">
        <v>27</v>
      </c>
      <c r="D4" s="81"/>
      <c r="E4" s="82"/>
      <c r="F4" s="83" t="s">
        <v>28</v>
      </c>
      <c r="G4" s="84"/>
    </row>
    <row r="5" spans="1:7" ht="17.25" thickBot="1">
      <c r="A5" s="77"/>
      <c r="B5" s="79"/>
      <c r="C5" s="3" t="s">
        <v>29</v>
      </c>
      <c r="D5" s="4" t="s">
        <v>30</v>
      </c>
      <c r="E5" s="4" t="s">
        <v>31</v>
      </c>
      <c r="F5" s="3" t="s">
        <v>32</v>
      </c>
      <c r="G5" s="5" t="s">
        <v>33</v>
      </c>
    </row>
    <row r="6" spans="1:7">
      <c r="A6" s="6">
        <v>1</v>
      </c>
      <c r="B6" s="7" t="s">
        <v>34</v>
      </c>
      <c r="C6" s="7">
        <v>90</v>
      </c>
      <c r="D6" s="7">
        <v>80</v>
      </c>
      <c r="E6" s="7">
        <v>90</v>
      </c>
      <c r="F6" s="8">
        <v>80</v>
      </c>
      <c r="G6" s="9">
        <v>89</v>
      </c>
    </row>
    <row r="7" spans="1:7">
      <c r="A7" s="10">
        <v>2</v>
      </c>
      <c r="B7" s="11" t="s">
        <v>35</v>
      </c>
      <c r="C7" s="11">
        <v>70</v>
      </c>
      <c r="D7" s="11">
        <v>80</v>
      </c>
      <c r="E7" s="11">
        <v>80</v>
      </c>
      <c r="F7" s="12">
        <v>96</v>
      </c>
      <c r="G7" s="13">
        <v>80</v>
      </c>
    </row>
    <row r="8" spans="1:7">
      <c r="A8" s="10">
        <v>3</v>
      </c>
      <c r="B8" s="11" t="s">
        <v>36</v>
      </c>
      <c r="C8" s="11">
        <v>60</v>
      </c>
      <c r="D8" s="11">
        <v>70</v>
      </c>
      <c r="E8" s="11">
        <v>70</v>
      </c>
      <c r="F8" s="12">
        <v>94</v>
      </c>
      <c r="G8" s="13">
        <v>90</v>
      </c>
    </row>
    <row r="9" spans="1:7">
      <c r="A9" s="10">
        <v>4</v>
      </c>
      <c r="B9" s="11" t="s">
        <v>37</v>
      </c>
      <c r="C9" s="11">
        <v>60</v>
      </c>
      <c r="D9" s="11">
        <v>50</v>
      </c>
      <c r="E9" s="11">
        <v>80</v>
      </c>
      <c r="F9" s="12">
        <v>80</v>
      </c>
      <c r="G9" s="13">
        <v>97</v>
      </c>
    </row>
    <row r="10" spans="1:7">
      <c r="A10" s="10">
        <v>5</v>
      </c>
      <c r="B10" s="11" t="s">
        <v>38</v>
      </c>
      <c r="C10" s="11">
        <v>50</v>
      </c>
      <c r="D10" s="11">
        <v>70</v>
      </c>
      <c r="E10" s="11">
        <v>90</v>
      </c>
      <c r="F10" s="12">
        <v>80</v>
      </c>
      <c r="G10" s="13">
        <v>99</v>
      </c>
    </row>
    <row r="11" spans="1:7">
      <c r="A11" s="10">
        <v>6</v>
      </c>
      <c r="B11" s="11" t="s">
        <v>39</v>
      </c>
      <c r="C11" s="11">
        <v>50</v>
      </c>
      <c r="D11" s="11">
        <v>50</v>
      </c>
      <c r="E11" s="11">
        <v>70</v>
      </c>
      <c r="F11" s="12">
        <v>91</v>
      </c>
      <c r="G11" s="13">
        <v>85</v>
      </c>
    </row>
    <row r="12" spans="1:7">
      <c r="A12" s="10">
        <v>7</v>
      </c>
      <c r="B12" s="11" t="s">
        <v>40</v>
      </c>
      <c r="C12" s="11">
        <v>60</v>
      </c>
      <c r="D12" s="11">
        <v>60</v>
      </c>
      <c r="E12" s="11">
        <v>70</v>
      </c>
      <c r="F12" s="12">
        <v>93</v>
      </c>
      <c r="G12" s="13">
        <v>90</v>
      </c>
    </row>
    <row r="13" spans="1:7" ht="17.25" thickBot="1">
      <c r="A13" s="14">
        <v>8</v>
      </c>
      <c r="B13" s="3" t="s">
        <v>41</v>
      </c>
      <c r="C13" s="3">
        <v>80</v>
      </c>
      <c r="D13" s="3">
        <v>80</v>
      </c>
      <c r="E13" s="3">
        <v>80</v>
      </c>
      <c r="F13" s="15">
        <v>93</v>
      </c>
      <c r="G13" s="5">
        <v>92</v>
      </c>
    </row>
    <row r="17" spans="1:7">
      <c r="A17" s="2" t="s">
        <v>42</v>
      </c>
      <c r="B17" s="1"/>
      <c r="C17" s="1"/>
      <c r="D17" s="1"/>
      <c r="E17" s="1"/>
      <c r="F17" s="1"/>
      <c r="G17" s="1"/>
    </row>
    <row r="18" spans="1:7" ht="20.25">
      <c r="A18" s="1"/>
      <c r="B18" s="1"/>
      <c r="C18" s="16" t="s">
        <v>43</v>
      </c>
      <c r="D18" s="16"/>
      <c r="E18" s="16"/>
      <c r="F18" s="16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7" t="s">
        <v>44</v>
      </c>
      <c r="B20" s="17" t="s">
        <v>45</v>
      </c>
      <c r="C20" s="17" t="s">
        <v>46</v>
      </c>
      <c r="D20" s="17" t="s">
        <v>47</v>
      </c>
      <c r="E20" s="17" t="s">
        <v>48</v>
      </c>
      <c r="F20" s="17" t="s">
        <v>49</v>
      </c>
      <c r="G20" s="17" t="s">
        <v>50</v>
      </c>
    </row>
    <row r="21" spans="1:7">
      <c r="A21" s="17">
        <v>20001212</v>
      </c>
      <c r="B21" s="17" t="s">
        <v>51</v>
      </c>
      <c r="C21" s="17" t="s">
        <v>52</v>
      </c>
      <c r="D21" s="17" t="s">
        <v>53</v>
      </c>
      <c r="E21" s="17" t="s">
        <v>54</v>
      </c>
      <c r="F21" s="17">
        <v>80</v>
      </c>
      <c r="G21" s="17">
        <v>70</v>
      </c>
    </row>
    <row r="22" spans="1:7">
      <c r="A22" s="17">
        <v>20001213</v>
      </c>
      <c r="B22" s="17" t="s">
        <v>55</v>
      </c>
      <c r="C22" s="17" t="s">
        <v>56</v>
      </c>
      <c r="D22" s="17" t="s">
        <v>57</v>
      </c>
      <c r="E22" s="17" t="s">
        <v>58</v>
      </c>
      <c r="F22" s="17">
        <v>50</v>
      </c>
      <c r="G22" s="17">
        <v>60</v>
      </c>
    </row>
    <row r="23" spans="1:7">
      <c r="A23" s="17">
        <v>20001214</v>
      </c>
      <c r="B23" s="17" t="s">
        <v>59</v>
      </c>
      <c r="C23" s="17" t="s">
        <v>60</v>
      </c>
      <c r="D23" s="17" t="s">
        <v>61</v>
      </c>
      <c r="E23" s="17" t="s">
        <v>62</v>
      </c>
      <c r="F23" s="17">
        <v>70</v>
      </c>
      <c r="G23" s="17">
        <v>70</v>
      </c>
    </row>
    <row r="24" spans="1:7">
      <c r="A24" s="17">
        <v>20001215</v>
      </c>
      <c r="B24" s="17" t="s">
        <v>63</v>
      </c>
      <c r="C24" s="17" t="s">
        <v>64</v>
      </c>
      <c r="D24" s="17" t="s">
        <v>65</v>
      </c>
      <c r="E24" s="17" t="s">
        <v>66</v>
      </c>
      <c r="F24" s="17">
        <v>80</v>
      </c>
      <c r="G24" s="17">
        <v>75</v>
      </c>
    </row>
    <row r="25" spans="1:7">
      <c r="A25" s="17">
        <v>20001216</v>
      </c>
      <c r="B25" s="17" t="s">
        <v>67</v>
      </c>
      <c r="C25" s="17" t="s">
        <v>68</v>
      </c>
      <c r="D25" s="17" t="s">
        <v>69</v>
      </c>
      <c r="E25" s="17" t="s">
        <v>70</v>
      </c>
      <c r="F25" s="17">
        <v>50</v>
      </c>
      <c r="G25" s="17">
        <v>60</v>
      </c>
    </row>
    <row r="26" spans="1:7">
      <c r="A26" s="17">
        <v>20001217</v>
      </c>
      <c r="B26" s="17" t="s">
        <v>71</v>
      </c>
      <c r="C26" s="17" t="s">
        <v>60</v>
      </c>
      <c r="D26" s="17" t="s">
        <v>57</v>
      </c>
      <c r="E26" s="17" t="s">
        <v>62</v>
      </c>
      <c r="F26" s="17">
        <v>45</v>
      </c>
      <c r="G26" s="17">
        <v>55</v>
      </c>
    </row>
    <row r="28" spans="1:7">
      <c r="A28" t="s">
        <v>72</v>
      </c>
    </row>
    <row r="29" spans="1:7">
      <c r="A29" t="b">
        <f>F21&lt;=G21</f>
        <v>0</v>
      </c>
    </row>
    <row r="32" spans="1:7">
      <c r="A32" s="17" t="s">
        <v>44</v>
      </c>
      <c r="B32" s="17" t="s">
        <v>45</v>
      </c>
      <c r="C32" s="17" t="s">
        <v>46</v>
      </c>
      <c r="D32" s="17" t="s">
        <v>47</v>
      </c>
      <c r="E32" s="17" t="s">
        <v>48</v>
      </c>
      <c r="F32" s="17" t="s">
        <v>49</v>
      </c>
      <c r="G32" s="17" t="s">
        <v>50</v>
      </c>
    </row>
    <row r="33" spans="1:7">
      <c r="A33" s="17">
        <v>20001213</v>
      </c>
      <c r="B33" s="17" t="s">
        <v>55</v>
      </c>
      <c r="C33" s="17" t="s">
        <v>56</v>
      </c>
      <c r="D33" s="17" t="s">
        <v>57</v>
      </c>
      <c r="E33" s="17" t="s">
        <v>58</v>
      </c>
      <c r="F33" s="17">
        <v>50</v>
      </c>
      <c r="G33" s="17">
        <v>60</v>
      </c>
    </row>
    <row r="34" spans="1:7">
      <c r="A34" s="17">
        <v>20001214</v>
      </c>
      <c r="B34" s="17" t="s">
        <v>59</v>
      </c>
      <c r="C34" s="17" t="s">
        <v>60</v>
      </c>
      <c r="D34" s="17" t="s">
        <v>61</v>
      </c>
      <c r="E34" s="17" t="s">
        <v>62</v>
      </c>
      <c r="F34" s="17">
        <v>70</v>
      </c>
      <c r="G34" s="17">
        <v>70</v>
      </c>
    </row>
    <row r="35" spans="1:7">
      <c r="A35" s="17">
        <v>20001216</v>
      </c>
      <c r="B35" s="17" t="s">
        <v>67</v>
      </c>
      <c r="C35" s="17" t="s">
        <v>68</v>
      </c>
      <c r="D35" s="17" t="s">
        <v>69</v>
      </c>
      <c r="E35" s="17" t="s">
        <v>70</v>
      </c>
      <c r="F35" s="17">
        <v>50</v>
      </c>
      <c r="G35" s="17">
        <v>60</v>
      </c>
    </row>
    <row r="36" spans="1:7">
      <c r="A36" s="17">
        <v>20001217</v>
      </c>
      <c r="B36" s="17" t="s">
        <v>71</v>
      </c>
      <c r="C36" s="17" t="s">
        <v>60</v>
      </c>
      <c r="D36" s="17" t="s">
        <v>57</v>
      </c>
      <c r="E36" s="17" t="s">
        <v>62</v>
      </c>
      <c r="F36" s="17">
        <v>45</v>
      </c>
      <c r="G36" s="17">
        <v>55</v>
      </c>
    </row>
  </sheetData>
  <mergeCells count="4">
    <mergeCell ref="A4:A5"/>
    <mergeCell ref="B4:B5"/>
    <mergeCell ref="C4:E4"/>
    <mergeCell ref="F4:G4"/>
  </mergeCells>
  <phoneticPr fontId="5" type="noConversion"/>
  <conditionalFormatting sqref="A6:G13">
    <cfRule type="expression" dxfId="1" priority="1">
      <formula>COUNTIF($C6:$G6,"&gt;=80")=5</formula>
    </cfRule>
  </conditionalFormatting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workbookViewId="0"/>
  </sheetViews>
  <sheetFormatPr defaultRowHeight="16.5"/>
  <cols>
    <col min="1" max="1" width="8.75" style="1" bestFit="1" customWidth="1"/>
    <col min="2" max="2" width="11.875" style="1" bestFit="1" customWidth="1"/>
    <col min="3" max="4" width="9.25" style="1" bestFit="1" customWidth="1"/>
    <col min="5" max="5" width="15.875" style="1" customWidth="1"/>
    <col min="6" max="6" width="13.75" style="1" customWidth="1"/>
    <col min="7" max="7" width="12.875" style="1" customWidth="1"/>
    <col min="8" max="8" width="10.875" style="1" bestFit="1" customWidth="1"/>
    <col min="9" max="9" width="11.125" style="1" bestFit="1" customWidth="1"/>
    <col min="10" max="10" width="13.625" style="1" bestFit="1" customWidth="1"/>
    <col min="11" max="16384" width="9" style="1"/>
  </cols>
  <sheetData>
    <row r="1" spans="1:9">
      <c r="A1" s="1" t="s">
        <v>250</v>
      </c>
      <c r="E1" s="1" t="s">
        <v>42</v>
      </c>
    </row>
    <row r="2" spans="1:9">
      <c r="A2" s="17" t="s">
        <v>254</v>
      </c>
      <c r="B2" s="17" t="s">
        <v>254</v>
      </c>
      <c r="C2" s="18" t="s">
        <v>73</v>
      </c>
      <c r="E2" s="85" t="s">
        <v>253</v>
      </c>
      <c r="F2" s="85"/>
      <c r="G2" s="86"/>
      <c r="H2" s="19" t="s">
        <v>74</v>
      </c>
      <c r="I2" s="19" t="s">
        <v>251</v>
      </c>
    </row>
    <row r="3" spans="1:9">
      <c r="A3" s="20">
        <v>2001</v>
      </c>
      <c r="B3" s="21">
        <v>2005</v>
      </c>
      <c r="C3" s="17">
        <f>COUNTIFS($D$20:$D$39,"&gt;="&amp;A3,$D$20:$D$39,"&lt;="&amp;B3)</f>
        <v>1</v>
      </c>
      <c r="E3" s="87">
        <f>DSUM(A19:I39,7,H2:I3)</f>
        <v>2550000</v>
      </c>
      <c r="F3" s="87"/>
      <c r="G3" s="88"/>
      <c r="H3" s="19" t="s">
        <v>75</v>
      </c>
      <c r="I3" s="19" t="s">
        <v>252</v>
      </c>
    </row>
    <row r="4" spans="1:9">
      <c r="A4" s="20">
        <v>2006</v>
      </c>
      <c r="B4" s="21">
        <v>2010</v>
      </c>
      <c r="C4" s="17">
        <f t="shared" ref="C4:C6" si="0">COUNTIFS($D$20:$D$39,"&gt;="&amp;A4,$D$20:$D$39,"&lt;="&amp;B4)</f>
        <v>3</v>
      </c>
      <c r="H4" s="19"/>
      <c r="I4" s="22"/>
    </row>
    <row r="5" spans="1:9">
      <c r="A5" s="20">
        <v>2011</v>
      </c>
      <c r="B5" s="21">
        <v>2015</v>
      </c>
      <c r="C5" s="17">
        <f t="shared" si="0"/>
        <v>3</v>
      </c>
    </row>
    <row r="6" spans="1:9">
      <c r="A6" s="20">
        <v>2016</v>
      </c>
      <c r="B6" s="21">
        <v>2020</v>
      </c>
      <c r="C6" s="17">
        <f t="shared" si="0"/>
        <v>13</v>
      </c>
    </row>
    <row r="8" spans="1:9">
      <c r="A8" s="1" t="s">
        <v>76</v>
      </c>
      <c r="E8" s="1" t="s">
        <v>77</v>
      </c>
    </row>
    <row r="9" spans="1:9">
      <c r="A9" s="17" t="s">
        <v>78</v>
      </c>
      <c r="B9" s="23" t="s">
        <v>79</v>
      </c>
      <c r="E9" s="20"/>
      <c r="F9" s="23" t="s">
        <v>80</v>
      </c>
    </row>
    <row r="10" spans="1:9">
      <c r="A10" s="17" t="s">
        <v>81</v>
      </c>
      <c r="B10" s="24">
        <f t="array" ref="B10">TRUNC(AVERAGE(IF($A$20:$A$39=A10,$G$20:$G$39)))</f>
        <v>1333333</v>
      </c>
      <c r="E10" s="23" t="s">
        <v>82</v>
      </c>
      <c r="F10" s="25">
        <f t="array" ref="F10">SUM(IF((RIGHT($A$20:$A$39,2)=E10)*IFERROR( FIND("판매",$A$20:$A$39)&gt;=1,FALSE),$G$20:$G$39))</f>
        <v>4000000</v>
      </c>
    </row>
    <row r="11" spans="1:9">
      <c r="A11" s="17" t="s">
        <v>83</v>
      </c>
      <c r="B11" s="24">
        <f t="array" ref="B11">TRUNC(AVERAGE(IF($A$20:$A$39=A11,$G$20:$G$39)))</f>
        <v>1250000</v>
      </c>
      <c r="E11" s="23" t="s">
        <v>84</v>
      </c>
      <c r="F11" s="25">
        <f t="array" ref="F11">SUM(IF((RIGHT($A$20:$A$39,2)=E11)*IFERROR( FIND("판매",$A$20:$A$39)&gt;=1,FALSE),$G$20:$G$39))</f>
        <v>5000000</v>
      </c>
    </row>
    <row r="12" spans="1:9">
      <c r="A12" s="17" t="s">
        <v>85</v>
      </c>
      <c r="B12" s="24">
        <f t="array" ref="B12">TRUNC(AVERAGE(IF($A$20:$A$39=A12,$G$20:$G$39)))</f>
        <v>1266666</v>
      </c>
      <c r="C12" s="26"/>
      <c r="E12" s="23" t="s">
        <v>86</v>
      </c>
      <c r="F12" s="25">
        <f t="array" ref="F12">SUM(IF((RIGHT($A$20:$A$39,2)=E12)*IFERROR( FIND("판매",$A$20:$A$39)&gt;=1,FALSE),$G$20:$G$39))</f>
        <v>3800000</v>
      </c>
    </row>
    <row r="13" spans="1:9">
      <c r="A13" s="17" t="s">
        <v>87</v>
      </c>
      <c r="B13" s="24">
        <f t="array" ref="B13">TRUNC(AVERAGE(IF($A$20:$A$39=A13,$G$20:$G$39)))</f>
        <v>1137500</v>
      </c>
      <c r="C13" s="26"/>
    </row>
    <row r="14" spans="1:9">
      <c r="A14" s="17" t="s">
        <v>88</v>
      </c>
      <c r="B14" s="24">
        <f t="array" ref="B14">TRUNC(AVERAGE(IF($A$20:$A$39=A14,$G$20:$G$39)))</f>
        <v>1233333</v>
      </c>
      <c r="C14" s="26"/>
    </row>
    <row r="15" spans="1:9">
      <c r="A15" s="17" t="s">
        <v>89</v>
      </c>
      <c r="B15" s="24">
        <f t="array" ref="B15">TRUNC(AVERAGE(IF($A$20:$A$39=A15,$G$20:$G$39)))</f>
        <v>1175000</v>
      </c>
      <c r="C15" s="26"/>
    </row>
    <row r="16" spans="1:9">
      <c r="A16" s="26"/>
      <c r="B16" s="26"/>
      <c r="C16" s="26"/>
      <c r="D16" s="26"/>
    </row>
    <row r="18" spans="1:10">
      <c r="A18" s="27" t="s">
        <v>90</v>
      </c>
      <c r="H18" s="68" t="s">
        <v>248</v>
      </c>
      <c r="I18" s="74">
        <v>43709</v>
      </c>
    </row>
    <row r="19" spans="1:10">
      <c r="A19" s="28" t="s">
        <v>78</v>
      </c>
      <c r="B19" s="28" t="s">
        <v>91</v>
      </c>
      <c r="C19" s="28" t="s">
        <v>92</v>
      </c>
      <c r="D19" s="28" t="s">
        <v>93</v>
      </c>
      <c r="E19" s="23" t="s">
        <v>94</v>
      </c>
      <c r="F19" s="23" t="s">
        <v>95</v>
      </c>
      <c r="G19" s="28" t="s">
        <v>96</v>
      </c>
      <c r="H19" s="29" t="s">
        <v>97</v>
      </c>
      <c r="I19" s="23" t="s">
        <v>249</v>
      </c>
    </row>
    <row r="20" spans="1:10">
      <c r="A20" s="17" t="s">
        <v>81</v>
      </c>
      <c r="B20" s="17" t="s">
        <v>98</v>
      </c>
      <c r="C20" s="17" t="s">
        <v>99</v>
      </c>
      <c r="D20" s="17">
        <v>2009</v>
      </c>
      <c r="E20" s="17" t="str">
        <f>UPPER(REPLACE(C20,2,0,RIGHT(D20,2)))</f>
        <v>P0901</v>
      </c>
      <c r="F20" s="17" t="str">
        <f>IF(LEFT(C20,1)="p","부장",IF(LEFT(C20,1)="k","과장",IF(LEFT(C20,1)="d","대리","사원")))</f>
        <v>부장</v>
      </c>
      <c r="G20" s="30">
        <v>1450000</v>
      </c>
      <c r="H20" s="30">
        <v>145000</v>
      </c>
      <c r="I20" s="17" t="str">
        <f>fn비고(D20)</f>
        <v>장기근속</v>
      </c>
      <c r="J20" s="75"/>
    </row>
    <row r="21" spans="1:10">
      <c r="A21" s="17" t="s">
        <v>89</v>
      </c>
      <c r="B21" s="17" t="s">
        <v>100</v>
      </c>
      <c r="C21" s="17" t="s">
        <v>101</v>
      </c>
      <c r="D21" s="17">
        <v>2016</v>
      </c>
      <c r="E21" s="17" t="str">
        <f t="shared" ref="E21:E39" si="1">UPPER(REPLACE(C21,2,0,RIGHT(D21,2)))</f>
        <v>K1612</v>
      </c>
      <c r="F21" s="17" t="str">
        <f t="shared" ref="F21:F39" si="2">IF(LEFT(C21,1)="p","부장",IF(LEFT(C21,1)="k","과장",IF(LEFT(C21,1)="d","대리","사원")))</f>
        <v>과장</v>
      </c>
      <c r="G21" s="30">
        <v>1350000</v>
      </c>
      <c r="H21" s="30">
        <v>67500</v>
      </c>
      <c r="I21" s="17" t="str">
        <f t="shared" ref="I21:I39" si="3">fn비고(D21)</f>
        <v/>
      </c>
      <c r="J21" s="75"/>
    </row>
    <row r="22" spans="1:10">
      <c r="A22" s="17" t="s">
        <v>83</v>
      </c>
      <c r="B22" s="17" t="s">
        <v>102</v>
      </c>
      <c r="C22" s="17" t="s">
        <v>103</v>
      </c>
      <c r="D22" s="17">
        <v>2017</v>
      </c>
      <c r="E22" s="17" t="str">
        <f t="shared" si="1"/>
        <v>K1702</v>
      </c>
      <c r="F22" s="17" t="str">
        <f t="shared" si="2"/>
        <v>과장</v>
      </c>
      <c r="G22" s="30">
        <v>1350000</v>
      </c>
      <c r="H22" s="30">
        <v>67500</v>
      </c>
      <c r="I22" s="17" t="str">
        <f t="shared" si="3"/>
        <v/>
      </c>
      <c r="J22" s="75"/>
    </row>
    <row r="23" spans="1:10">
      <c r="A23" s="17" t="s">
        <v>104</v>
      </c>
      <c r="B23" s="17" t="s">
        <v>105</v>
      </c>
      <c r="C23" s="17" t="s">
        <v>106</v>
      </c>
      <c r="D23" s="17">
        <v>2016</v>
      </c>
      <c r="E23" s="17" t="str">
        <f t="shared" si="1"/>
        <v>K1634</v>
      </c>
      <c r="F23" s="17" t="str">
        <f t="shared" si="2"/>
        <v>과장</v>
      </c>
      <c r="G23" s="30">
        <v>1350000</v>
      </c>
      <c r="H23" s="30">
        <v>67500</v>
      </c>
      <c r="I23" s="17" t="str">
        <f t="shared" si="3"/>
        <v/>
      </c>
      <c r="J23" s="75"/>
    </row>
    <row r="24" spans="1:10">
      <c r="A24" s="17" t="s">
        <v>85</v>
      </c>
      <c r="B24" s="17" t="s">
        <v>107</v>
      </c>
      <c r="C24" s="17" t="s">
        <v>108</v>
      </c>
      <c r="D24" s="17">
        <v>2015</v>
      </c>
      <c r="E24" s="17" t="str">
        <f t="shared" si="1"/>
        <v>S1562</v>
      </c>
      <c r="F24" s="17" t="str">
        <f t="shared" si="2"/>
        <v>사원</v>
      </c>
      <c r="G24" s="30">
        <v>1000000</v>
      </c>
      <c r="H24" s="30">
        <v>30000</v>
      </c>
      <c r="I24" s="17" t="str">
        <f t="shared" si="3"/>
        <v/>
      </c>
      <c r="J24" s="75"/>
    </row>
    <row r="25" spans="1:10">
      <c r="A25" s="17" t="s">
        <v>88</v>
      </c>
      <c r="B25" s="17" t="s">
        <v>109</v>
      </c>
      <c r="C25" s="17" t="s">
        <v>110</v>
      </c>
      <c r="D25" s="17">
        <v>2017</v>
      </c>
      <c r="E25" s="17" t="str">
        <f t="shared" si="1"/>
        <v>K1723</v>
      </c>
      <c r="F25" s="17" t="str">
        <f t="shared" si="2"/>
        <v>과장</v>
      </c>
      <c r="G25" s="30">
        <v>1350000</v>
      </c>
      <c r="H25" s="30">
        <v>67500</v>
      </c>
      <c r="I25" s="17" t="str">
        <f t="shared" si="3"/>
        <v/>
      </c>
      <c r="J25" s="75"/>
    </row>
    <row r="26" spans="1:10">
      <c r="A26" s="17" t="s">
        <v>111</v>
      </c>
      <c r="B26" s="17" t="s">
        <v>112</v>
      </c>
      <c r="C26" s="17" t="s">
        <v>113</v>
      </c>
      <c r="D26" s="17">
        <v>2016</v>
      </c>
      <c r="E26" s="17" t="str">
        <f t="shared" si="1"/>
        <v>K1601</v>
      </c>
      <c r="F26" s="17" t="str">
        <f t="shared" si="2"/>
        <v>과장</v>
      </c>
      <c r="G26" s="30">
        <v>1350000</v>
      </c>
      <c r="H26" s="30">
        <v>67500</v>
      </c>
      <c r="I26" s="17" t="str">
        <f t="shared" si="3"/>
        <v/>
      </c>
      <c r="J26" s="75"/>
    </row>
    <row r="27" spans="1:10">
      <c r="A27" s="17" t="s">
        <v>87</v>
      </c>
      <c r="B27" s="17" t="s">
        <v>114</v>
      </c>
      <c r="C27" s="17" t="s">
        <v>115</v>
      </c>
      <c r="D27" s="17">
        <v>2012</v>
      </c>
      <c r="E27" s="17" t="str">
        <f t="shared" si="1"/>
        <v>D1209</v>
      </c>
      <c r="F27" s="17" t="str">
        <f t="shared" si="2"/>
        <v>대리</v>
      </c>
      <c r="G27" s="30">
        <v>1200000</v>
      </c>
      <c r="H27" s="30">
        <v>84000.000000000015</v>
      </c>
      <c r="I27" s="17" t="str">
        <f t="shared" si="3"/>
        <v/>
      </c>
      <c r="J27" s="75"/>
    </row>
    <row r="28" spans="1:10">
      <c r="A28" s="17" t="s">
        <v>83</v>
      </c>
      <c r="B28" s="17" t="s">
        <v>116</v>
      </c>
      <c r="C28" s="17" t="s">
        <v>117</v>
      </c>
      <c r="D28" s="17">
        <v>2019</v>
      </c>
      <c r="E28" s="17" t="str">
        <f t="shared" si="1"/>
        <v>S1917</v>
      </c>
      <c r="F28" s="17" t="str">
        <f t="shared" si="2"/>
        <v>사원</v>
      </c>
      <c r="G28" s="30">
        <v>1000000</v>
      </c>
      <c r="H28" s="30">
        <v>50000</v>
      </c>
      <c r="I28" s="17" t="str">
        <f t="shared" si="3"/>
        <v/>
      </c>
      <c r="J28" s="75"/>
    </row>
    <row r="29" spans="1:10">
      <c r="A29" s="17" t="s">
        <v>85</v>
      </c>
      <c r="B29" s="17" t="s">
        <v>118</v>
      </c>
      <c r="C29" s="17" t="s">
        <v>119</v>
      </c>
      <c r="D29" s="17">
        <v>2004</v>
      </c>
      <c r="E29" s="17" t="str">
        <f t="shared" si="1"/>
        <v>P0403</v>
      </c>
      <c r="F29" s="17" t="str">
        <f t="shared" si="2"/>
        <v>부장</v>
      </c>
      <c r="G29" s="30">
        <v>1450000</v>
      </c>
      <c r="H29" s="30">
        <v>101500.00000000001</v>
      </c>
      <c r="I29" s="17" t="str">
        <f t="shared" si="3"/>
        <v>장기근속</v>
      </c>
      <c r="J29" s="75"/>
    </row>
    <row r="30" spans="1:10">
      <c r="A30" s="17" t="s">
        <v>120</v>
      </c>
      <c r="B30" s="17" t="s">
        <v>121</v>
      </c>
      <c r="C30" s="17" t="s">
        <v>122</v>
      </c>
      <c r="D30" s="17">
        <v>2007</v>
      </c>
      <c r="E30" s="17" t="str">
        <f t="shared" si="1"/>
        <v>K0705</v>
      </c>
      <c r="F30" s="17" t="str">
        <f t="shared" si="2"/>
        <v>과장</v>
      </c>
      <c r="G30" s="30">
        <v>1350000</v>
      </c>
      <c r="H30" s="30">
        <v>94500.000000000015</v>
      </c>
      <c r="I30" s="17" t="str">
        <f t="shared" si="3"/>
        <v>장기근속</v>
      </c>
      <c r="J30" s="75"/>
    </row>
    <row r="31" spans="1:10">
      <c r="A31" s="17" t="s">
        <v>81</v>
      </c>
      <c r="B31" s="17" t="s">
        <v>123</v>
      </c>
      <c r="C31" s="17" t="s">
        <v>124</v>
      </c>
      <c r="D31" s="17">
        <v>2018</v>
      </c>
      <c r="E31" s="17" t="str">
        <f t="shared" si="1"/>
        <v>D1801</v>
      </c>
      <c r="F31" s="17" t="str">
        <f t="shared" si="2"/>
        <v>대리</v>
      </c>
      <c r="G31" s="30">
        <v>1200000</v>
      </c>
      <c r="H31" s="30">
        <v>60000</v>
      </c>
      <c r="I31" s="17" t="str">
        <f t="shared" si="3"/>
        <v/>
      </c>
      <c r="J31" s="75"/>
    </row>
    <row r="32" spans="1:10">
      <c r="A32" s="17" t="s">
        <v>87</v>
      </c>
      <c r="B32" s="17" t="s">
        <v>125</v>
      </c>
      <c r="C32" s="17" t="s">
        <v>126</v>
      </c>
      <c r="D32" s="17">
        <v>2019</v>
      </c>
      <c r="E32" s="17" t="str">
        <f t="shared" si="1"/>
        <v>S1932</v>
      </c>
      <c r="F32" s="17" t="str">
        <f t="shared" si="2"/>
        <v>사원</v>
      </c>
      <c r="G32" s="30">
        <v>1000000</v>
      </c>
      <c r="H32" s="30">
        <v>30000</v>
      </c>
      <c r="I32" s="17" t="str">
        <f t="shared" si="3"/>
        <v/>
      </c>
      <c r="J32" s="75"/>
    </row>
    <row r="33" spans="1:10">
      <c r="A33" s="17" t="s">
        <v>83</v>
      </c>
      <c r="B33" s="17" t="s">
        <v>127</v>
      </c>
      <c r="C33" s="17" t="s">
        <v>128</v>
      </c>
      <c r="D33" s="17">
        <v>2007</v>
      </c>
      <c r="E33" s="17" t="str">
        <f t="shared" si="1"/>
        <v>P0702</v>
      </c>
      <c r="F33" s="17" t="str">
        <f t="shared" si="2"/>
        <v>부장</v>
      </c>
      <c r="G33" s="30">
        <v>1450000</v>
      </c>
      <c r="H33" s="30">
        <v>101500.00000000001</v>
      </c>
      <c r="I33" s="17" t="str">
        <f t="shared" si="3"/>
        <v>장기근속</v>
      </c>
      <c r="J33" s="75"/>
    </row>
    <row r="34" spans="1:10">
      <c r="A34" s="17" t="s">
        <v>129</v>
      </c>
      <c r="B34" s="17" t="s">
        <v>130</v>
      </c>
      <c r="C34" s="17" t="s">
        <v>131</v>
      </c>
      <c r="D34" s="17">
        <v>2019</v>
      </c>
      <c r="E34" s="17" t="str">
        <f t="shared" si="1"/>
        <v>S1934</v>
      </c>
      <c r="F34" s="17" t="str">
        <f t="shared" si="2"/>
        <v>사원</v>
      </c>
      <c r="G34" s="30">
        <v>1000000</v>
      </c>
      <c r="H34" s="30">
        <v>50000</v>
      </c>
      <c r="I34" s="17" t="str">
        <f t="shared" si="3"/>
        <v/>
      </c>
      <c r="J34" s="75"/>
    </row>
    <row r="35" spans="1:10">
      <c r="A35" s="17" t="s">
        <v>132</v>
      </c>
      <c r="B35" s="17" t="s">
        <v>133</v>
      </c>
      <c r="C35" s="17" t="s">
        <v>134</v>
      </c>
      <c r="D35" s="17">
        <v>2017</v>
      </c>
      <c r="E35" s="17" t="str">
        <f t="shared" si="1"/>
        <v>K1703</v>
      </c>
      <c r="F35" s="17" t="str">
        <f t="shared" si="2"/>
        <v>과장</v>
      </c>
      <c r="G35" s="30">
        <v>1350000</v>
      </c>
      <c r="H35" s="30">
        <v>67500</v>
      </c>
      <c r="I35" s="17" t="str">
        <f t="shared" si="3"/>
        <v/>
      </c>
      <c r="J35" s="75"/>
    </row>
    <row r="36" spans="1:10">
      <c r="A36" s="17" t="s">
        <v>135</v>
      </c>
      <c r="B36" s="17" t="s">
        <v>136</v>
      </c>
      <c r="C36" s="17" t="s">
        <v>137</v>
      </c>
      <c r="D36" s="17">
        <v>2017</v>
      </c>
      <c r="E36" s="17" t="str">
        <f t="shared" si="1"/>
        <v>S1751</v>
      </c>
      <c r="F36" s="17" t="str">
        <f t="shared" si="2"/>
        <v>사원</v>
      </c>
      <c r="G36" s="30">
        <v>1000000</v>
      </c>
      <c r="H36" s="30">
        <v>30000</v>
      </c>
      <c r="I36" s="17" t="str">
        <f t="shared" si="3"/>
        <v/>
      </c>
      <c r="J36" s="75"/>
    </row>
    <row r="37" spans="1:10">
      <c r="A37" s="17" t="s">
        <v>138</v>
      </c>
      <c r="B37" s="17" t="s">
        <v>139</v>
      </c>
      <c r="C37" s="17" t="s">
        <v>140</v>
      </c>
      <c r="D37" s="17">
        <v>2018</v>
      </c>
      <c r="E37" s="17" t="str">
        <f t="shared" si="1"/>
        <v>D1820</v>
      </c>
      <c r="F37" s="17" t="str">
        <f t="shared" si="2"/>
        <v>대리</v>
      </c>
      <c r="G37" s="30">
        <v>1200000</v>
      </c>
      <c r="H37" s="30">
        <v>36000</v>
      </c>
      <c r="I37" s="17" t="str">
        <f t="shared" si="3"/>
        <v/>
      </c>
      <c r="J37" s="75"/>
    </row>
    <row r="38" spans="1:10">
      <c r="A38" s="17" t="s">
        <v>141</v>
      </c>
      <c r="B38" s="17" t="s">
        <v>142</v>
      </c>
      <c r="C38" s="17" t="s">
        <v>143</v>
      </c>
      <c r="D38" s="17">
        <v>2014</v>
      </c>
      <c r="E38" s="17" t="str">
        <f t="shared" si="1"/>
        <v>K1442</v>
      </c>
      <c r="F38" s="17" t="str">
        <f t="shared" si="2"/>
        <v>과장</v>
      </c>
      <c r="G38" s="30">
        <v>1350000</v>
      </c>
      <c r="H38" s="30">
        <v>94500.000000000015</v>
      </c>
      <c r="I38" s="17" t="str">
        <f t="shared" si="3"/>
        <v/>
      </c>
      <c r="J38" s="75"/>
    </row>
    <row r="39" spans="1:10">
      <c r="A39" s="17" t="s">
        <v>144</v>
      </c>
      <c r="B39" s="17" t="s">
        <v>145</v>
      </c>
      <c r="C39" s="17" t="s">
        <v>146</v>
      </c>
      <c r="D39" s="17">
        <v>2019</v>
      </c>
      <c r="E39" s="17" t="str">
        <f t="shared" si="1"/>
        <v>S1925</v>
      </c>
      <c r="F39" s="17" t="str">
        <f t="shared" si="2"/>
        <v>사원</v>
      </c>
      <c r="G39" s="30">
        <v>1000000</v>
      </c>
      <c r="H39" s="30">
        <v>50000</v>
      </c>
      <c r="I39" s="17" t="str">
        <f t="shared" si="3"/>
        <v/>
      </c>
      <c r="J39" s="75"/>
    </row>
  </sheetData>
  <mergeCells count="2">
    <mergeCell ref="E2:G2"/>
    <mergeCell ref="E3:G3"/>
  </mergeCells>
  <phoneticPr fontId="5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1"/>
  <sheetViews>
    <sheetView workbookViewId="0"/>
  </sheetViews>
  <sheetFormatPr defaultRowHeight="16.5"/>
  <cols>
    <col min="1" max="1" width="10.25" customWidth="1"/>
    <col min="2" max="2" width="6.75" customWidth="1"/>
    <col min="3" max="3" width="8.25" customWidth="1"/>
    <col min="4" max="4" width="5.625" customWidth="1"/>
    <col min="5" max="9" width="10.25" customWidth="1"/>
  </cols>
  <sheetData>
    <row r="1" spans="1:9">
      <c r="A1" t="s">
        <v>215</v>
      </c>
      <c r="B1" t="s">
        <v>147</v>
      </c>
      <c r="C1" t="s">
        <v>200</v>
      </c>
      <c r="D1" t="s">
        <v>216</v>
      </c>
      <c r="E1" t="s">
        <v>217</v>
      </c>
      <c r="F1" t="s">
        <v>201</v>
      </c>
      <c r="G1" t="s">
        <v>202</v>
      </c>
      <c r="H1" t="s">
        <v>203</v>
      </c>
      <c r="I1" t="s">
        <v>204</v>
      </c>
    </row>
    <row r="2" spans="1:9">
      <c r="A2">
        <v>200124</v>
      </c>
      <c r="B2" t="s">
        <v>205</v>
      </c>
      <c r="C2" t="s">
        <v>154</v>
      </c>
      <c r="D2" t="s">
        <v>218</v>
      </c>
      <c r="E2">
        <v>70</v>
      </c>
      <c r="F2">
        <v>52</v>
      </c>
      <c r="G2">
        <v>64</v>
      </c>
      <c r="H2">
        <v>70</v>
      </c>
      <c r="I2">
        <v>90</v>
      </c>
    </row>
    <row r="3" spans="1:9">
      <c r="A3">
        <v>200131</v>
      </c>
      <c r="B3" t="s">
        <v>206</v>
      </c>
      <c r="C3" t="s">
        <v>154</v>
      </c>
      <c r="D3" t="s">
        <v>218</v>
      </c>
      <c r="E3">
        <v>90</v>
      </c>
      <c r="F3">
        <v>76</v>
      </c>
      <c r="G3">
        <v>72</v>
      </c>
      <c r="H3">
        <v>100</v>
      </c>
      <c r="I3">
        <v>100</v>
      </c>
    </row>
    <row r="4" spans="1:9">
      <c r="A4">
        <v>200106</v>
      </c>
      <c r="B4" t="s">
        <v>207</v>
      </c>
      <c r="C4" t="s">
        <v>154</v>
      </c>
      <c r="D4" t="s">
        <v>220</v>
      </c>
      <c r="E4">
        <v>50</v>
      </c>
      <c r="F4">
        <v>40</v>
      </c>
      <c r="G4">
        <v>28</v>
      </c>
      <c r="H4">
        <v>0</v>
      </c>
      <c r="I4">
        <v>90</v>
      </c>
    </row>
    <row r="5" spans="1:9">
      <c r="A5">
        <v>200115</v>
      </c>
      <c r="B5" t="s">
        <v>208</v>
      </c>
      <c r="C5" t="s">
        <v>154</v>
      </c>
      <c r="D5" t="s">
        <v>220</v>
      </c>
      <c r="E5">
        <v>70</v>
      </c>
      <c r="F5">
        <v>52</v>
      </c>
      <c r="G5">
        <v>48</v>
      </c>
      <c r="H5">
        <v>0</v>
      </c>
      <c r="I5">
        <v>100</v>
      </c>
    </row>
    <row r="6" spans="1:9">
      <c r="A6">
        <v>200108</v>
      </c>
      <c r="B6" t="s">
        <v>209</v>
      </c>
      <c r="C6" t="s">
        <v>154</v>
      </c>
      <c r="D6" t="s">
        <v>220</v>
      </c>
      <c r="E6">
        <v>80</v>
      </c>
      <c r="F6">
        <v>64</v>
      </c>
      <c r="G6">
        <v>40</v>
      </c>
      <c r="H6">
        <v>90</v>
      </c>
      <c r="I6">
        <v>100</v>
      </c>
    </row>
    <row r="7" spans="1:9">
      <c r="A7">
        <v>200105</v>
      </c>
      <c r="B7" t="s">
        <v>210</v>
      </c>
      <c r="C7" t="s">
        <v>154</v>
      </c>
      <c r="D7" t="s">
        <v>220</v>
      </c>
      <c r="E7">
        <v>80</v>
      </c>
      <c r="F7">
        <v>40</v>
      </c>
      <c r="G7">
        <v>24</v>
      </c>
      <c r="H7">
        <v>80</v>
      </c>
      <c r="I7">
        <v>100</v>
      </c>
    </row>
    <row r="8" spans="1:9">
      <c r="A8">
        <v>200107</v>
      </c>
      <c r="B8" t="s">
        <v>211</v>
      </c>
      <c r="C8" t="s">
        <v>154</v>
      </c>
      <c r="D8" t="s">
        <v>220</v>
      </c>
      <c r="E8">
        <v>80</v>
      </c>
      <c r="F8">
        <v>52</v>
      </c>
      <c r="G8">
        <v>36</v>
      </c>
      <c r="H8">
        <v>80</v>
      </c>
      <c r="I8">
        <v>80</v>
      </c>
    </row>
    <row r="9" spans="1:9">
      <c r="A9">
        <v>200118</v>
      </c>
      <c r="B9" t="s">
        <v>212</v>
      </c>
      <c r="C9" t="s">
        <v>154</v>
      </c>
      <c r="D9" t="s">
        <v>220</v>
      </c>
      <c r="E9">
        <v>70</v>
      </c>
      <c r="F9">
        <v>64</v>
      </c>
      <c r="G9">
        <v>56</v>
      </c>
      <c r="H9">
        <v>90</v>
      </c>
      <c r="I9">
        <v>100</v>
      </c>
    </row>
    <row r="10" spans="1:9">
      <c r="A10">
        <v>200121</v>
      </c>
      <c r="B10" t="s">
        <v>213</v>
      </c>
      <c r="C10" t="s">
        <v>154</v>
      </c>
      <c r="D10" t="s">
        <v>220</v>
      </c>
      <c r="E10">
        <v>80</v>
      </c>
      <c r="F10">
        <v>68</v>
      </c>
      <c r="G10">
        <v>60</v>
      </c>
      <c r="H10">
        <v>100</v>
      </c>
      <c r="I10">
        <v>100</v>
      </c>
    </row>
    <row r="11" spans="1:9">
      <c r="A11">
        <v>200130</v>
      </c>
      <c r="B11" t="s">
        <v>214</v>
      </c>
      <c r="C11" t="s">
        <v>154</v>
      </c>
      <c r="D11" t="s">
        <v>218</v>
      </c>
      <c r="E11">
        <v>90</v>
      </c>
      <c r="F11">
        <v>68</v>
      </c>
      <c r="G11">
        <v>72</v>
      </c>
      <c r="H11">
        <v>100</v>
      </c>
      <c r="I11">
        <v>100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O39"/>
  <sheetViews>
    <sheetView workbookViewId="0"/>
  </sheetViews>
  <sheetFormatPr defaultRowHeight="16.5"/>
  <cols>
    <col min="1" max="1" width="9.25" style="68" bestFit="1" customWidth="1"/>
    <col min="2" max="2" width="7.125" style="68" bestFit="1" customWidth="1"/>
    <col min="3" max="3" width="7.375" style="68" bestFit="1" customWidth="1"/>
    <col min="4" max="4" width="5.5" style="68" bestFit="1" customWidth="1"/>
    <col min="5" max="9" width="9.25" style="69" bestFit="1" customWidth="1"/>
    <col min="10" max="10" width="9" style="69"/>
    <col min="11" max="11" width="11.875" style="69" customWidth="1"/>
    <col min="12" max="12" width="15.25" style="69" customWidth="1"/>
    <col min="13" max="15" width="15.25" style="69" bestFit="1" customWidth="1"/>
    <col min="16" max="16384" width="9" style="69"/>
  </cols>
  <sheetData>
    <row r="2" spans="1:15">
      <c r="A2" s="70" t="s">
        <v>215</v>
      </c>
      <c r="B2" s="70" t="s">
        <v>147</v>
      </c>
      <c r="C2" s="70" t="s">
        <v>200</v>
      </c>
      <c r="D2" s="70" t="s">
        <v>216</v>
      </c>
      <c r="E2" s="70" t="s">
        <v>217</v>
      </c>
      <c r="F2" s="70" t="s">
        <v>201</v>
      </c>
      <c r="G2" s="70" t="s">
        <v>202</v>
      </c>
      <c r="H2" s="70" t="s">
        <v>203</v>
      </c>
      <c r="I2" s="70" t="s">
        <v>204</v>
      </c>
      <c r="K2" s="73" t="s">
        <v>147</v>
      </c>
      <c r="L2" t="s">
        <v>148</v>
      </c>
    </row>
    <row r="3" spans="1:15">
      <c r="A3" s="71">
        <v>200124</v>
      </c>
      <c r="B3" s="71" t="s">
        <v>205</v>
      </c>
      <c r="C3" s="71" t="s">
        <v>154</v>
      </c>
      <c r="D3" s="71" t="s">
        <v>218</v>
      </c>
      <c r="E3" s="72">
        <v>70</v>
      </c>
      <c r="F3" s="72">
        <v>52</v>
      </c>
      <c r="G3" s="72">
        <v>64</v>
      </c>
      <c r="H3" s="72">
        <v>70</v>
      </c>
      <c r="I3" s="72">
        <v>90</v>
      </c>
    </row>
    <row r="4" spans="1:15">
      <c r="A4" s="71">
        <v>200116</v>
      </c>
      <c r="B4" s="71" t="s">
        <v>219</v>
      </c>
      <c r="C4" s="71" t="s">
        <v>156</v>
      </c>
      <c r="D4" s="71" t="s">
        <v>220</v>
      </c>
      <c r="E4" s="72">
        <v>80</v>
      </c>
      <c r="F4" s="72">
        <v>56</v>
      </c>
      <c r="G4" s="72">
        <v>56</v>
      </c>
      <c r="H4" s="72">
        <v>80</v>
      </c>
      <c r="I4" s="72">
        <v>90</v>
      </c>
      <c r="K4" s="73" t="s">
        <v>149</v>
      </c>
      <c r="L4" t="s">
        <v>150</v>
      </c>
      <c r="M4" t="s">
        <v>151</v>
      </c>
      <c r="N4" t="s">
        <v>152</v>
      </c>
      <c r="O4" t="s">
        <v>153</v>
      </c>
    </row>
    <row r="5" spans="1:15">
      <c r="A5" s="71">
        <v>200122</v>
      </c>
      <c r="B5" s="71" t="s">
        <v>221</v>
      </c>
      <c r="C5" s="71" t="s">
        <v>157</v>
      </c>
      <c r="D5" s="71" t="s">
        <v>220</v>
      </c>
      <c r="E5" s="72">
        <v>70</v>
      </c>
      <c r="F5" s="72">
        <v>48</v>
      </c>
      <c r="G5" s="72">
        <v>64</v>
      </c>
      <c r="H5" s="72">
        <v>100</v>
      </c>
      <c r="I5" s="72">
        <v>100</v>
      </c>
      <c r="K5" s="31" t="s">
        <v>154</v>
      </c>
      <c r="L5" s="32">
        <v>57.6</v>
      </c>
      <c r="M5" s="32">
        <v>50</v>
      </c>
      <c r="N5" s="32">
        <v>71</v>
      </c>
      <c r="O5" s="32">
        <v>96</v>
      </c>
    </row>
    <row r="6" spans="1:15">
      <c r="A6" s="71">
        <v>200115</v>
      </c>
      <c r="B6" s="71" t="s">
        <v>208</v>
      </c>
      <c r="C6" s="71" t="s">
        <v>154</v>
      </c>
      <c r="D6" s="71" t="s">
        <v>220</v>
      </c>
      <c r="E6" s="72">
        <v>70</v>
      </c>
      <c r="F6" s="72">
        <v>52</v>
      </c>
      <c r="G6" s="72">
        <v>48</v>
      </c>
      <c r="H6" s="72">
        <v>0</v>
      </c>
      <c r="I6" s="72">
        <v>100</v>
      </c>
      <c r="K6" s="31" t="s">
        <v>155</v>
      </c>
      <c r="L6" s="32">
        <v>57.333333333333336</v>
      </c>
      <c r="M6" s="32">
        <v>54</v>
      </c>
      <c r="N6" s="32">
        <v>89.166666666666671</v>
      </c>
      <c r="O6" s="32">
        <v>91.666666666666671</v>
      </c>
    </row>
    <row r="7" spans="1:15">
      <c r="A7" s="71">
        <v>200108</v>
      </c>
      <c r="B7" s="71" t="s">
        <v>209</v>
      </c>
      <c r="C7" s="71" t="s">
        <v>154</v>
      </c>
      <c r="D7" s="71" t="s">
        <v>220</v>
      </c>
      <c r="E7" s="72">
        <v>80</v>
      </c>
      <c r="F7" s="72">
        <v>64</v>
      </c>
      <c r="G7" s="72">
        <v>40</v>
      </c>
      <c r="H7" s="72">
        <v>90</v>
      </c>
      <c r="I7" s="72">
        <v>100</v>
      </c>
      <c r="K7" s="31" t="s">
        <v>156</v>
      </c>
      <c r="L7" s="32">
        <v>44</v>
      </c>
      <c r="M7" s="32">
        <v>47</v>
      </c>
      <c r="N7" s="32">
        <v>77.5</v>
      </c>
      <c r="O7" s="32">
        <v>91.25</v>
      </c>
    </row>
    <row r="8" spans="1:15">
      <c r="A8" s="71">
        <v>200101</v>
      </c>
      <c r="B8" s="71" t="s">
        <v>222</v>
      </c>
      <c r="C8" s="71" t="s">
        <v>156</v>
      </c>
      <c r="D8" s="71" t="s">
        <v>220</v>
      </c>
      <c r="E8" s="72">
        <v>50</v>
      </c>
      <c r="F8" s="72">
        <v>0</v>
      </c>
      <c r="G8" s="72">
        <v>0</v>
      </c>
      <c r="H8" s="72">
        <v>90</v>
      </c>
      <c r="I8" s="72">
        <v>80</v>
      </c>
      <c r="K8" s="31" t="s">
        <v>157</v>
      </c>
      <c r="L8" s="32">
        <v>56</v>
      </c>
      <c r="M8" s="32">
        <v>62.285714285714285</v>
      </c>
      <c r="N8" s="32">
        <v>90</v>
      </c>
      <c r="O8" s="32">
        <v>98.571428571428569</v>
      </c>
    </row>
    <row r="9" spans="1:15">
      <c r="A9" s="71">
        <v>200111</v>
      </c>
      <c r="B9" s="71" t="s">
        <v>223</v>
      </c>
      <c r="C9" s="71" t="s">
        <v>156</v>
      </c>
      <c r="D9" s="71" t="s">
        <v>220</v>
      </c>
      <c r="E9" s="72">
        <v>100</v>
      </c>
      <c r="F9" s="72">
        <v>32</v>
      </c>
      <c r="G9" s="72">
        <v>48</v>
      </c>
      <c r="H9" s="72">
        <v>90</v>
      </c>
      <c r="I9" s="72">
        <v>100</v>
      </c>
      <c r="K9"/>
      <c r="L9"/>
      <c r="M9"/>
      <c r="N9"/>
      <c r="O9"/>
    </row>
    <row r="10" spans="1:15">
      <c r="A10" s="71">
        <v>200118</v>
      </c>
      <c r="B10" s="71" t="s">
        <v>212</v>
      </c>
      <c r="C10" s="71" t="s">
        <v>154</v>
      </c>
      <c r="D10" s="71" t="s">
        <v>220</v>
      </c>
      <c r="E10" s="72">
        <v>70</v>
      </c>
      <c r="F10" s="72">
        <v>64</v>
      </c>
      <c r="G10" s="72">
        <v>56</v>
      </c>
      <c r="H10" s="72">
        <v>90</v>
      </c>
      <c r="I10" s="72">
        <v>100</v>
      </c>
      <c r="K10"/>
      <c r="L10"/>
      <c r="M10"/>
    </row>
    <row r="11" spans="1:15">
      <c r="A11" s="71">
        <v>200121</v>
      </c>
      <c r="B11" s="71" t="s">
        <v>213</v>
      </c>
      <c r="C11" s="71" t="s">
        <v>154</v>
      </c>
      <c r="D11" s="71" t="s">
        <v>220</v>
      </c>
      <c r="E11" s="72">
        <v>80</v>
      </c>
      <c r="F11" s="72">
        <v>68</v>
      </c>
      <c r="G11" s="72">
        <v>60</v>
      </c>
      <c r="H11" s="72">
        <v>100</v>
      </c>
      <c r="I11" s="72">
        <v>100</v>
      </c>
      <c r="K11"/>
      <c r="L11"/>
      <c r="M11"/>
    </row>
    <row r="12" spans="1:15">
      <c r="A12" s="71">
        <v>200135</v>
      </c>
      <c r="B12" s="71" t="s">
        <v>224</v>
      </c>
      <c r="C12" s="71" t="s">
        <v>156</v>
      </c>
      <c r="D12" s="71" t="s">
        <v>218</v>
      </c>
      <c r="E12" s="72">
        <v>100</v>
      </c>
      <c r="F12" s="72">
        <v>72</v>
      </c>
      <c r="G12" s="72">
        <v>80</v>
      </c>
      <c r="H12" s="72">
        <v>100</v>
      </c>
      <c r="I12" s="72">
        <v>100</v>
      </c>
      <c r="K12"/>
      <c r="L12"/>
      <c r="M12"/>
    </row>
    <row r="13" spans="1:15">
      <c r="A13" s="71">
        <v>200112</v>
      </c>
      <c r="B13" s="71" t="s">
        <v>225</v>
      </c>
      <c r="C13" s="71" t="s">
        <v>157</v>
      </c>
      <c r="D13" s="71" t="s">
        <v>220</v>
      </c>
      <c r="E13" s="72">
        <v>100</v>
      </c>
      <c r="F13" s="72">
        <v>36</v>
      </c>
      <c r="G13" s="72">
        <v>48</v>
      </c>
      <c r="H13" s="72">
        <v>90</v>
      </c>
      <c r="I13" s="72">
        <v>100</v>
      </c>
      <c r="K13"/>
      <c r="L13"/>
      <c r="M13"/>
    </row>
    <row r="14" spans="1:15">
      <c r="A14" s="71">
        <v>200110</v>
      </c>
      <c r="B14" s="71" t="s">
        <v>226</v>
      </c>
      <c r="C14" s="71" t="s">
        <v>155</v>
      </c>
      <c r="D14" s="71" t="s">
        <v>220</v>
      </c>
      <c r="E14" s="72">
        <v>90</v>
      </c>
      <c r="F14" s="72">
        <v>48</v>
      </c>
      <c r="G14" s="72">
        <v>44</v>
      </c>
      <c r="H14" s="72">
        <v>80</v>
      </c>
      <c r="I14" s="72">
        <v>100</v>
      </c>
      <c r="K14"/>
      <c r="L14"/>
      <c r="M14"/>
    </row>
    <row r="15" spans="1:15">
      <c r="A15" s="71">
        <v>200130</v>
      </c>
      <c r="B15" s="71" t="s">
        <v>214</v>
      </c>
      <c r="C15" s="71" t="s">
        <v>154</v>
      </c>
      <c r="D15" s="71" t="s">
        <v>218</v>
      </c>
      <c r="E15" s="72">
        <v>90</v>
      </c>
      <c r="F15" s="72">
        <v>68</v>
      </c>
      <c r="G15" s="72">
        <v>72</v>
      </c>
      <c r="H15" s="72">
        <v>100</v>
      </c>
      <c r="I15" s="72">
        <v>100</v>
      </c>
      <c r="K15"/>
      <c r="L15"/>
      <c r="M15"/>
    </row>
    <row r="16" spans="1:15">
      <c r="A16" s="71">
        <v>200133</v>
      </c>
      <c r="B16" s="71" t="s">
        <v>227</v>
      </c>
      <c r="C16" s="71" t="s">
        <v>155</v>
      </c>
      <c r="D16" s="71" t="s">
        <v>218</v>
      </c>
      <c r="E16" s="72">
        <v>90</v>
      </c>
      <c r="F16" s="72">
        <v>64</v>
      </c>
      <c r="G16" s="72">
        <v>76</v>
      </c>
      <c r="H16" s="72">
        <v>90</v>
      </c>
      <c r="I16" s="72">
        <v>80</v>
      </c>
      <c r="K16"/>
      <c r="L16"/>
      <c r="M16"/>
    </row>
    <row r="17" spans="1:13">
      <c r="A17" s="71">
        <v>200136</v>
      </c>
      <c r="B17" s="71" t="s">
        <v>228</v>
      </c>
      <c r="C17" s="71" t="s">
        <v>157</v>
      </c>
      <c r="D17" s="71" t="s">
        <v>218</v>
      </c>
      <c r="E17" s="72">
        <v>100</v>
      </c>
      <c r="F17" s="72">
        <v>68</v>
      </c>
      <c r="G17" s="72">
        <v>80</v>
      </c>
      <c r="H17" s="72">
        <v>100</v>
      </c>
      <c r="I17" s="72">
        <v>100</v>
      </c>
      <c r="K17"/>
      <c r="L17"/>
      <c r="M17"/>
    </row>
    <row r="18" spans="1:13">
      <c r="A18" s="71">
        <v>200134</v>
      </c>
      <c r="B18" s="71" t="s">
        <v>229</v>
      </c>
      <c r="C18" s="71" t="s">
        <v>155</v>
      </c>
      <c r="D18" s="71" t="s">
        <v>218</v>
      </c>
      <c r="E18" s="72">
        <v>70</v>
      </c>
      <c r="F18" s="72">
        <v>52</v>
      </c>
      <c r="G18" s="72">
        <v>76</v>
      </c>
      <c r="H18" s="72">
        <v>90</v>
      </c>
      <c r="I18" s="72">
        <v>100</v>
      </c>
      <c r="K18"/>
      <c r="L18"/>
      <c r="M18"/>
    </row>
    <row r="19" spans="1:13">
      <c r="A19" s="71">
        <v>200119</v>
      </c>
      <c r="B19" s="71" t="s">
        <v>230</v>
      </c>
      <c r="C19" s="71" t="s">
        <v>157</v>
      </c>
      <c r="D19" s="71" t="s">
        <v>220</v>
      </c>
      <c r="E19" s="72">
        <v>100</v>
      </c>
      <c r="F19" s="72">
        <v>44</v>
      </c>
      <c r="G19" s="72">
        <v>60</v>
      </c>
      <c r="H19" s="72">
        <v>90</v>
      </c>
      <c r="I19" s="72">
        <v>90</v>
      </c>
      <c r="K19"/>
      <c r="L19"/>
      <c r="M19"/>
    </row>
    <row r="20" spans="1:13">
      <c r="A20" s="71">
        <v>200114</v>
      </c>
      <c r="B20" s="71" t="s">
        <v>231</v>
      </c>
      <c r="C20" s="71" t="s">
        <v>155</v>
      </c>
      <c r="D20" s="71" t="s">
        <v>220</v>
      </c>
      <c r="E20" s="72">
        <v>100</v>
      </c>
      <c r="F20" s="72">
        <v>60</v>
      </c>
      <c r="G20" s="72">
        <v>48</v>
      </c>
      <c r="H20" s="72">
        <v>90</v>
      </c>
      <c r="I20" s="72">
        <v>100</v>
      </c>
      <c r="K20"/>
      <c r="L20"/>
      <c r="M20"/>
    </row>
    <row r="21" spans="1:13">
      <c r="A21" s="71">
        <v>200102</v>
      </c>
      <c r="B21" s="71" t="s">
        <v>232</v>
      </c>
      <c r="C21" s="71" t="s">
        <v>156</v>
      </c>
      <c r="D21" s="71" t="s">
        <v>220</v>
      </c>
      <c r="E21" s="72">
        <v>0</v>
      </c>
      <c r="F21" s="72">
        <v>0</v>
      </c>
      <c r="G21" s="72">
        <v>0</v>
      </c>
      <c r="H21" s="72">
        <v>0</v>
      </c>
      <c r="I21" s="72">
        <v>80</v>
      </c>
      <c r="K21"/>
      <c r="L21"/>
      <c r="M21"/>
    </row>
    <row r="22" spans="1:13">
      <c r="A22" s="71">
        <v>200109</v>
      </c>
      <c r="B22" s="71" t="s">
        <v>233</v>
      </c>
      <c r="C22" s="71" t="s">
        <v>156</v>
      </c>
      <c r="D22" s="71" t="s">
        <v>220</v>
      </c>
      <c r="E22" s="72">
        <v>100</v>
      </c>
      <c r="F22" s="72">
        <v>52</v>
      </c>
      <c r="G22" s="72">
        <v>44</v>
      </c>
      <c r="H22" s="72">
        <v>80</v>
      </c>
      <c r="I22" s="72">
        <v>80</v>
      </c>
    </row>
    <row r="23" spans="1:13">
      <c r="A23" s="71">
        <v>200107</v>
      </c>
      <c r="B23" s="71" t="s">
        <v>211</v>
      </c>
      <c r="C23" s="71" t="s">
        <v>154</v>
      </c>
      <c r="D23" s="71" t="s">
        <v>220</v>
      </c>
      <c r="E23" s="72">
        <v>80</v>
      </c>
      <c r="F23" s="72">
        <v>52</v>
      </c>
      <c r="G23" s="72">
        <v>36</v>
      </c>
      <c r="H23" s="72">
        <v>80</v>
      </c>
      <c r="I23" s="72">
        <v>80</v>
      </c>
    </row>
    <row r="24" spans="1:13">
      <c r="A24" s="71">
        <v>200103</v>
      </c>
      <c r="B24" s="71" t="s">
        <v>234</v>
      </c>
      <c r="C24" s="71" t="s">
        <v>155</v>
      </c>
      <c r="D24" s="71" t="s">
        <v>220</v>
      </c>
      <c r="E24" s="72">
        <v>80</v>
      </c>
      <c r="F24" s="72">
        <v>68</v>
      </c>
      <c r="G24" s="72">
        <v>0</v>
      </c>
      <c r="H24" s="72">
        <v>90</v>
      </c>
      <c r="I24" s="72">
        <v>80</v>
      </c>
    </row>
    <row r="25" spans="1:13">
      <c r="A25" s="71">
        <v>200113</v>
      </c>
      <c r="B25" s="71" t="s">
        <v>235</v>
      </c>
      <c r="C25" s="71" t="s">
        <v>157</v>
      </c>
      <c r="D25" s="71" t="s">
        <v>220</v>
      </c>
      <c r="E25" s="72">
        <v>100</v>
      </c>
      <c r="F25" s="72">
        <v>72</v>
      </c>
      <c r="G25" s="72">
        <v>48</v>
      </c>
      <c r="H25" s="72">
        <v>80</v>
      </c>
      <c r="I25" s="72">
        <v>100</v>
      </c>
    </row>
    <row r="26" spans="1:13">
      <c r="A26" s="71">
        <v>200105</v>
      </c>
      <c r="B26" s="71" t="s">
        <v>210</v>
      </c>
      <c r="C26" s="71" t="s">
        <v>154</v>
      </c>
      <c r="D26" s="71" t="s">
        <v>220</v>
      </c>
      <c r="E26" s="72">
        <v>80</v>
      </c>
      <c r="F26" s="72">
        <v>40</v>
      </c>
      <c r="G26" s="72">
        <v>24</v>
      </c>
      <c r="H26" s="72">
        <v>80</v>
      </c>
      <c r="I26" s="72">
        <v>100</v>
      </c>
    </row>
    <row r="27" spans="1:13">
      <c r="A27" s="71">
        <v>200117</v>
      </c>
      <c r="B27" s="71" t="s">
        <v>236</v>
      </c>
      <c r="C27" s="71" t="s">
        <v>155</v>
      </c>
      <c r="D27" s="71" t="s">
        <v>220</v>
      </c>
      <c r="E27" s="72">
        <v>100</v>
      </c>
      <c r="F27" s="72">
        <v>52</v>
      </c>
      <c r="G27" s="72">
        <v>56</v>
      </c>
      <c r="H27" s="72">
        <v>80</v>
      </c>
      <c r="I27" s="72">
        <v>100</v>
      </c>
    </row>
    <row r="28" spans="1:13">
      <c r="A28" s="71">
        <v>200125</v>
      </c>
      <c r="B28" s="71" t="s">
        <v>237</v>
      </c>
      <c r="C28" s="71" t="s">
        <v>155</v>
      </c>
      <c r="D28" s="71" t="s">
        <v>218</v>
      </c>
      <c r="E28" s="72">
        <v>70</v>
      </c>
      <c r="F28" s="72">
        <v>52</v>
      </c>
      <c r="G28" s="72">
        <v>68</v>
      </c>
      <c r="H28" s="72">
        <v>80</v>
      </c>
      <c r="I28" s="72">
        <v>90</v>
      </c>
    </row>
    <row r="29" spans="1:13">
      <c r="A29" s="71">
        <v>200123</v>
      </c>
      <c r="B29" s="71" t="s">
        <v>238</v>
      </c>
      <c r="C29" s="71" t="s">
        <v>157</v>
      </c>
      <c r="D29" s="71" t="s">
        <v>220</v>
      </c>
      <c r="E29" s="72">
        <v>100</v>
      </c>
      <c r="F29" s="72">
        <v>56</v>
      </c>
      <c r="G29" s="72">
        <v>64</v>
      </c>
      <c r="H29" s="72">
        <v>80</v>
      </c>
      <c r="I29" s="72">
        <v>100</v>
      </c>
    </row>
    <row r="30" spans="1:13">
      <c r="A30" s="71">
        <v>200106</v>
      </c>
      <c r="B30" s="71" t="s">
        <v>207</v>
      </c>
      <c r="C30" s="71" t="s">
        <v>154</v>
      </c>
      <c r="D30" s="71" t="s">
        <v>220</v>
      </c>
      <c r="E30" s="72">
        <v>50</v>
      </c>
      <c r="F30" s="72">
        <v>40</v>
      </c>
      <c r="G30" s="72">
        <v>28</v>
      </c>
      <c r="H30" s="72">
        <v>0</v>
      </c>
      <c r="I30" s="72">
        <v>90</v>
      </c>
    </row>
    <row r="31" spans="1:13">
      <c r="A31" s="71">
        <v>200129</v>
      </c>
      <c r="B31" s="71" t="s">
        <v>239</v>
      </c>
      <c r="C31" s="71" t="s">
        <v>155</v>
      </c>
      <c r="D31" s="71" t="s">
        <v>218</v>
      </c>
      <c r="E31" s="72">
        <v>100</v>
      </c>
      <c r="F31" s="72">
        <v>88</v>
      </c>
      <c r="G31" s="72">
        <v>72</v>
      </c>
      <c r="H31" s="72">
        <v>100</v>
      </c>
      <c r="I31" s="72">
        <v>100</v>
      </c>
    </row>
    <row r="32" spans="1:13">
      <c r="A32" s="71">
        <v>200120</v>
      </c>
      <c r="B32" s="71" t="s">
        <v>240</v>
      </c>
      <c r="C32" s="71" t="s">
        <v>155</v>
      </c>
      <c r="D32" s="71" t="s">
        <v>220</v>
      </c>
      <c r="E32" s="72">
        <v>100</v>
      </c>
      <c r="F32" s="72">
        <v>60</v>
      </c>
      <c r="G32" s="72">
        <v>60</v>
      </c>
      <c r="H32" s="72">
        <v>90</v>
      </c>
      <c r="I32" s="72">
        <v>80</v>
      </c>
    </row>
    <row r="33" spans="1:9">
      <c r="A33" s="71">
        <v>200131</v>
      </c>
      <c r="B33" s="71" t="s">
        <v>206</v>
      </c>
      <c r="C33" s="71" t="s">
        <v>154</v>
      </c>
      <c r="D33" s="71" t="s">
        <v>218</v>
      </c>
      <c r="E33" s="72">
        <v>90</v>
      </c>
      <c r="F33" s="72">
        <v>76</v>
      </c>
      <c r="G33" s="72">
        <v>72</v>
      </c>
      <c r="H33" s="72">
        <v>100</v>
      </c>
      <c r="I33" s="72">
        <v>100</v>
      </c>
    </row>
    <row r="34" spans="1:9">
      <c r="A34" s="71">
        <v>200126</v>
      </c>
      <c r="B34" s="71" t="s">
        <v>241</v>
      </c>
      <c r="C34" s="71" t="s">
        <v>155</v>
      </c>
      <c r="D34" s="71" t="s">
        <v>218</v>
      </c>
      <c r="E34" s="72">
        <v>100</v>
      </c>
      <c r="F34" s="72">
        <v>68</v>
      </c>
      <c r="G34" s="72">
        <v>68</v>
      </c>
      <c r="H34" s="72">
        <v>90</v>
      </c>
      <c r="I34" s="72">
        <v>100</v>
      </c>
    </row>
    <row r="35" spans="1:9">
      <c r="A35" s="71">
        <v>200128</v>
      </c>
      <c r="B35" s="71" t="s">
        <v>242</v>
      </c>
      <c r="C35" s="71" t="s">
        <v>157</v>
      </c>
      <c r="D35" s="71" t="s">
        <v>218</v>
      </c>
      <c r="E35" s="72">
        <v>100</v>
      </c>
      <c r="F35" s="72">
        <v>68</v>
      </c>
      <c r="G35" s="72">
        <v>72</v>
      </c>
      <c r="H35" s="72">
        <v>90</v>
      </c>
      <c r="I35" s="72">
        <v>100</v>
      </c>
    </row>
    <row r="36" spans="1:9">
      <c r="A36" s="71">
        <v>200132</v>
      </c>
      <c r="B36" s="71" t="s">
        <v>243</v>
      </c>
      <c r="C36" s="71" t="s">
        <v>156</v>
      </c>
      <c r="D36" s="71" t="s">
        <v>218</v>
      </c>
      <c r="E36" s="72">
        <v>100</v>
      </c>
      <c r="F36" s="72">
        <v>76</v>
      </c>
      <c r="G36" s="72">
        <v>76</v>
      </c>
      <c r="H36" s="72">
        <v>90</v>
      </c>
      <c r="I36" s="72">
        <v>100</v>
      </c>
    </row>
    <row r="37" spans="1:9">
      <c r="A37" s="71">
        <v>200104</v>
      </c>
      <c r="B37" s="71" t="s">
        <v>244</v>
      </c>
      <c r="C37" s="71" t="s">
        <v>155</v>
      </c>
      <c r="D37" s="71" t="s">
        <v>220</v>
      </c>
      <c r="E37" s="72">
        <v>10</v>
      </c>
      <c r="F37" s="72">
        <v>0</v>
      </c>
      <c r="G37" s="72">
        <v>0</v>
      </c>
      <c r="H37" s="72">
        <v>90</v>
      </c>
      <c r="I37" s="72">
        <v>70</v>
      </c>
    </row>
    <row r="38" spans="1:9">
      <c r="A38" s="71">
        <v>200137</v>
      </c>
      <c r="B38" s="71" t="s">
        <v>245</v>
      </c>
      <c r="C38" s="71" t="s">
        <v>155</v>
      </c>
      <c r="D38" s="71" t="s">
        <v>218</v>
      </c>
      <c r="E38" s="72">
        <v>100</v>
      </c>
      <c r="F38" s="72">
        <v>76</v>
      </c>
      <c r="G38" s="72">
        <v>80</v>
      </c>
      <c r="H38" s="72">
        <v>100</v>
      </c>
      <c r="I38" s="72">
        <v>100</v>
      </c>
    </row>
    <row r="39" spans="1:9">
      <c r="A39" s="71">
        <v>200127</v>
      </c>
      <c r="B39" s="71" t="s">
        <v>246</v>
      </c>
      <c r="C39" s="71" t="s">
        <v>156</v>
      </c>
      <c r="D39" s="71" t="s">
        <v>218</v>
      </c>
      <c r="E39" s="72">
        <v>100</v>
      </c>
      <c r="F39" s="72">
        <v>64</v>
      </c>
      <c r="G39" s="72">
        <v>72</v>
      </c>
      <c r="H39" s="72">
        <v>90</v>
      </c>
      <c r="I39" s="72">
        <v>100</v>
      </c>
    </row>
  </sheetData>
  <phoneticPr fontId="5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selection sqref="A1:D1"/>
    </sheetView>
  </sheetViews>
  <sheetFormatPr defaultRowHeight="16.5"/>
  <cols>
    <col min="1" max="1" width="11" style="1" bestFit="1" customWidth="1"/>
    <col min="2" max="3" width="9" style="1"/>
    <col min="4" max="4" width="11.125" style="1" bestFit="1" customWidth="1"/>
    <col min="5" max="16384" width="9" style="1"/>
  </cols>
  <sheetData>
    <row r="1" spans="1:4" ht="17.25" thickBot="1">
      <c r="A1" s="89" t="s">
        <v>158</v>
      </c>
      <c r="B1" s="90"/>
      <c r="C1" s="90"/>
      <c r="D1" s="91"/>
    </row>
    <row r="2" spans="1:4" ht="17.25" thickBot="1">
      <c r="A2" s="33" t="s">
        <v>159</v>
      </c>
      <c r="B2" s="34" t="s">
        <v>160</v>
      </c>
      <c r="C2" s="35" t="s">
        <v>161</v>
      </c>
      <c r="D2" s="36" t="s">
        <v>162</v>
      </c>
    </row>
    <row r="3" spans="1:4">
      <c r="A3" s="37" t="s">
        <v>163</v>
      </c>
      <c r="B3" s="38">
        <v>120</v>
      </c>
      <c r="C3" s="39">
        <v>108</v>
      </c>
      <c r="D3" s="40">
        <f>C3/B3</f>
        <v>0.9</v>
      </c>
    </row>
    <row r="4" spans="1:4">
      <c r="A4" s="41" t="s">
        <v>164</v>
      </c>
      <c r="B4" s="42">
        <v>140</v>
      </c>
      <c r="C4" s="43">
        <v>77</v>
      </c>
      <c r="D4" s="40">
        <f>C4/B4</f>
        <v>0.55000000000000004</v>
      </c>
    </row>
    <row r="5" spans="1:4">
      <c r="A5" s="41" t="s">
        <v>165</v>
      </c>
      <c r="B5" s="42">
        <v>115</v>
      </c>
      <c r="C5" s="43">
        <v>125</v>
      </c>
      <c r="D5" s="40">
        <f>C5/B5</f>
        <v>1.0869565217391304</v>
      </c>
    </row>
    <row r="6" spans="1:4" ht="17.25" thickBot="1">
      <c r="A6" s="44" t="s">
        <v>166</v>
      </c>
      <c r="B6" s="45">
        <v>90</v>
      </c>
      <c r="C6" s="46">
        <v>72.000000000000014</v>
      </c>
      <c r="D6" s="47">
        <f>C6/B6</f>
        <v>0.80000000000000016</v>
      </c>
    </row>
  </sheetData>
  <mergeCells count="1">
    <mergeCell ref="A1:D1"/>
  </mergeCells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"/>
  <sheetViews>
    <sheetView tabSelected="1" workbookViewId="0">
      <selection activeCell="I1" sqref="I1"/>
    </sheetView>
  </sheetViews>
  <sheetFormatPr defaultRowHeight="16.5"/>
  <cols>
    <col min="1" max="1" width="7.5" style="48" customWidth="1"/>
    <col min="2" max="2" width="17.375" style="48" bestFit="1" customWidth="1"/>
    <col min="3" max="3" width="11.125" style="48" bestFit="1" customWidth="1"/>
    <col min="4" max="4" width="10.5" style="48" bestFit="1" customWidth="1"/>
    <col min="5" max="5" width="9.25" style="48" bestFit="1" customWidth="1"/>
    <col min="6" max="6" width="9.5" style="48" bestFit="1" customWidth="1"/>
    <col min="7" max="7" width="10.625" style="48" bestFit="1" customWidth="1"/>
    <col min="8" max="8" width="5.5" style="48" bestFit="1" customWidth="1"/>
    <col min="9" max="11" width="10.125" style="48" customWidth="1"/>
    <col min="12" max="16384" width="9" style="48"/>
  </cols>
  <sheetData>
    <row r="1" spans="1:9" ht="17.25">
      <c r="B1" s="92" t="s">
        <v>167</v>
      </c>
      <c r="C1" s="92"/>
      <c r="D1" s="92"/>
      <c r="E1" s="92"/>
      <c r="F1" s="92"/>
      <c r="G1" s="49" t="s">
        <v>168</v>
      </c>
      <c r="I1" s="48" t="s">
        <v>247</v>
      </c>
    </row>
    <row r="2" spans="1:9">
      <c r="A2" s="50" t="s">
        <v>169</v>
      </c>
      <c r="B2" s="50" t="s">
        <v>170</v>
      </c>
      <c r="C2" s="50" t="s">
        <v>171</v>
      </c>
      <c r="D2" s="50" t="s">
        <v>172</v>
      </c>
      <c r="E2" s="50" t="s">
        <v>173</v>
      </c>
      <c r="F2" s="50" t="s">
        <v>174</v>
      </c>
      <c r="G2" s="50" t="s">
        <v>175</v>
      </c>
    </row>
    <row r="3" spans="1:9">
      <c r="A3" s="51" t="s">
        <v>176</v>
      </c>
      <c r="B3" s="51" t="s">
        <v>177</v>
      </c>
      <c r="C3" s="52">
        <v>384</v>
      </c>
      <c r="D3" s="52">
        <v>50</v>
      </c>
      <c r="E3" s="52">
        <v>434</v>
      </c>
      <c r="F3" s="53">
        <v>43.4</v>
      </c>
      <c r="G3" s="53">
        <v>477.4</v>
      </c>
    </row>
    <row r="4" spans="1:9">
      <c r="A4" s="51" t="s">
        <v>178</v>
      </c>
      <c r="B4" s="51" t="s">
        <v>179</v>
      </c>
      <c r="C4" s="52">
        <v>345</v>
      </c>
      <c r="D4" s="52">
        <v>89</v>
      </c>
      <c r="E4" s="52">
        <v>434</v>
      </c>
      <c r="F4" s="53">
        <v>43.4</v>
      </c>
      <c r="G4" s="53">
        <v>477.4</v>
      </c>
    </row>
    <row r="5" spans="1:9">
      <c r="A5" s="51" t="s">
        <v>180</v>
      </c>
      <c r="B5" s="51" t="s">
        <v>181</v>
      </c>
      <c r="C5" s="52">
        <v>259</v>
      </c>
      <c r="D5" s="52">
        <v>38</v>
      </c>
      <c r="E5" s="52">
        <v>297</v>
      </c>
      <c r="F5" s="53">
        <v>29.7</v>
      </c>
      <c r="G5" s="53">
        <v>326.7</v>
      </c>
    </row>
    <row r="6" spans="1:9">
      <c r="A6" s="51" t="s">
        <v>182</v>
      </c>
      <c r="B6" s="51" t="s">
        <v>183</v>
      </c>
      <c r="C6" s="52">
        <v>250</v>
      </c>
      <c r="D6" s="52">
        <v>43</v>
      </c>
      <c r="E6" s="52">
        <v>293</v>
      </c>
      <c r="F6" s="53">
        <v>29.3</v>
      </c>
      <c r="G6" s="53">
        <v>322.3</v>
      </c>
    </row>
    <row r="7" spans="1:9">
      <c r="A7" s="51" t="s">
        <v>182</v>
      </c>
      <c r="B7" s="51" t="s">
        <v>184</v>
      </c>
      <c r="C7" s="52">
        <v>245</v>
      </c>
      <c r="D7" s="52">
        <v>40</v>
      </c>
      <c r="E7" s="52">
        <v>285</v>
      </c>
      <c r="F7" s="53">
        <v>28.5</v>
      </c>
      <c r="G7" s="53">
        <v>313.5</v>
      </c>
    </row>
  </sheetData>
  <mergeCells count="1">
    <mergeCell ref="B1:F1"/>
  </mergeCells>
  <phoneticPr fontId="5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"/>
  <sheetViews>
    <sheetView workbookViewId="0">
      <selection activeCell="G12" sqref="G12"/>
    </sheetView>
  </sheetViews>
  <sheetFormatPr defaultRowHeight="16.5"/>
  <cols>
    <col min="1" max="16384" width="9" style="1"/>
  </cols>
  <sheetData>
    <row r="1" spans="1:8">
      <c r="A1" s="1" t="s">
        <v>185</v>
      </c>
    </row>
    <row r="3" spans="1:8">
      <c r="A3" s="54" t="s">
        <v>186</v>
      </c>
      <c r="B3" s="54" t="s">
        <v>187</v>
      </c>
      <c r="C3" s="54" t="s">
        <v>188</v>
      </c>
      <c r="D3" s="54" t="s">
        <v>189</v>
      </c>
      <c r="G3" s="54" t="s">
        <v>187</v>
      </c>
      <c r="H3" s="54" t="s">
        <v>190</v>
      </c>
    </row>
    <row r="4" spans="1:8">
      <c r="A4" s="1">
        <v>1</v>
      </c>
      <c r="B4" s="1" t="s">
        <v>191</v>
      </c>
      <c r="C4" s="1">
        <v>10</v>
      </c>
      <c r="D4" s="55">
        <v>130000</v>
      </c>
      <c r="G4" s="1" t="s">
        <v>192</v>
      </c>
      <c r="H4" s="1">
        <v>15000</v>
      </c>
    </row>
    <row r="5" spans="1:8">
      <c r="A5" s="1">
        <v>2</v>
      </c>
      <c r="B5" s="1" t="s">
        <v>193</v>
      </c>
      <c r="C5" s="1">
        <v>8</v>
      </c>
      <c r="D5" s="55">
        <v>88000</v>
      </c>
      <c r="G5" s="1" t="s">
        <v>194</v>
      </c>
      <c r="H5" s="1">
        <v>14000</v>
      </c>
    </row>
    <row r="6" spans="1:8">
      <c r="A6" s="1">
        <v>3</v>
      </c>
      <c r="B6" s="1" t="s">
        <v>195</v>
      </c>
      <c r="C6" s="1">
        <v>13</v>
      </c>
      <c r="D6" s="55">
        <v>156000</v>
      </c>
      <c r="G6" s="1" t="s">
        <v>196</v>
      </c>
      <c r="H6" s="1">
        <v>13000</v>
      </c>
    </row>
    <row r="7" spans="1:8">
      <c r="G7" s="1" t="s">
        <v>197</v>
      </c>
      <c r="H7" s="1">
        <v>12000</v>
      </c>
    </row>
    <row r="8" spans="1:8">
      <c r="G8" s="1" t="s">
        <v>198</v>
      </c>
      <c r="H8" s="1">
        <v>11000</v>
      </c>
    </row>
    <row r="9" spans="1:8">
      <c r="G9" s="1" t="s">
        <v>199</v>
      </c>
      <c r="H9" s="1">
        <v>10000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등록">
          <controlPr defaultSize="0" autoLine="0" r:id="rId5">
            <anchor moveWithCells="1">
              <from>
                <xdr:col>4</xdr:col>
                <xdr:colOff>381000</xdr:colOff>
                <xdr:row>0</xdr:row>
                <xdr:rowOff>152400</xdr:rowOff>
              </from>
              <to>
                <xdr:col>5</xdr:col>
                <xdr:colOff>600075</xdr:colOff>
                <xdr:row>3</xdr:row>
                <xdr:rowOff>104775</xdr:rowOff>
              </to>
            </anchor>
          </controlPr>
        </control>
      </mc:Choice>
      <mc:Fallback>
        <control shapeId="3073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기술부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2017-09-06T05:21:50Z</cp:lastPrinted>
  <dcterms:created xsi:type="dcterms:W3CDTF">2017-08-29T04:45:16Z</dcterms:created>
  <dcterms:modified xsi:type="dcterms:W3CDTF">2019-09-24T05:30:32Z</dcterms:modified>
</cp:coreProperties>
</file>