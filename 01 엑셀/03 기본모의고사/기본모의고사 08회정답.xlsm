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workbookProtection lockWindows="1"/>
  <bookViews>
    <workbookView xWindow="720" yWindow="420" windowWidth="26715" windowHeight="12720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분석작업-1" sheetId="4" r:id="rId5"/>
    <sheet name="분석작업-2" sheetId="5" r:id="rId6"/>
    <sheet name="Chart1" sheetId="6" r:id="rId7"/>
    <sheet name="기타작업-1" sheetId="7" r:id="rId8"/>
    <sheet name="기타작업-2" sheetId="8" r:id="rId9"/>
  </sheets>
  <definedNames>
    <definedName name="_xlnm._FilterDatabase" localSheetId="1" hidden="1">'기본작업-2'!$A$22:$H$31</definedName>
    <definedName name="_xlnm._FilterDatabase" localSheetId="4" hidden="1">'분석작업-1'!$A$1:$I$24</definedName>
    <definedName name="_xlnm.Criteria" localSheetId="1">'기본작업-2'!$A$38:$B$39</definedName>
    <definedName name="_xlnm.Criteria" localSheetId="4">'분석작업-1'!#REF!</definedName>
    <definedName name="_xlnm.Extract" localSheetId="1">'기본작업-2'!$A$42:$H$42</definedName>
    <definedName name="_xlnm.Extract" localSheetId="4">'분석작업-1'!#REF!</definedName>
  </definedNames>
  <calcPr calcId="145621"/>
  <pivotCaches>
    <pivotCache cacheId="7" r:id="rId10"/>
  </pivotCaches>
</workbook>
</file>

<file path=xl/calcChain.xml><?xml version="1.0" encoding="utf-8"?>
<calcChain xmlns="http://schemas.openxmlformats.org/spreadsheetml/2006/main">
  <c r="F11" i="9" l="1"/>
  <c r="E11" i="9"/>
  <c r="F10" i="9"/>
  <c r="E10" i="9"/>
  <c r="F9" i="9"/>
  <c r="E9" i="9"/>
  <c r="F8" i="9"/>
  <c r="E8" i="9"/>
  <c r="F7" i="9"/>
  <c r="E7" i="9"/>
  <c r="F6" i="9"/>
  <c r="E6" i="9"/>
  <c r="F5" i="9"/>
  <c r="E5" i="9"/>
  <c r="H25" i="5" l="1"/>
  <c r="H23" i="5"/>
  <c r="H21" i="5"/>
  <c r="H17" i="5"/>
  <c r="H15" i="5"/>
  <c r="H12" i="5"/>
  <c r="H7" i="5"/>
  <c r="H5" i="5"/>
  <c r="H24" i="5"/>
  <c r="G24" i="5"/>
  <c r="F24" i="5"/>
  <c r="E24" i="5"/>
  <c r="H18" i="5"/>
  <c r="G18" i="5"/>
  <c r="F18" i="5"/>
  <c r="E18" i="5"/>
  <c r="H13" i="5"/>
  <c r="G13" i="5"/>
  <c r="F13" i="5"/>
  <c r="E13" i="5"/>
  <c r="H8" i="5"/>
  <c r="G8" i="5"/>
  <c r="G26" i="5" s="1"/>
  <c r="F8" i="5"/>
  <c r="F26" i="5" s="1"/>
  <c r="E8" i="5"/>
  <c r="E26" i="5" s="1"/>
  <c r="H26" i="5" l="1"/>
  <c r="I61" i="3"/>
  <c r="H61" i="3"/>
  <c r="I60" i="3"/>
  <c r="H60" i="3"/>
  <c r="I59" i="3"/>
  <c r="H59" i="3"/>
  <c r="I58" i="3"/>
  <c r="H58" i="3"/>
  <c r="I57" i="3"/>
  <c r="H57" i="3"/>
  <c r="I56" i="3"/>
  <c r="H56" i="3"/>
  <c r="I55" i="3"/>
  <c r="H55" i="3"/>
  <c r="I54" i="3"/>
  <c r="H54" i="3"/>
  <c r="I53" i="3"/>
  <c r="H53" i="3"/>
  <c r="I52" i="3"/>
  <c r="H52" i="3"/>
  <c r="I51" i="3"/>
  <c r="H51" i="3"/>
  <c r="I50" i="3"/>
  <c r="H50" i="3"/>
  <c r="I49" i="3"/>
  <c r="H49" i="3"/>
  <c r="E37" i="3"/>
  <c r="C37" i="3"/>
  <c r="E36" i="3"/>
  <c r="C36" i="3"/>
  <c r="E35" i="3"/>
  <c r="C35" i="3"/>
  <c r="E34" i="3"/>
  <c r="C34" i="3"/>
  <c r="E33" i="3"/>
  <c r="C33" i="3"/>
  <c r="E32" i="3"/>
  <c r="C32" i="3"/>
  <c r="G31" i="3"/>
  <c r="E31" i="3"/>
  <c r="C31" i="3"/>
  <c r="E30" i="3"/>
  <c r="C30" i="3"/>
  <c r="G29" i="3"/>
  <c r="E29" i="3"/>
  <c r="C29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C6" i="3" a="1"/>
  <c r="C6" i="3" s="1"/>
  <c r="B6" i="3" a="1"/>
  <c r="B6" i="3" s="1"/>
  <c r="C5" i="3" a="1"/>
  <c r="C5" i="3" s="1"/>
  <c r="B5" i="3" a="1"/>
  <c r="B5" i="3" s="1"/>
  <c r="C4" i="3" a="1"/>
  <c r="C4" i="3" s="1"/>
  <c r="B4" i="3" a="1"/>
  <c r="B4" i="3" s="1"/>
  <c r="C3" i="3" a="1"/>
  <c r="C3" i="3" s="1"/>
  <c r="B3" i="3" a="1"/>
  <c r="B3" i="3" s="1"/>
  <c r="B39" i="2"/>
  <c r="E33" i="2"/>
  <c r="D33" i="2"/>
  <c r="C33" i="2"/>
  <c r="B33" i="2"/>
  <c r="E32" i="2"/>
  <c r="D32" i="2"/>
  <c r="C32" i="2"/>
  <c r="B32" i="2"/>
  <c r="H31" i="2"/>
  <c r="G31" i="2"/>
  <c r="F31" i="2"/>
  <c r="H30" i="2"/>
  <c r="G30" i="2"/>
  <c r="F30" i="2"/>
  <c r="H29" i="2"/>
  <c r="G29" i="2"/>
  <c r="F29" i="2"/>
  <c r="H28" i="2"/>
  <c r="G28" i="2"/>
  <c r="F28" i="2"/>
  <c r="H27" i="2"/>
  <c r="G27" i="2"/>
  <c r="F27" i="2"/>
  <c r="H26" i="2"/>
  <c r="G26" i="2"/>
  <c r="F26" i="2"/>
  <c r="H25" i="2"/>
  <c r="G25" i="2"/>
  <c r="F25" i="2"/>
  <c r="H24" i="2"/>
  <c r="G24" i="2"/>
  <c r="F24" i="2"/>
  <c r="A39" i="2" s="1"/>
  <c r="H23" i="2"/>
  <c r="G23" i="2"/>
  <c r="F23" i="2"/>
  <c r="H22" i="3"/>
  <c r="H14" i="3"/>
  <c r="H23" i="3"/>
  <c r="H15" i="3"/>
  <c r="H10" i="3"/>
  <c r="H24" i="3"/>
  <c r="H17" i="3"/>
  <c r="H20" i="3"/>
  <c r="H12" i="3"/>
  <c r="H21" i="3"/>
  <c r="H13" i="3"/>
  <c r="H18" i="3"/>
  <c r="H19" i="3"/>
  <c r="H11" i="3"/>
  <c r="H16" i="3"/>
  <c r="H25" i="3"/>
</calcChain>
</file>

<file path=xl/sharedStrings.xml><?xml version="1.0" encoding="utf-8"?>
<sst xmlns="http://schemas.openxmlformats.org/spreadsheetml/2006/main" count="488" uniqueCount="321">
  <si>
    <t>가전제품 판매현황</t>
    <phoneticPr fontId="6" type="noConversion"/>
  </si>
  <si>
    <t>[표1]</t>
    <phoneticPr fontId="6" type="noConversion"/>
  </si>
  <si>
    <t>게임 CD별 보유 수량</t>
    <phoneticPr fontId="6" type="noConversion"/>
  </si>
  <si>
    <t>제품번호</t>
  </si>
  <si>
    <t>제품명</t>
  </si>
  <si>
    <t>등급</t>
  </si>
  <si>
    <t>등록일자</t>
  </si>
  <si>
    <t>단가</t>
  </si>
  <si>
    <t>수량</t>
  </si>
  <si>
    <t>금액</t>
  </si>
  <si>
    <t>C-02</t>
  </si>
  <si>
    <t>용의 전설</t>
  </si>
  <si>
    <t>18세이상</t>
  </si>
  <si>
    <t>E-01</t>
  </si>
  <si>
    <t>만년</t>
  </si>
  <si>
    <t>14세이상</t>
  </si>
  <si>
    <t>D-02</t>
  </si>
  <si>
    <t>한국 협객전</t>
  </si>
  <si>
    <t>[표2]</t>
    <phoneticPr fontId="6" type="noConversion"/>
  </si>
  <si>
    <t>정보처리과 성적처리</t>
    <phoneticPr fontId="6" type="noConversion"/>
  </si>
  <si>
    <t>이름</t>
    <phoneticPr fontId="6" type="noConversion"/>
  </si>
  <si>
    <t>단문점수</t>
    <phoneticPr fontId="6" type="noConversion"/>
  </si>
  <si>
    <t>장문점수</t>
    <phoneticPr fontId="6" type="noConversion"/>
  </si>
  <si>
    <t>문서작성</t>
    <phoneticPr fontId="6" type="noConversion"/>
  </si>
  <si>
    <t>태도점수</t>
    <phoneticPr fontId="6" type="noConversion"/>
  </si>
  <si>
    <t>총점</t>
    <phoneticPr fontId="6" type="noConversion"/>
  </si>
  <si>
    <t>장문 등수</t>
    <phoneticPr fontId="6" type="noConversion"/>
  </si>
  <si>
    <t>문서 등급</t>
    <phoneticPr fontId="6" type="noConversion"/>
  </si>
  <si>
    <t>김성룡</t>
    <phoneticPr fontId="6" type="noConversion"/>
  </si>
  <si>
    <t>김철수</t>
    <phoneticPr fontId="6" type="noConversion"/>
  </si>
  <si>
    <t>박연서</t>
    <phoneticPr fontId="6" type="noConversion"/>
  </si>
  <si>
    <t>박병서</t>
    <phoneticPr fontId="6" type="noConversion"/>
  </si>
  <si>
    <t>이희용</t>
    <phoneticPr fontId="6" type="noConversion"/>
  </si>
  <si>
    <t>이철희</t>
    <phoneticPr fontId="6" type="noConversion"/>
  </si>
  <si>
    <t>장길산</t>
    <phoneticPr fontId="6" type="noConversion"/>
  </si>
  <si>
    <t>장창하</t>
    <phoneticPr fontId="6" type="noConversion"/>
  </si>
  <si>
    <t>한태수</t>
    <phoneticPr fontId="6" type="noConversion"/>
  </si>
  <si>
    <t>최소점수</t>
    <phoneticPr fontId="6" type="noConversion"/>
  </si>
  <si>
    <t xml:space="preserve"> </t>
    <phoneticPr fontId="6" type="noConversion"/>
  </si>
  <si>
    <t>최고점수</t>
    <phoneticPr fontId="6" type="noConversion"/>
  </si>
  <si>
    <t>기본점수</t>
    <phoneticPr fontId="6" type="noConversion"/>
  </si>
  <si>
    <t>평균총점</t>
    <phoneticPr fontId="5" type="noConversion"/>
  </si>
  <si>
    <t>평균문서작성</t>
    <phoneticPr fontId="5" type="noConversion"/>
  </si>
  <si>
    <t>B</t>
  </si>
  <si>
    <t>A</t>
  </si>
  <si>
    <t>[표1]</t>
    <phoneticPr fontId="6" type="noConversion"/>
  </si>
  <si>
    <t>장르</t>
  </si>
  <si>
    <t>드라마</t>
  </si>
  <si>
    <t>애니메이션</t>
  </si>
  <si>
    <t>액션</t>
  </si>
  <si>
    <t>코메디</t>
  </si>
  <si>
    <t>[표2]</t>
    <phoneticPr fontId="6" type="noConversion"/>
  </si>
  <si>
    <t>관리코드</t>
  </si>
  <si>
    <t>변경</t>
    <phoneticPr fontId="6" type="noConversion"/>
  </si>
  <si>
    <t>타이틀명</t>
  </si>
  <si>
    <t>입고일자</t>
  </si>
  <si>
    <t>DVD 가격</t>
    <phoneticPr fontId="6" type="noConversion"/>
  </si>
  <si>
    <t>대여료</t>
  </si>
  <si>
    <t>원가대여횟수</t>
    <phoneticPr fontId="6" type="noConversion"/>
  </si>
  <si>
    <t>비디오-2</t>
    <phoneticPr fontId="6" type="noConversion"/>
  </si>
  <si>
    <t>3000마일</t>
  </si>
  <si>
    <t>비디오-1</t>
    <phoneticPr fontId="6" type="noConversion"/>
  </si>
  <si>
    <t>7년만의 외출</t>
  </si>
  <si>
    <t>비디오-16</t>
  </si>
  <si>
    <t>내겐 너무 가벼운 그녀</t>
  </si>
  <si>
    <t>비디오-19</t>
  </si>
  <si>
    <t>달마야 놀자</t>
  </si>
  <si>
    <t>비디오-13</t>
  </si>
  <si>
    <t>마리이야기</t>
  </si>
  <si>
    <t>비디오-4</t>
    <phoneticPr fontId="6" type="noConversion"/>
  </si>
  <si>
    <t>빨강머리앤</t>
  </si>
  <si>
    <t>비디오-12</t>
  </si>
  <si>
    <t>뿌리</t>
  </si>
  <si>
    <t>비디오-17</t>
  </si>
  <si>
    <t>서부전선 이상없다</t>
  </si>
  <si>
    <t>비디오-14</t>
  </si>
  <si>
    <t>스몰빌</t>
  </si>
  <si>
    <t>비디오-20</t>
  </si>
  <si>
    <t>스파이 게임</t>
  </si>
  <si>
    <t>비디오-18</t>
  </si>
  <si>
    <t>슬레이어즈  NEXT</t>
  </si>
  <si>
    <t>비디오-8</t>
    <phoneticPr fontId="6" type="noConversion"/>
  </si>
  <si>
    <t>아비정전</t>
  </si>
  <si>
    <t>비디오-15</t>
  </si>
  <si>
    <t>양철북</t>
  </si>
  <si>
    <t>비디오-6</t>
    <phoneticPr fontId="6" type="noConversion"/>
  </si>
  <si>
    <t>일단 뛰어</t>
  </si>
  <si>
    <t>비디오-10</t>
  </si>
  <si>
    <t>자이언트 로보</t>
  </si>
  <si>
    <t>비디오-21</t>
  </si>
  <si>
    <t>재미있는 영화</t>
  </si>
  <si>
    <t>코메디</t>
    <phoneticPr fontId="6" type="noConversion"/>
  </si>
  <si>
    <t>[표3]</t>
    <phoneticPr fontId="6" type="noConversion"/>
  </si>
  <si>
    <t>1분기 맥주 판매량</t>
    <phoneticPr fontId="6" type="noConversion"/>
  </si>
  <si>
    <t>품명</t>
    <phoneticPr fontId="6" type="noConversion"/>
  </si>
  <si>
    <t>매입수량</t>
    <phoneticPr fontId="6" type="noConversion"/>
  </si>
  <si>
    <t>매입금액</t>
    <phoneticPr fontId="6" type="noConversion"/>
  </si>
  <si>
    <t>매출수량</t>
    <phoneticPr fontId="6" type="noConversion"/>
  </si>
  <si>
    <t>매출금액</t>
    <phoneticPr fontId="6" type="noConversion"/>
  </si>
  <si>
    <t>세번째로 큰값</t>
    <phoneticPr fontId="6" type="noConversion"/>
  </si>
  <si>
    <t>라거</t>
    <phoneticPr fontId="6" type="noConversion"/>
  </si>
  <si>
    <t>하이트</t>
    <phoneticPr fontId="6" type="noConversion"/>
  </si>
  <si>
    <t>두번째로 작은값</t>
    <phoneticPr fontId="6" type="noConversion"/>
  </si>
  <si>
    <t>카스</t>
    <phoneticPr fontId="6" type="noConversion"/>
  </si>
  <si>
    <t>단가표</t>
    <phoneticPr fontId="6" type="noConversion"/>
  </si>
  <si>
    <t>매입단가</t>
    <phoneticPr fontId="6" type="noConversion"/>
  </si>
  <si>
    <t>매출단가</t>
    <phoneticPr fontId="6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</si>
  <si>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6" type="noConversion"/>
  </si>
  <si>
    <r>
      <t>[표5</t>
    </r>
    <r>
      <rPr>
        <sz val="11"/>
        <color theme="1"/>
        <rFont val="맑은 고딕"/>
        <family val="3"/>
        <charset val="129"/>
        <scheme val="major"/>
      </rPr>
      <t>]</t>
    </r>
    <phoneticPr fontId="6" type="noConversion"/>
  </si>
  <si>
    <t>평균</t>
    <phoneticPr fontId="6" type="noConversion"/>
  </si>
  <si>
    <t>할인율</t>
    <phoneticPr fontId="6" type="noConversion"/>
  </si>
  <si>
    <t>결석일수</t>
    <phoneticPr fontId="6" type="noConversion"/>
  </si>
  <si>
    <t>기본점수</t>
    <phoneticPr fontId="6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</si>
  <si>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6]</t>
    </r>
    <phoneticPr fontId="6" type="noConversion"/>
  </si>
  <si>
    <t>성명</t>
    <phoneticPr fontId="6" type="noConversion"/>
  </si>
  <si>
    <t>수강과목</t>
    <phoneticPr fontId="6" type="noConversion"/>
  </si>
  <si>
    <t>출석일수</t>
    <phoneticPr fontId="6" type="noConversion"/>
  </si>
  <si>
    <t>1차</t>
    <phoneticPr fontId="6" type="noConversion"/>
  </si>
  <si>
    <t>2차</t>
    <phoneticPr fontId="6" type="noConversion"/>
  </si>
  <si>
    <t>3차</t>
    <phoneticPr fontId="6" type="noConversion"/>
  </si>
  <si>
    <t>추가점수</t>
    <phoneticPr fontId="6" type="noConversion"/>
  </si>
  <si>
    <t>박연</t>
    <phoneticPr fontId="6" type="noConversion"/>
  </si>
  <si>
    <t>인터넷-고급</t>
  </si>
  <si>
    <t>이순신</t>
    <phoneticPr fontId="6" type="noConversion"/>
  </si>
  <si>
    <t>인터넷-중급</t>
  </si>
  <si>
    <t>성삼문</t>
    <phoneticPr fontId="6" type="noConversion"/>
  </si>
  <si>
    <t>오피스-중급</t>
  </si>
  <si>
    <t>송시열</t>
    <phoneticPr fontId="6" type="noConversion"/>
  </si>
  <si>
    <t>오피스-고급</t>
  </si>
  <si>
    <t>지석영</t>
    <phoneticPr fontId="6" type="noConversion"/>
  </si>
  <si>
    <t>임꺽정</t>
    <phoneticPr fontId="6" type="noConversion"/>
  </si>
  <si>
    <t>인터넷-초급</t>
  </si>
  <si>
    <t>성춘향</t>
    <phoneticPr fontId="6" type="noConversion"/>
  </si>
  <si>
    <t>윈도우-중급</t>
  </si>
  <si>
    <t>홍영식</t>
    <phoneticPr fontId="6" type="noConversion"/>
  </si>
  <si>
    <t>윈도우-고급</t>
  </si>
  <si>
    <t>권율</t>
    <phoneticPr fontId="6" type="noConversion"/>
  </si>
  <si>
    <t>윈도우-고급</t>
    <phoneticPr fontId="6" type="noConversion"/>
  </si>
  <si>
    <t>안정복</t>
    <phoneticPr fontId="6" type="noConversion"/>
  </si>
  <si>
    <t>윈도우-초급</t>
  </si>
  <si>
    <t>김시습</t>
    <phoneticPr fontId="6" type="noConversion"/>
  </si>
  <si>
    <t>오피스-초급</t>
  </si>
  <si>
    <t>한용운</t>
    <phoneticPr fontId="6" type="noConversion"/>
  </si>
  <si>
    <t>정약용</t>
    <phoneticPr fontId="6" type="noConversion"/>
  </si>
  <si>
    <t>학번</t>
  </si>
  <si>
    <t>이름</t>
  </si>
  <si>
    <t>학과</t>
  </si>
  <si>
    <t>성별</t>
  </si>
  <si>
    <t>중간(30%)</t>
  </si>
  <si>
    <t>기말(40%)</t>
  </si>
  <si>
    <t>출석(10%)</t>
  </si>
  <si>
    <t>과제(20%)</t>
  </si>
  <si>
    <t>총점(100%)</t>
  </si>
  <si>
    <t>A-001</t>
  </si>
  <si>
    <t>탁구공</t>
  </si>
  <si>
    <t>eBusiness과</t>
  </si>
  <si>
    <t>남</t>
  </si>
  <si>
    <t>E-002</t>
  </si>
  <si>
    <t>남이섬</t>
  </si>
  <si>
    <t>정보관리과</t>
  </si>
  <si>
    <t>B-003</t>
  </si>
  <si>
    <t>최고참</t>
  </si>
  <si>
    <t>전자상거래과</t>
  </si>
  <si>
    <t>F-004</t>
  </si>
  <si>
    <t>이용실</t>
  </si>
  <si>
    <t>여</t>
  </si>
  <si>
    <t>E-005</t>
  </si>
  <si>
    <t>김새네</t>
  </si>
  <si>
    <t>B-007</t>
  </si>
  <si>
    <t>서울이</t>
  </si>
  <si>
    <t>D-008</t>
  </si>
  <si>
    <t>조용희</t>
  </si>
  <si>
    <t>B-010</t>
  </si>
  <si>
    <t>강장자</t>
  </si>
  <si>
    <t>경영전략과</t>
  </si>
  <si>
    <t>A-014</t>
  </si>
  <si>
    <t>박혜영</t>
  </si>
  <si>
    <t>F-015</t>
  </si>
  <si>
    <t>박종기</t>
  </si>
  <si>
    <t>컴퓨터공학과</t>
  </si>
  <si>
    <t>A-017</t>
  </si>
  <si>
    <t>맹지오</t>
  </si>
  <si>
    <t>D-018</t>
  </si>
  <si>
    <t>백윤주</t>
  </si>
  <si>
    <t>D-019</t>
  </si>
  <si>
    <t>남경진</t>
  </si>
  <si>
    <t>B-021</t>
  </si>
  <si>
    <t>박득경</t>
  </si>
  <si>
    <t>B-022</t>
  </si>
  <si>
    <t>박승진</t>
  </si>
  <si>
    <t>B-023</t>
  </si>
  <si>
    <t>김현진</t>
  </si>
  <si>
    <t>마케팅사업과</t>
  </si>
  <si>
    <t>D-024</t>
  </si>
  <si>
    <t>장윤하</t>
  </si>
  <si>
    <t>G-026</t>
  </si>
  <si>
    <t>송기화</t>
  </si>
  <si>
    <t>D-027</t>
  </si>
  <si>
    <t>윤석훈</t>
  </si>
  <si>
    <t>E-028</t>
  </si>
  <si>
    <t>이미경</t>
  </si>
  <si>
    <t>F-029</t>
  </si>
  <si>
    <t>윤영근</t>
  </si>
  <si>
    <t>C-030</t>
  </si>
  <si>
    <t>이수안</t>
  </si>
  <si>
    <t>전자상거래 성적 일람표</t>
    <phoneticPr fontId="6" type="noConversion"/>
  </si>
  <si>
    <t>이름</t>
    <phoneticPr fontId="6" type="noConversion"/>
  </si>
  <si>
    <t>학번</t>
    <phoneticPr fontId="6" type="noConversion"/>
  </si>
  <si>
    <t>학과</t>
    <phoneticPr fontId="6" type="noConversion"/>
  </si>
  <si>
    <t>성별</t>
    <phoneticPr fontId="6" type="noConversion"/>
  </si>
  <si>
    <t>중간</t>
    <phoneticPr fontId="6" type="noConversion"/>
  </si>
  <si>
    <t>기말</t>
    <phoneticPr fontId="6" type="noConversion"/>
  </si>
  <si>
    <t>과제</t>
    <phoneticPr fontId="6" type="noConversion"/>
  </si>
  <si>
    <t>출석</t>
    <phoneticPr fontId="6" type="noConversion"/>
  </si>
  <si>
    <t>최석두</t>
    <phoneticPr fontId="6" type="noConversion"/>
  </si>
  <si>
    <t>B002</t>
    <phoneticPr fontId="6" type="noConversion"/>
  </si>
  <si>
    <t>E-BUSINESS과</t>
    <phoneticPr fontId="6" type="noConversion"/>
  </si>
  <si>
    <t>M</t>
    <phoneticPr fontId="6" type="noConversion"/>
  </si>
  <si>
    <t>M 최대값</t>
  </si>
  <si>
    <t>권진현</t>
    <phoneticPr fontId="6" type="noConversion"/>
  </si>
  <si>
    <t>B001</t>
    <phoneticPr fontId="6" type="noConversion"/>
  </si>
  <si>
    <t>F</t>
    <phoneticPr fontId="6" type="noConversion"/>
  </si>
  <si>
    <t>F 최대값</t>
  </si>
  <si>
    <t>E-BUSINESS과 평균</t>
  </si>
  <si>
    <t>박인숙</t>
    <phoneticPr fontId="6" type="noConversion"/>
  </si>
  <si>
    <t>C002</t>
    <phoneticPr fontId="6" type="noConversion"/>
  </si>
  <si>
    <t>인터넷정보과</t>
    <phoneticPr fontId="6" type="noConversion"/>
  </si>
  <si>
    <t>F</t>
    <phoneticPr fontId="6" type="noConversion"/>
  </si>
  <si>
    <t>안진이</t>
    <phoneticPr fontId="6" type="noConversion"/>
  </si>
  <si>
    <t>C001</t>
    <phoneticPr fontId="6" type="noConversion"/>
  </si>
  <si>
    <t>허진희</t>
    <phoneticPr fontId="6" type="noConversion"/>
  </si>
  <si>
    <t>C003</t>
    <phoneticPr fontId="6" type="noConversion"/>
  </si>
  <si>
    <t>인터넷정보과 평균</t>
  </si>
  <si>
    <t>이종택</t>
    <phoneticPr fontId="6" type="noConversion"/>
  </si>
  <si>
    <t>A004</t>
    <phoneticPr fontId="6" type="noConversion"/>
  </si>
  <si>
    <t>전자상거래과</t>
    <phoneticPr fontId="6" type="noConversion"/>
  </si>
  <si>
    <t>M</t>
    <phoneticPr fontId="6" type="noConversion"/>
  </si>
  <si>
    <t>김선희</t>
    <phoneticPr fontId="6" type="noConversion"/>
  </si>
  <si>
    <t>A001</t>
    <phoneticPr fontId="6" type="noConversion"/>
  </si>
  <si>
    <t>전자상거래과 평균</t>
  </si>
  <si>
    <t>나진규</t>
    <phoneticPr fontId="6" type="noConversion"/>
  </si>
  <si>
    <t>D003</t>
    <phoneticPr fontId="6" type="noConversion"/>
  </si>
  <si>
    <t>컴퓨터과</t>
    <phoneticPr fontId="6" type="noConversion"/>
  </si>
  <si>
    <t>박선교</t>
    <phoneticPr fontId="6" type="noConversion"/>
  </si>
  <si>
    <t>D001</t>
    <phoneticPr fontId="6" type="noConversion"/>
  </si>
  <si>
    <t>홍나리</t>
    <phoneticPr fontId="6" type="noConversion"/>
  </si>
  <si>
    <t>D002</t>
    <phoneticPr fontId="6" type="noConversion"/>
  </si>
  <si>
    <t>컴퓨터과</t>
    <phoneticPr fontId="6" type="noConversion"/>
  </si>
  <si>
    <t>F</t>
    <phoneticPr fontId="6" type="noConversion"/>
  </si>
  <si>
    <t>컴퓨터과 평균</t>
  </si>
  <si>
    <t>전체 최대값</t>
  </si>
  <si>
    <t>전체 평균</t>
  </si>
  <si>
    <t>경기 대리점 판매현황</t>
    <phoneticPr fontId="6" type="noConversion"/>
  </si>
  <si>
    <t>품목</t>
  </si>
  <si>
    <t>단가</t>
    <phoneticPr fontId="5" type="noConversion"/>
  </si>
  <si>
    <t>목표량</t>
  </si>
  <si>
    <t>판매량</t>
  </si>
  <si>
    <t>판매액</t>
  </si>
  <si>
    <t>프린터</t>
  </si>
  <si>
    <t>MP3</t>
  </si>
  <si>
    <t>카메라</t>
  </si>
  <si>
    <t>컴퓨터</t>
  </si>
  <si>
    <t>스캐너</t>
  </si>
  <si>
    <t>핸드폰</t>
  </si>
  <si>
    <t>HDTV</t>
  </si>
  <si>
    <t>캠코더</t>
  </si>
  <si>
    <t>물품 구매 내역</t>
    <phoneticPr fontId="6" type="noConversion"/>
  </si>
  <si>
    <t>구매일자</t>
    <phoneticPr fontId="6" type="noConversion"/>
  </si>
  <si>
    <t>품목명</t>
    <phoneticPr fontId="6" type="noConversion"/>
  </si>
  <si>
    <t>구매수량</t>
    <phoneticPr fontId="6" type="noConversion"/>
  </si>
  <si>
    <t>금액</t>
    <phoneticPr fontId="6" type="noConversion"/>
  </si>
  <si>
    <t>3</t>
  </si>
  <si>
    <t>10</t>
  </si>
  <si>
    <t>6</t>
  </si>
  <si>
    <t>1</t>
  </si>
  <si>
    <t>모델명</t>
  </si>
  <si>
    <t>분류코드</t>
  </si>
  <si>
    <t>적립율</t>
  </si>
  <si>
    <t>적립금</t>
  </si>
  <si>
    <t>매출액</t>
  </si>
  <si>
    <t>LA-05</t>
  </si>
  <si>
    <t>김치냉장고</t>
  </si>
  <si>
    <t>생활가전</t>
  </si>
  <si>
    <t>LA-07</t>
  </si>
  <si>
    <t>LA-06</t>
  </si>
  <si>
    <t>LA-08</t>
  </si>
  <si>
    <t>LA-09</t>
  </si>
  <si>
    <t>LA-10</t>
  </si>
  <si>
    <t>냉장고</t>
  </si>
  <si>
    <t>LA-11</t>
  </si>
  <si>
    <t>LA-12</t>
  </si>
  <si>
    <t>LA-17</t>
  </si>
  <si>
    <t>식기세척기</t>
  </si>
  <si>
    <t>LA-16</t>
  </si>
  <si>
    <t>(모두)</t>
  </si>
  <si>
    <t>행 레이블</t>
  </si>
  <si>
    <t>총합계</t>
  </si>
  <si>
    <t>열 레이블</t>
  </si>
  <si>
    <t>합계 : 중간(30%)</t>
  </si>
  <si>
    <t>전체 합계 : 중간(30%)</t>
  </si>
  <si>
    <t>전체 합계 : 기말(40%)</t>
  </si>
  <si>
    <t>합계 : 기말(40%)</t>
  </si>
  <si>
    <t>A반</t>
  </si>
  <si>
    <t>B반</t>
  </si>
  <si>
    <t>C반</t>
  </si>
  <si>
    <t>D반</t>
  </si>
  <si>
    <t>E반</t>
  </si>
  <si>
    <t>F반</t>
  </si>
  <si>
    <t>G반</t>
  </si>
  <si>
    <t>지점코드</t>
    <phoneticPr fontId="6" type="noConversion"/>
  </si>
  <si>
    <t>총매출액</t>
    <phoneticPr fontId="6" type="noConversion"/>
  </si>
  <si>
    <t>매출원가</t>
    <phoneticPr fontId="6" type="noConversion"/>
  </si>
  <si>
    <t>매출이익</t>
    <phoneticPr fontId="6" type="noConversion"/>
  </si>
  <si>
    <t>지역</t>
    <phoneticPr fontId="6" type="noConversion"/>
  </si>
  <si>
    <r>
      <t>S</t>
    </r>
    <r>
      <rPr>
        <sz val="11"/>
        <color theme="1"/>
        <rFont val="맑은 고딕"/>
        <family val="3"/>
        <charset val="129"/>
      </rPr>
      <t>01</t>
    </r>
    <phoneticPr fontId="6" type="noConversion"/>
  </si>
  <si>
    <r>
      <t>D</t>
    </r>
    <r>
      <rPr>
        <sz val="11"/>
        <color theme="1"/>
        <rFont val="맑은 고딕"/>
        <family val="3"/>
        <charset val="129"/>
      </rPr>
      <t>02</t>
    </r>
    <phoneticPr fontId="6" type="noConversion"/>
  </si>
  <si>
    <r>
      <t>G</t>
    </r>
    <r>
      <rPr>
        <sz val="11"/>
        <color theme="1"/>
        <rFont val="맑은 고딕"/>
        <family val="3"/>
        <charset val="129"/>
      </rPr>
      <t>03</t>
    </r>
    <phoneticPr fontId="6" type="noConversion"/>
  </si>
  <si>
    <r>
      <t>B</t>
    </r>
    <r>
      <rPr>
        <sz val="11"/>
        <color theme="1"/>
        <rFont val="맑은 고딕"/>
        <family val="3"/>
        <charset val="129"/>
      </rPr>
      <t>04</t>
    </r>
    <phoneticPr fontId="6" type="noConversion"/>
  </si>
  <si>
    <t>K05</t>
    <phoneticPr fontId="6" type="noConversion"/>
  </si>
  <si>
    <r>
      <t>S</t>
    </r>
    <r>
      <rPr>
        <sz val="11"/>
        <color theme="1"/>
        <rFont val="맑은 고딕"/>
        <family val="3"/>
        <charset val="129"/>
      </rPr>
      <t>06</t>
    </r>
    <phoneticPr fontId="6" type="noConversion"/>
  </si>
  <si>
    <r>
      <t>B</t>
    </r>
    <r>
      <rPr>
        <sz val="11"/>
        <color theme="1"/>
        <rFont val="맑은 고딕"/>
        <family val="3"/>
        <charset val="129"/>
      </rPr>
      <t>07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</si>
</sst>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&quot;-&quot;d"/>
    <numFmt numFmtId="177" formatCode="#,##0_ "/>
    <numFmt numFmtId="178" formatCode="yyyy&quot;-&quot;m&quot;-&quot;d"/>
    <numFmt numFmtId="179" formatCode="0_);\(0\)"/>
    <numFmt numFmtId="180" formatCode="0_ "/>
    <numFmt numFmtId="181" formatCode="0.0%"/>
  </numFmts>
  <fonts count="19"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u val="double"/>
      <sz val="16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2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i/>
      <sz val="9"/>
      <name val="맑은 고딕"/>
      <family val="3"/>
      <charset val="129"/>
      <scheme val="maj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7">
    <xf numFmtId="0" fontId="0" fillId="0" borderId="0">
      <alignment vertical="center"/>
    </xf>
    <xf numFmtId="0" fontId="3" fillId="0" borderId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12" fillId="0" borderId="0"/>
    <xf numFmtId="41" fontId="17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4" fillId="0" borderId="0" xfId="1" applyFont="1"/>
    <xf numFmtId="0" fontId="4" fillId="0" borderId="0" xfId="1" applyFont="1" applyFill="1" applyAlignment="1">
      <alignment vertical="center"/>
    </xf>
    <xf numFmtId="0" fontId="4" fillId="0" borderId="0" xfId="1" applyFont="1" applyAlignment="1">
      <alignment horizontal="center"/>
    </xf>
    <xf numFmtId="176" fontId="4" fillId="0" borderId="0" xfId="1" applyNumberFormat="1" applyFont="1"/>
    <xf numFmtId="177" fontId="8" fillId="0" borderId="0" xfId="2" applyNumberFormat="1" applyFont="1"/>
    <xf numFmtId="0" fontId="4" fillId="2" borderId="2" xfId="1" applyFont="1" applyFill="1" applyBorder="1" applyAlignment="1">
      <alignment horizontal="center"/>
    </xf>
    <xf numFmtId="0" fontId="4" fillId="0" borderId="2" xfId="1" applyFont="1" applyFill="1" applyBorder="1" applyAlignment="1">
      <alignment horizontal="center"/>
    </xf>
    <xf numFmtId="179" fontId="4" fillId="0" borderId="2" xfId="1" applyNumberFormat="1" applyFont="1" applyFill="1" applyBorder="1" applyAlignment="1">
      <alignment horizontal="center"/>
    </xf>
    <xf numFmtId="0" fontId="4" fillId="0" borderId="2" xfId="1" quotePrefix="1" applyFont="1" applyFill="1" applyBorder="1" applyAlignment="1">
      <alignment horizontal="center"/>
    </xf>
    <xf numFmtId="180" fontId="4" fillId="0" borderId="2" xfId="1" applyNumberFormat="1" applyFont="1" applyFill="1" applyBorder="1" applyAlignment="1">
      <alignment horizontal="center"/>
    </xf>
    <xf numFmtId="0" fontId="4" fillId="0" borderId="3" xfId="1" applyFont="1" applyFill="1" applyBorder="1" applyAlignment="1">
      <alignment horizontal="center"/>
    </xf>
    <xf numFmtId="0" fontId="4" fillId="0" borderId="0" xfId="1" applyFont="1" applyFill="1"/>
    <xf numFmtId="0" fontId="10" fillId="0" borderId="0" xfId="1" applyFont="1" applyFill="1"/>
    <xf numFmtId="14" fontId="4" fillId="0" borderId="2" xfId="1" applyNumberFormat="1" applyFont="1" applyFill="1" applyBorder="1" applyAlignment="1">
      <alignment horizontal="center" vertical="center"/>
    </xf>
    <xf numFmtId="180" fontId="4" fillId="0" borderId="2" xfId="3" applyNumberFormat="1" applyFont="1" applyFill="1" applyBorder="1" applyAlignment="1">
      <alignment horizontal="center" vertical="center"/>
    </xf>
    <xf numFmtId="9" fontId="11" fillId="0" borderId="0" xfId="1" applyNumberFormat="1" applyFont="1" applyFill="1"/>
    <xf numFmtId="41" fontId="10" fillId="0" borderId="0" xfId="4" applyFont="1" applyFill="1" applyBorder="1" applyAlignment="1">
      <alignment horizontal="center"/>
    </xf>
    <xf numFmtId="41" fontId="10" fillId="0" borderId="0" xfId="4" applyFont="1" applyFill="1" applyBorder="1" applyAlignment="1"/>
    <xf numFmtId="0" fontId="4" fillId="0" borderId="2" xfId="1" applyFont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0" borderId="2" xfId="1" applyFont="1" applyBorder="1"/>
    <xf numFmtId="41" fontId="8" fillId="0" borderId="2" xfId="4" applyFont="1" applyBorder="1"/>
    <xf numFmtId="14" fontId="4" fillId="0" borderId="2" xfId="1" applyNumberFormat="1" applyFont="1" applyBorder="1"/>
    <xf numFmtId="0" fontId="4" fillId="0" borderId="0" xfId="1" applyFont="1" applyFill="1" applyBorder="1" applyAlignment="1">
      <alignment horizontal="center"/>
    </xf>
    <xf numFmtId="41" fontId="4" fillId="0" borderId="2" xfId="4" applyFont="1" applyBorder="1"/>
    <xf numFmtId="41" fontId="4" fillId="0" borderId="2" xfId="1" applyNumberFormat="1" applyFont="1" applyBorder="1"/>
    <xf numFmtId="0" fontId="4" fillId="0" borderId="1" xfId="1" applyFont="1" applyBorder="1" applyAlignment="1">
      <alignment horizontal="center"/>
    </xf>
    <xf numFmtId="41" fontId="4" fillId="0" borderId="0" xfId="4" applyFont="1" applyBorder="1"/>
    <xf numFmtId="0" fontId="4" fillId="0" borderId="0" xfId="1" applyFont="1" applyAlignment="1">
      <alignment vertical="center"/>
    </xf>
    <xf numFmtId="0" fontId="4" fillId="0" borderId="2" xfId="1" applyFont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181" fontId="4" fillId="0" borderId="2" xfId="1" applyNumberFormat="1" applyFont="1" applyBorder="1" applyAlignment="1">
      <alignment vertical="center"/>
    </xf>
    <xf numFmtId="0" fontId="4" fillId="0" borderId="0" xfId="1" applyFont="1" applyFill="1" applyBorder="1"/>
    <xf numFmtId="0" fontId="4" fillId="0" borderId="0" xfId="1" applyFont="1" applyFill="1" applyBorder="1" applyAlignment="1">
      <alignment vertical="center"/>
    </xf>
    <xf numFmtId="0" fontId="4" fillId="3" borderId="2" xfId="1" applyFont="1" applyFill="1" applyBorder="1" applyAlignment="1">
      <alignment horizontal="center" vertical="center"/>
    </xf>
    <xf numFmtId="0" fontId="4" fillId="0" borderId="2" xfId="1" applyFont="1" applyBorder="1" applyAlignment="1">
      <alignment vertical="center"/>
    </xf>
    <xf numFmtId="181" fontId="4" fillId="0" borderId="2" xfId="3" applyNumberFormat="1" applyFont="1" applyBorder="1" applyAlignment="1">
      <alignment vertical="center"/>
    </xf>
    <xf numFmtId="9" fontId="4" fillId="0" borderId="0" xfId="3" applyFont="1" applyFill="1" applyBorder="1" applyAlignment="1">
      <alignment vertical="center"/>
    </xf>
    <xf numFmtId="0" fontId="13" fillId="4" borderId="4" xfId="5" applyNumberFormat="1" applyFont="1" applyFill="1" applyBorder="1" applyAlignment="1">
      <alignment horizontal="center"/>
    </xf>
    <xf numFmtId="0" fontId="13" fillId="4" borderId="5" xfId="5" applyNumberFormat="1" applyFont="1" applyFill="1" applyBorder="1" applyAlignment="1">
      <alignment horizontal="center"/>
    </xf>
    <xf numFmtId="0" fontId="13" fillId="4" borderId="6" xfId="5" applyNumberFormat="1" applyFont="1" applyFill="1" applyBorder="1" applyAlignment="1">
      <alignment horizontal="center"/>
    </xf>
    <xf numFmtId="0" fontId="14" fillId="0" borderId="4" xfId="5" applyNumberFormat="1" applyFont="1" applyBorder="1" applyAlignment="1">
      <alignment wrapText="1"/>
    </xf>
    <xf numFmtId="0" fontId="14" fillId="0" borderId="5" xfId="5" applyNumberFormat="1" applyFont="1" applyBorder="1" applyAlignment="1">
      <alignment wrapText="1"/>
    </xf>
    <xf numFmtId="0" fontId="14" fillId="0" borderId="5" xfId="5" applyNumberFormat="1" applyFont="1" applyBorder="1" applyAlignment="1">
      <alignment horizontal="right" wrapText="1"/>
    </xf>
    <xf numFmtId="0" fontId="14" fillId="0" borderId="6" xfId="5" applyNumberFormat="1" applyFont="1" applyBorder="1" applyAlignment="1">
      <alignment horizontal="right" wrapText="1"/>
    </xf>
    <xf numFmtId="0" fontId="14" fillId="0" borderId="7" xfId="5" applyNumberFormat="1" applyFont="1" applyBorder="1" applyAlignment="1">
      <alignment wrapText="1"/>
    </xf>
    <xf numFmtId="0" fontId="14" fillId="0" borderId="8" xfId="5" applyNumberFormat="1" applyFont="1" applyBorder="1" applyAlignment="1">
      <alignment wrapText="1"/>
    </xf>
    <xf numFmtId="0" fontId="14" fillId="0" borderId="8" xfId="5" applyNumberFormat="1" applyFont="1" applyBorder="1" applyAlignment="1">
      <alignment horizontal="right" wrapText="1"/>
    </xf>
    <xf numFmtId="0" fontId="14" fillId="0" borderId="9" xfId="5" applyNumberFormat="1" applyFont="1" applyBorder="1" applyAlignment="1">
      <alignment horizontal="right" wrapText="1"/>
    </xf>
    <xf numFmtId="0" fontId="4" fillId="0" borderId="2" xfId="1" applyFont="1" applyFill="1" applyBorder="1" applyAlignment="1">
      <alignment horizontal="center" vertical="center"/>
    </xf>
    <xf numFmtId="0" fontId="4" fillId="0" borderId="2" xfId="1" applyFont="1" applyFill="1" applyBorder="1" applyAlignment="1">
      <alignment horizontal="center" vertical="center" wrapText="1"/>
    </xf>
    <xf numFmtId="0" fontId="16" fillId="0" borderId="2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6" fillId="0" borderId="0" xfId="1" applyFont="1" applyAlignment="1">
      <alignment horizontal="center"/>
    </xf>
    <xf numFmtId="14" fontId="4" fillId="0" borderId="0" xfId="1" applyNumberFormat="1" applyFont="1" applyAlignment="1">
      <alignment vertical="center"/>
    </xf>
    <xf numFmtId="0" fontId="4" fillId="0" borderId="0" xfId="1" applyFont="1" applyAlignment="1">
      <alignment horizontal="right" vertical="center"/>
    </xf>
    <xf numFmtId="3" fontId="4" fillId="0" borderId="0" xfId="1" applyNumberFormat="1" applyFont="1" applyAlignment="1">
      <alignment horizontal="right" vertical="center"/>
    </xf>
    <xf numFmtId="0" fontId="4" fillId="0" borderId="0" xfId="1" applyFont="1" applyAlignment="1">
      <alignment horizontal="right"/>
    </xf>
    <xf numFmtId="3" fontId="4" fillId="0" borderId="0" xfId="1" applyNumberFormat="1" applyFont="1"/>
    <xf numFmtId="14" fontId="4" fillId="0" borderId="0" xfId="1" applyNumberFormat="1" applyFont="1"/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0" fillId="0" borderId="12" xfId="0" applyFont="1" applyBorder="1">
      <alignment vertical="center"/>
    </xf>
    <xf numFmtId="0" fontId="2" fillId="4" borderId="13" xfId="0" applyFont="1" applyFill="1" applyBorder="1">
      <alignment vertical="center"/>
    </xf>
    <xf numFmtId="0" fontId="2" fillId="4" borderId="14" xfId="0" applyFont="1" applyFill="1" applyBorder="1">
      <alignment vertical="center"/>
    </xf>
    <xf numFmtId="0" fontId="2" fillId="4" borderId="15" xfId="0" applyFont="1" applyFill="1" applyBorder="1">
      <alignment vertical="center"/>
    </xf>
    <xf numFmtId="0" fontId="0" fillId="5" borderId="13" xfId="0" applyFont="1" applyFill="1" applyBorder="1">
      <alignment vertical="center"/>
    </xf>
    <xf numFmtId="0" fontId="0" fillId="5" borderId="14" xfId="0" applyFont="1" applyFill="1" applyBorder="1">
      <alignment vertical="center"/>
    </xf>
    <xf numFmtId="0" fontId="0" fillId="5" borderId="15" xfId="0" applyFont="1" applyFill="1" applyBorder="1">
      <alignment vertical="center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indent="2"/>
    </xf>
    <xf numFmtId="10" fontId="0" fillId="0" borderId="0" xfId="0" applyNumberFormat="1">
      <alignment vertical="center"/>
    </xf>
    <xf numFmtId="179" fontId="4" fillId="0" borderId="2" xfId="1" applyNumberFormat="1" applyFont="1" applyFill="1" applyBorder="1" applyAlignment="1" applyProtection="1">
      <alignment horizontal="center"/>
    </xf>
    <xf numFmtId="0" fontId="4" fillId="0" borderId="2" xfId="1" applyFont="1" applyFill="1" applyBorder="1" applyAlignment="1" applyProtection="1">
      <alignment horizontal="center"/>
    </xf>
    <xf numFmtId="0" fontId="4" fillId="0" borderId="2" xfId="1" quotePrefix="1" applyFont="1" applyFill="1" applyBorder="1" applyAlignment="1" applyProtection="1">
      <alignment horizontal="center"/>
    </xf>
    <xf numFmtId="0" fontId="1" fillId="0" borderId="2" xfId="1" applyFont="1" applyBorder="1" applyAlignment="1">
      <alignment horizontal="center" vertical="center"/>
    </xf>
    <xf numFmtId="0" fontId="1" fillId="0" borderId="2" xfId="1" applyFont="1" applyFill="1" applyBorder="1" applyAlignment="1">
      <alignment horizontal="center" vertical="center"/>
    </xf>
    <xf numFmtId="41" fontId="1" fillId="0" borderId="2" xfId="6" applyFont="1" applyBorder="1" applyAlignment="1">
      <alignment horizontal="right" vertical="center"/>
    </xf>
    <xf numFmtId="41" fontId="1" fillId="0" borderId="2" xfId="6" applyFont="1" applyBorder="1" applyAlignment="1" applyProtection="1">
      <alignment horizontal="right" vertical="center"/>
      <protection hidden="1"/>
    </xf>
    <xf numFmtId="9" fontId="1" fillId="0" borderId="2" xfId="3" applyFont="1" applyBorder="1" applyAlignment="1" applyProtection="1">
      <alignment horizontal="center" vertical="center"/>
      <protection hidden="1"/>
    </xf>
    <xf numFmtId="0" fontId="7" fillId="0" borderId="0" xfId="1" applyNumberFormat="1" applyFont="1" applyAlignment="1">
      <alignment horizontal="center" vertical="center"/>
    </xf>
    <xf numFmtId="0" fontId="9" fillId="0" borderId="0" xfId="1" applyFont="1" applyBorder="1" applyAlignment="1">
      <alignment horizontal="center"/>
    </xf>
    <xf numFmtId="178" fontId="4" fillId="0" borderId="1" xfId="1" applyNumberFormat="1" applyFont="1" applyBorder="1" applyAlignment="1">
      <alignment horizontal="right"/>
    </xf>
    <xf numFmtId="0" fontId="4" fillId="0" borderId="1" xfId="1" applyFont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4" fillId="0" borderId="2" xfId="1" applyFont="1" applyBorder="1" applyAlignment="1">
      <alignment horizontal="center" vertical="center"/>
    </xf>
    <xf numFmtId="0" fontId="4" fillId="0" borderId="2" xfId="1" applyFont="1" applyBorder="1" applyAlignment="1">
      <alignment horizontal="center"/>
    </xf>
    <xf numFmtId="0" fontId="15" fillId="0" borderId="0" xfId="1" applyFont="1" applyAlignment="1">
      <alignment horizontal="center"/>
    </xf>
  </cellXfs>
  <cellStyles count="7">
    <cellStyle name="백분율 2" xfId="3"/>
    <cellStyle name="쉼표 [0]" xfId="6" builtinId="6"/>
    <cellStyle name="쉼표 [0] 2" xfId="4"/>
    <cellStyle name="통화 [0] 2" xfId="2"/>
    <cellStyle name="표준" xfId="0" builtinId="0"/>
    <cellStyle name="표준 2" xfId="1"/>
    <cellStyle name="표준_분석작업-1" xfId="5"/>
  </cellStyles>
  <dxfs count="2">
    <dxf>
      <font>
        <b/>
        <i val="0"/>
        <condense val="0"/>
        <extend val="0"/>
      </font>
    </dxf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경기 대리점 판매현황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'기타작업-1'!$A$3</c:f>
              <c:strCache>
                <c:ptCount val="1"/>
                <c:pt idx="0">
                  <c:v>프린터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'기타작업-1'!$C$3:$D$3</c:f>
              <c:numCache>
                <c:formatCode>General</c:formatCode>
                <c:ptCount val="2"/>
                <c:pt idx="0">
                  <c:v>9</c:v>
                </c:pt>
                <c:pt idx="1">
                  <c:v>7</c:v>
                </c:pt>
              </c:numCache>
            </c:numRef>
          </c:val>
        </c:ser>
        <c:ser>
          <c:idx val="1"/>
          <c:order val="1"/>
          <c:tx>
            <c:strRef>
              <c:f>'기타작업-1'!$A$4</c:f>
              <c:strCache>
                <c:ptCount val="1"/>
                <c:pt idx="0">
                  <c:v>MP3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'기타작업-1'!$C$4:$D$4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</c:ser>
        <c:ser>
          <c:idx val="2"/>
          <c:order val="2"/>
          <c:tx>
            <c:strRef>
              <c:f>'기타작업-1'!$A$5</c:f>
              <c:strCache>
                <c:ptCount val="1"/>
                <c:pt idx="0">
                  <c:v>카메라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'기타작업-1'!$C$5:$D$5</c:f>
              <c:numCache>
                <c:formatCode>General</c:formatCode>
                <c:ptCount val="2"/>
                <c:pt idx="0">
                  <c:v>11</c:v>
                </c:pt>
                <c:pt idx="1">
                  <c:v>15</c:v>
                </c:pt>
              </c:numCache>
            </c:numRef>
          </c:val>
        </c:ser>
        <c:ser>
          <c:idx val="3"/>
          <c:order val="3"/>
          <c:tx>
            <c:strRef>
              <c:f>'기타작업-1'!$A$6</c:f>
              <c:strCache>
                <c:ptCount val="1"/>
                <c:pt idx="0">
                  <c:v>컴퓨터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'기타작업-1'!$C$6:$D$6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val>
        </c:ser>
        <c:ser>
          <c:idx val="4"/>
          <c:order val="4"/>
          <c:tx>
            <c:strRef>
              <c:f>'기타작업-1'!$A$7</c:f>
              <c:strCache>
                <c:ptCount val="1"/>
                <c:pt idx="0">
                  <c:v>스캐너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'기타작업-1'!$C$7:$D$7</c:f>
              <c:numCache>
                <c:formatCode>General</c:formatCode>
                <c:ptCount val="2"/>
                <c:pt idx="0">
                  <c:v>7</c:v>
                </c:pt>
                <c:pt idx="1">
                  <c:v>20</c:v>
                </c:pt>
              </c:numCache>
            </c:numRef>
          </c:val>
        </c:ser>
        <c:ser>
          <c:idx val="5"/>
          <c:order val="5"/>
          <c:tx>
            <c:strRef>
              <c:f>'기타작업-1'!$A$8</c:f>
              <c:strCache>
                <c:ptCount val="1"/>
                <c:pt idx="0">
                  <c:v>핸드폰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'기타작업-1'!$C$8:$D$8</c:f>
              <c:numCache>
                <c:formatCode>General</c:formatCode>
                <c:ptCount val="2"/>
                <c:pt idx="0">
                  <c:v>17</c:v>
                </c:pt>
                <c:pt idx="1">
                  <c:v>23</c:v>
                </c:pt>
              </c:numCache>
            </c:numRef>
          </c:val>
        </c:ser>
        <c:ser>
          <c:idx val="6"/>
          <c:order val="6"/>
          <c:tx>
            <c:strRef>
              <c:f>'기타작업-1'!$A$9</c:f>
              <c:strCache>
                <c:ptCount val="1"/>
                <c:pt idx="0">
                  <c:v>HDTV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'기타작업-1'!$C$9:$D$9</c:f>
              <c:numCache>
                <c:formatCode>General</c:formatCode>
                <c:ptCount val="2"/>
                <c:pt idx="0">
                  <c:v>12</c:v>
                </c:pt>
                <c:pt idx="1">
                  <c:v>10</c:v>
                </c:pt>
              </c:numCache>
            </c:numRef>
          </c:val>
        </c:ser>
        <c:ser>
          <c:idx val="7"/>
          <c:order val="7"/>
          <c:tx>
            <c:strRef>
              <c:f>'기타작업-1'!$A$10</c:f>
              <c:strCache>
                <c:ptCount val="1"/>
                <c:pt idx="0">
                  <c:v>캠코더</c:v>
                </c:pt>
              </c:strCache>
            </c:strRef>
          </c:tx>
          <c:invertIfNegative val="0"/>
          <c:cat>
            <c:strRef>
              <c:f>'기타작업-1'!$C$2:$D$2</c:f>
              <c:strCache>
                <c:ptCount val="2"/>
                <c:pt idx="0">
                  <c:v>목표량</c:v>
                </c:pt>
                <c:pt idx="1">
                  <c:v>판매량</c:v>
                </c:pt>
              </c:strCache>
            </c:strRef>
          </c:cat>
          <c:val>
            <c:numRef>
              <c:f>'기타작업-1'!$C$10:$D$10</c:f>
              <c:numCache>
                <c:formatCode>General</c:formatCode>
                <c:ptCount val="2"/>
                <c:pt idx="0">
                  <c:v>19</c:v>
                </c:pt>
                <c:pt idx="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648448"/>
        <c:axId val="171684352"/>
      </c:barChart>
      <c:catAx>
        <c:axId val="18064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i="1"/>
                </a:pPr>
                <a:r>
                  <a:rPr lang="ko-KR" altLang="en-US" sz="1100" i="1"/>
                  <a:t>품목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684352"/>
        <c:crosses val="autoZero"/>
        <c:auto val="1"/>
        <c:lblAlgn val="ctr"/>
        <c:lblOffset val="100"/>
        <c:noMultiLvlLbl val="0"/>
      </c:catAx>
      <c:valAx>
        <c:axId val="171684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개수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0648448"/>
        <c:crosses val="autoZero"/>
        <c:crossBetween val="between"/>
        <c:majorUnit val="10"/>
      </c:valAx>
    </c:plotArea>
    <c:legend>
      <c:legendPos val="b"/>
      <c:layout/>
      <c:overlay val="0"/>
      <c:spPr>
        <a:solidFill>
          <a:schemeClr val="bg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workbookViewId="0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0</xdr:row>
      <xdr:rowOff>38101</xdr:rowOff>
    </xdr:from>
    <xdr:to>
      <xdr:col>5</xdr:col>
      <xdr:colOff>447674</xdr:colOff>
      <xdr:row>2</xdr:row>
      <xdr:rowOff>47625</xdr:rowOff>
    </xdr:to>
    <xdr:sp macro="" textlink="" fLocksText="0">
      <xdr:nvSpPr>
        <xdr:cNvPr id="2" name="모서리가 둥근 직사각형 1"/>
        <xdr:cNvSpPr/>
      </xdr:nvSpPr>
      <xdr:spPr>
        <a:xfrm>
          <a:off x="666750" y="38101"/>
          <a:ext cx="3419474" cy="428624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/>
            <a:t>지점별 매출 성과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[0]!부분합" textlink="">
      <xdr:nvSpPr>
        <xdr:cNvPr id="2" name="육각형 1"/>
        <xdr:cNvSpPr/>
      </xdr:nvSpPr>
      <xdr:spPr>
        <a:xfrm>
          <a:off x="4581525" y="466725"/>
          <a:ext cx="2114550" cy="4191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부분합 작성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9525</xdr:rowOff>
        </xdr:from>
        <xdr:to>
          <xdr:col>7</xdr:col>
          <xdr:colOff>152400</xdr:colOff>
          <xdr:row>3</xdr:row>
          <xdr:rowOff>133350</xdr:rowOff>
        </xdr:to>
        <xdr:sp macro="" textlink="">
          <xdr:nvSpPr>
            <xdr:cNvPr id="2049" name="cmd종료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44592;&#48376;&#47784;&#51032;&#44256;&#49324;%2008&#54924;&#51221;&#45813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6.921508217594" createdVersion="4" refreshedVersion="4" minRefreshableVersion="3" recordCount="22">
  <cacheSource type="worksheet">
    <worksheetSource ref="A1:I23" sheet="분석작업-1" r:id="rId2"/>
  </cacheSource>
  <cacheFields count="10">
    <cacheField name="학번" numFmtId="0">
      <sharedItems containsBlank="1" count="32">
        <s v="A-001"/>
        <s v="E-002"/>
        <s v="B-003"/>
        <s v="F-004"/>
        <s v="E-005"/>
        <s v="B-007"/>
        <s v="D-008"/>
        <s v="B-010"/>
        <s v="A-014"/>
        <s v="F-015"/>
        <s v="A-017"/>
        <s v="D-018"/>
        <s v="D-019"/>
        <s v="B-021"/>
        <s v="B-022"/>
        <s v="B-023"/>
        <s v="D-024"/>
        <s v="G-026"/>
        <s v="D-027"/>
        <s v="E-028"/>
        <s v="F-029"/>
        <s v="C-030"/>
        <m u="1"/>
        <s v="I-031" u="1"/>
        <s v="I-009" u="1"/>
        <s v="H-006" u="1"/>
        <s v="I-016" u="1"/>
        <s v="I-025" u="1"/>
        <s v="H-012" u="1"/>
        <s v="H-011" u="1"/>
        <s v="H-020" u="1"/>
        <s v="I-013" u="1"/>
      </sharedItems>
      <fieldGroup par="9"/>
    </cacheField>
    <cacheField name="이름" numFmtId="0">
      <sharedItems count="22">
        <s v="탁구공"/>
        <s v="남이섬"/>
        <s v="최고참"/>
        <s v="이용실"/>
        <s v="김새네"/>
        <s v="서울이"/>
        <s v="조용희"/>
        <s v="강장자"/>
        <s v="박혜영"/>
        <s v="박종기"/>
        <s v="맹지오"/>
        <s v="백윤주"/>
        <s v="남경진"/>
        <s v="박득경"/>
        <s v="박승진"/>
        <s v="김현진"/>
        <s v="장윤하"/>
        <s v="송기화"/>
        <s v="윤석훈"/>
        <s v="이미경"/>
        <s v="윤영근"/>
        <s v="이수안"/>
      </sharedItems>
    </cacheField>
    <cacheField name="학과" numFmtId="0">
      <sharedItems/>
    </cacheField>
    <cacheField name="성별" numFmtId="0">
      <sharedItems count="2">
        <s v="남"/>
        <s v="여"/>
      </sharedItems>
    </cacheField>
    <cacheField name="중간(30%)" numFmtId="0">
      <sharedItems containsSemiMixedTypes="0" containsString="0" containsNumber="1" containsInteger="1" minValue="20" maxValue="30"/>
    </cacheField>
    <cacheField name="기말(40%)" numFmtId="0">
      <sharedItems containsSemiMixedTypes="0" containsString="0" containsNumber="1" containsInteger="1" minValue="24" maxValue="40"/>
    </cacheField>
    <cacheField name="출석(10%)" numFmtId="0">
      <sharedItems containsSemiMixedTypes="0" containsString="0" containsNumber="1" containsInteger="1" minValue="5" maxValue="10"/>
    </cacheField>
    <cacheField name="과제(20%)" numFmtId="0">
      <sharedItems containsSemiMixedTypes="0" containsString="0" containsNumber="1" containsInteger="1" minValue="12" maxValue="20"/>
    </cacheField>
    <cacheField name="총점(100%)" numFmtId="0">
      <sharedItems containsSemiMixedTypes="0" containsString="0" containsNumber="1" containsInteger="1" minValue="69" maxValue="97"/>
    </cacheField>
    <cacheField name="학번2" numFmtId="0" databaseField="0">
      <fieldGroup base="0">
        <discretePr count="32">
          <x v="2"/>
          <x v="5"/>
          <x v="3"/>
          <x v="6"/>
          <x v="5"/>
          <x v="3"/>
          <x v="4"/>
          <x v="3"/>
          <x v="2"/>
          <x v="6"/>
          <x v="2"/>
          <x v="4"/>
          <x v="4"/>
          <x v="3"/>
          <x v="3"/>
          <x v="3"/>
          <x v="4"/>
          <x v="0"/>
          <x v="4"/>
          <x v="5"/>
          <x v="6"/>
          <x v="1"/>
          <x v="9"/>
          <x v="8"/>
          <x v="8"/>
          <x v="7"/>
          <x v="8"/>
          <x v="8"/>
          <x v="7"/>
          <x v="7"/>
          <x v="7"/>
          <x v="8"/>
        </discretePr>
        <groupItems count="10">
          <s v="G-026"/>
          <s v="C-030"/>
          <s v="그룹1"/>
          <s v="그룹2"/>
          <s v="그룹3"/>
          <s v="그룹4"/>
          <s v="그룹5"/>
          <s v="그룹6"/>
          <s v="그룹7"/>
          <m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x v="0"/>
    <x v="0"/>
    <s v="eBusiness과"/>
    <x v="0"/>
    <n v="28"/>
    <n v="38"/>
    <n v="8"/>
    <n v="17"/>
    <n v="91"/>
  </r>
  <r>
    <x v="1"/>
    <x v="1"/>
    <s v="정보관리과"/>
    <x v="0"/>
    <n v="25"/>
    <n v="33"/>
    <n v="5"/>
    <n v="20"/>
    <n v="83"/>
  </r>
  <r>
    <x v="2"/>
    <x v="2"/>
    <s v="전자상거래과"/>
    <x v="0"/>
    <n v="20"/>
    <n v="35"/>
    <n v="9"/>
    <n v="18"/>
    <n v="82"/>
  </r>
  <r>
    <x v="3"/>
    <x v="3"/>
    <s v="전자상거래과"/>
    <x v="1"/>
    <n v="29"/>
    <n v="38"/>
    <n v="10"/>
    <n v="19"/>
    <n v="96"/>
  </r>
  <r>
    <x v="4"/>
    <x v="4"/>
    <s v="eBusiness과"/>
    <x v="1"/>
    <n v="27"/>
    <n v="30"/>
    <n v="8"/>
    <n v="12"/>
    <n v="77"/>
  </r>
  <r>
    <x v="5"/>
    <x v="5"/>
    <s v="전자상거래과"/>
    <x v="1"/>
    <n v="25"/>
    <n v="34"/>
    <n v="8"/>
    <n v="20"/>
    <n v="87"/>
  </r>
  <r>
    <x v="6"/>
    <x v="6"/>
    <s v="eBusiness과"/>
    <x v="1"/>
    <n v="29"/>
    <n v="40"/>
    <n v="10"/>
    <n v="18"/>
    <n v="97"/>
  </r>
  <r>
    <x v="7"/>
    <x v="7"/>
    <s v="정보관리과"/>
    <x v="1"/>
    <n v="25"/>
    <n v="24"/>
    <n v="5"/>
    <n v="15"/>
    <n v="69"/>
  </r>
  <r>
    <x v="8"/>
    <x v="8"/>
    <s v="경영전략과"/>
    <x v="1"/>
    <n v="30"/>
    <n v="40"/>
    <n v="5"/>
    <n v="20"/>
    <n v="95"/>
  </r>
  <r>
    <x v="9"/>
    <x v="9"/>
    <s v="컴퓨터공학과"/>
    <x v="0"/>
    <n v="28"/>
    <n v="40"/>
    <n v="6"/>
    <n v="17"/>
    <n v="91"/>
  </r>
  <r>
    <x v="10"/>
    <x v="10"/>
    <s v="정보관리과"/>
    <x v="0"/>
    <n v="25"/>
    <n v="31"/>
    <n v="9"/>
    <n v="20"/>
    <n v="85"/>
  </r>
  <r>
    <x v="11"/>
    <x v="11"/>
    <s v="eBusiness과"/>
    <x v="1"/>
    <n v="25"/>
    <n v="28"/>
    <n v="6"/>
    <n v="18"/>
    <n v="77"/>
  </r>
  <r>
    <x v="12"/>
    <x v="12"/>
    <s v="컴퓨터공학과"/>
    <x v="0"/>
    <n v="20"/>
    <n v="35"/>
    <n v="6"/>
    <n v="19"/>
    <n v="80"/>
  </r>
  <r>
    <x v="13"/>
    <x v="13"/>
    <s v="eBusiness과"/>
    <x v="0"/>
    <n v="21"/>
    <n v="26"/>
    <n v="9"/>
    <n v="18"/>
    <n v="74"/>
  </r>
  <r>
    <x v="14"/>
    <x v="14"/>
    <s v="경영전략과"/>
    <x v="0"/>
    <n v="20"/>
    <n v="26"/>
    <n v="6"/>
    <n v="17"/>
    <n v="69"/>
  </r>
  <r>
    <x v="15"/>
    <x v="15"/>
    <s v="마케팅사업과"/>
    <x v="1"/>
    <n v="27"/>
    <n v="30"/>
    <n v="5"/>
    <n v="15"/>
    <n v="77"/>
  </r>
  <r>
    <x v="16"/>
    <x v="16"/>
    <s v="마케팅사업과"/>
    <x v="1"/>
    <n v="27"/>
    <n v="40"/>
    <n v="10"/>
    <n v="17"/>
    <n v="94"/>
  </r>
  <r>
    <x v="17"/>
    <x v="17"/>
    <s v="경영전략과"/>
    <x v="1"/>
    <n v="29"/>
    <n v="30"/>
    <n v="8"/>
    <n v="16"/>
    <n v="83"/>
  </r>
  <r>
    <x v="18"/>
    <x v="18"/>
    <s v="컴퓨터공학과"/>
    <x v="0"/>
    <n v="25"/>
    <n v="25"/>
    <n v="9"/>
    <n v="18"/>
    <n v="77"/>
  </r>
  <r>
    <x v="19"/>
    <x v="19"/>
    <s v="정보관리과"/>
    <x v="1"/>
    <n v="21"/>
    <n v="40"/>
    <n v="9"/>
    <n v="20"/>
    <n v="90"/>
  </r>
  <r>
    <x v="20"/>
    <x v="20"/>
    <s v="정보관리과"/>
    <x v="0"/>
    <n v="25"/>
    <n v="37"/>
    <n v="6"/>
    <n v="15"/>
    <n v="83"/>
  </r>
  <r>
    <x v="21"/>
    <x v="21"/>
    <s v="eBusiness과"/>
    <x v="1"/>
    <n v="28"/>
    <n v="29"/>
    <n v="9"/>
    <n v="16"/>
    <n v="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7" dataOnRows="1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>
  <location ref="K3:N27" firstHeaderRow="1" firstDataRow="2" firstDataCol="1" rowPageCount="1" colPageCount="1"/>
  <pivotFields count="10">
    <pivotField axis="axisRow" showAll="0">
      <items count="33">
        <item x="0"/>
        <item x="8"/>
        <item x="10"/>
        <item x="2"/>
        <item x="5"/>
        <item x="7"/>
        <item x="13"/>
        <item x="14"/>
        <item x="15"/>
        <item x="21"/>
        <item x="6"/>
        <item x="11"/>
        <item x="12"/>
        <item x="16"/>
        <item x="18"/>
        <item x="1"/>
        <item x="4"/>
        <item x="19"/>
        <item x="3"/>
        <item x="9"/>
        <item x="20"/>
        <item x="17"/>
        <item m="1" x="25"/>
        <item m="1" x="29"/>
        <item m="1" x="28"/>
        <item m="1" x="30"/>
        <item m="1" x="24"/>
        <item m="1" x="31"/>
        <item m="1" x="26"/>
        <item m="1" x="27"/>
        <item m="1" x="23"/>
        <item m="1" x="22"/>
        <item t="default"/>
      </items>
    </pivotField>
    <pivotField axis="axisPage" showAll="0">
      <items count="23">
        <item x="7"/>
        <item x="4"/>
        <item x="15"/>
        <item x="12"/>
        <item x="1"/>
        <item x="10"/>
        <item x="13"/>
        <item x="14"/>
        <item x="9"/>
        <item x="8"/>
        <item x="11"/>
        <item x="5"/>
        <item x="17"/>
        <item x="18"/>
        <item x="20"/>
        <item x="19"/>
        <item x="21"/>
        <item x="3"/>
        <item x="16"/>
        <item x="6"/>
        <item x="2"/>
        <item x="0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dataField="1" showAll="0"/>
    <pivotField dataField="1" showAll="0"/>
    <pivotField showAll="0"/>
    <pivotField showAll="0"/>
    <pivotField showAll="0"/>
    <pivotField axis="axisRow" showAll="0" defaultSubtotal="0">
      <items count="10">
        <item n="A반" sd="0" x="2"/>
        <item n="B반" sd="0" x="3"/>
        <item n="C반" sd="0" x="1"/>
        <item n="D반" sd="0" x="4"/>
        <item n="E반" sd="0" x="5"/>
        <item n="F반" sd="0" x="6"/>
        <item n="G반" sd="0" x="0"/>
        <item n="H반" sd="0" x="7"/>
        <item n="I반" sd="0" x="8"/>
        <item sd="0" x="9"/>
      </items>
    </pivotField>
  </pivotFields>
  <rowFields count="3">
    <field x="9"/>
    <field x="0"/>
    <field x="-2"/>
  </rowFields>
  <rowItems count="23">
    <i>
      <x/>
    </i>
    <i r="2">
      <x/>
    </i>
    <i r="2" i="1">
      <x v="1"/>
    </i>
    <i>
      <x v="1"/>
    </i>
    <i r="2">
      <x/>
    </i>
    <i r="2" i="1">
      <x v="1"/>
    </i>
    <i>
      <x v="2"/>
    </i>
    <i r="2">
      <x/>
    </i>
    <i r="2" i="1">
      <x v="1"/>
    </i>
    <i>
      <x v="3"/>
    </i>
    <i r="2">
      <x/>
    </i>
    <i r="2" i="1">
      <x v="1"/>
    </i>
    <i>
      <x v="4"/>
    </i>
    <i r="2">
      <x/>
    </i>
    <i r="2" i="1">
      <x v="1"/>
    </i>
    <i>
      <x v="5"/>
    </i>
    <i r="2">
      <x/>
    </i>
    <i r="2" i="1">
      <x v="1"/>
    </i>
    <i>
      <x v="6"/>
    </i>
    <i r="2">
      <x/>
    </i>
    <i r="2" i="1">
      <x v="1"/>
    </i>
    <i t="grand">
      <x/>
    </i>
    <i t="grand" i="1">
      <x/>
    </i>
  </rowItems>
  <colFields count="1">
    <field x="3"/>
  </colFields>
  <colItems count="3">
    <i>
      <x/>
    </i>
    <i>
      <x v="1"/>
    </i>
    <i t="grand">
      <x/>
    </i>
  </colItems>
  <pageFields count="1">
    <pageField fld="1" hier="-1"/>
  </pageFields>
  <dataFields count="2">
    <dataField name="합계 : 중간(30%)" fld="4" showDataAs="percentOfCol" baseField="0" baseItem="0" numFmtId="10"/>
    <dataField name="합계 : 기말(40%)" fld="5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indowProtection="1" tabSelected="1" workbookViewId="0"/>
  </sheetViews>
  <sheetFormatPr defaultRowHeight="16.5"/>
  <cols>
    <col min="1" max="1" width="9.375" customWidth="1"/>
    <col min="2" max="2" width="11" bestFit="1" customWidth="1"/>
    <col min="3" max="3" width="11.25" customWidth="1"/>
    <col min="4" max="4" width="9.375" customWidth="1"/>
    <col min="5" max="5" width="9.375" bestFit="1" customWidth="1"/>
    <col min="6" max="6" width="8.5" customWidth="1"/>
    <col min="7" max="7" width="7.5" customWidth="1"/>
    <col min="8" max="8" width="9.375" customWidth="1"/>
  </cols>
  <sheetData>
    <row r="1" spans="1:8">
      <c r="A1" s="1" t="s">
        <v>0</v>
      </c>
    </row>
    <row r="3" spans="1:8">
      <c r="A3" s="65" t="s">
        <v>275</v>
      </c>
      <c r="B3" s="66" t="s">
        <v>4</v>
      </c>
      <c r="C3" s="66" t="s">
        <v>276</v>
      </c>
      <c r="D3" s="66" t="s">
        <v>277</v>
      </c>
      <c r="E3" s="66" t="s">
        <v>278</v>
      </c>
      <c r="F3" s="66" t="s">
        <v>7</v>
      </c>
      <c r="G3" s="66" t="s">
        <v>8</v>
      </c>
      <c r="H3" s="67" t="s">
        <v>279</v>
      </c>
    </row>
    <row r="4" spans="1:8">
      <c r="A4" s="68" t="s">
        <v>280</v>
      </c>
      <c r="B4" s="69" t="s">
        <v>281</v>
      </c>
      <c r="C4" s="69" t="s">
        <v>282</v>
      </c>
      <c r="D4" s="69">
        <v>0.02</v>
      </c>
      <c r="E4" s="69">
        <v>76000</v>
      </c>
      <c r="F4" s="69">
        <v>760000</v>
      </c>
      <c r="G4" s="69">
        <v>5</v>
      </c>
      <c r="H4" s="70">
        <v>3800000</v>
      </c>
    </row>
    <row r="5" spans="1:8">
      <c r="A5" s="71" t="s">
        <v>283</v>
      </c>
      <c r="B5" s="72" t="s">
        <v>281</v>
      </c>
      <c r="C5" s="72" t="s">
        <v>282</v>
      </c>
      <c r="D5" s="72">
        <v>0.03</v>
      </c>
      <c r="E5" s="72">
        <v>324000</v>
      </c>
      <c r="F5" s="72">
        <v>1200000</v>
      </c>
      <c r="G5" s="72">
        <v>6</v>
      </c>
      <c r="H5" s="73">
        <v>7200000</v>
      </c>
    </row>
    <row r="6" spans="1:8">
      <c r="A6" s="68" t="s">
        <v>284</v>
      </c>
      <c r="B6" s="69" t="s">
        <v>281</v>
      </c>
      <c r="C6" s="69" t="s">
        <v>282</v>
      </c>
      <c r="D6" s="69">
        <v>0.02</v>
      </c>
      <c r="E6" s="69">
        <v>119000</v>
      </c>
      <c r="F6" s="69">
        <v>850000</v>
      </c>
      <c r="G6" s="69">
        <v>7</v>
      </c>
      <c r="H6" s="70">
        <v>5950000</v>
      </c>
    </row>
    <row r="7" spans="1:8">
      <c r="A7" s="71" t="s">
        <v>285</v>
      </c>
      <c r="B7" s="72" t="s">
        <v>281</v>
      </c>
      <c r="C7" s="72" t="s">
        <v>282</v>
      </c>
      <c r="D7" s="72">
        <v>0.02</v>
      </c>
      <c r="E7" s="72">
        <v>137200</v>
      </c>
      <c r="F7" s="72">
        <v>980000</v>
      </c>
      <c r="G7" s="72">
        <v>7</v>
      </c>
      <c r="H7" s="73">
        <v>6860000</v>
      </c>
    </row>
    <row r="8" spans="1:8">
      <c r="A8" s="68" t="s">
        <v>286</v>
      </c>
      <c r="B8" s="69" t="s">
        <v>281</v>
      </c>
      <c r="C8" s="69" t="s">
        <v>282</v>
      </c>
      <c r="D8" s="69">
        <v>0.02</v>
      </c>
      <c r="E8" s="69">
        <v>112000</v>
      </c>
      <c r="F8" s="69">
        <v>800000</v>
      </c>
      <c r="G8" s="69">
        <v>7</v>
      </c>
      <c r="H8" s="70">
        <v>5600000</v>
      </c>
    </row>
    <row r="9" spans="1:8">
      <c r="A9" s="71" t="s">
        <v>287</v>
      </c>
      <c r="B9" s="72" t="s">
        <v>288</v>
      </c>
      <c r="C9" s="72" t="s">
        <v>282</v>
      </c>
      <c r="D9" s="72">
        <v>0.05</v>
      </c>
      <c r="E9" s="72">
        <v>1375000</v>
      </c>
      <c r="F9" s="72">
        <v>1250000</v>
      </c>
      <c r="G9" s="72">
        <v>5</v>
      </c>
      <c r="H9" s="73">
        <v>6250000</v>
      </c>
    </row>
    <row r="10" spans="1:8">
      <c r="A10" s="68" t="s">
        <v>289</v>
      </c>
      <c r="B10" s="69" t="s">
        <v>288</v>
      </c>
      <c r="C10" s="69" t="s">
        <v>282</v>
      </c>
      <c r="D10" s="69">
        <v>0.02</v>
      </c>
      <c r="E10" s="69">
        <v>60000</v>
      </c>
      <c r="F10" s="69">
        <v>500000</v>
      </c>
      <c r="G10" s="69">
        <v>6</v>
      </c>
      <c r="H10" s="70">
        <v>3000000</v>
      </c>
    </row>
    <row r="11" spans="1:8">
      <c r="A11" s="71" t="s">
        <v>290</v>
      </c>
      <c r="B11" s="72" t="s">
        <v>288</v>
      </c>
      <c r="C11" s="72" t="s">
        <v>282</v>
      </c>
      <c r="D11" s="72">
        <v>0.01</v>
      </c>
      <c r="E11" s="72">
        <v>78000</v>
      </c>
      <c r="F11" s="72">
        <v>650000</v>
      </c>
      <c r="G11" s="72">
        <v>12</v>
      </c>
      <c r="H11" s="73">
        <v>7800000</v>
      </c>
    </row>
    <row r="12" spans="1:8">
      <c r="A12" s="68" t="s">
        <v>291</v>
      </c>
      <c r="B12" s="69" t="s">
        <v>292</v>
      </c>
      <c r="C12" s="69" t="s">
        <v>282</v>
      </c>
      <c r="D12" s="69">
        <v>0.02</v>
      </c>
      <c r="E12" s="69">
        <v>108000</v>
      </c>
      <c r="F12" s="69">
        <v>900000</v>
      </c>
      <c r="G12" s="69">
        <v>6</v>
      </c>
      <c r="H12" s="70">
        <v>5400000</v>
      </c>
    </row>
    <row r="13" spans="1:8">
      <c r="A13" s="62" t="s">
        <v>293</v>
      </c>
      <c r="B13" s="63" t="s">
        <v>292</v>
      </c>
      <c r="C13" s="63" t="s">
        <v>282</v>
      </c>
      <c r="D13" s="63">
        <v>0.02</v>
      </c>
      <c r="E13" s="63">
        <v>80000</v>
      </c>
      <c r="F13" s="63">
        <v>800000</v>
      </c>
      <c r="G13" s="63">
        <v>5</v>
      </c>
      <c r="H13" s="64">
        <v>4000000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7"/>
  <sheetViews>
    <sheetView windowProtection="1" workbookViewId="0"/>
  </sheetViews>
  <sheetFormatPr defaultRowHeight="16.5" customHeight="1"/>
  <cols>
    <col min="1" max="1" width="9.75" customWidth="1"/>
    <col min="2" max="2" width="12.875" customWidth="1"/>
    <col min="3" max="3" width="11.75" customWidth="1"/>
    <col min="4" max="4" width="11.375" customWidth="1"/>
    <col min="5" max="5" width="9.75" customWidth="1"/>
    <col min="6" max="6" width="9.625" customWidth="1"/>
    <col min="7" max="7" width="9.875" bestFit="1" customWidth="1"/>
    <col min="8" max="8" width="9.75" customWidth="1"/>
  </cols>
  <sheetData>
    <row r="1" spans="1:8" ht="26.25">
      <c r="A1" s="2" t="s">
        <v>1</v>
      </c>
      <c r="B1" s="86" t="s">
        <v>2</v>
      </c>
      <c r="C1" s="86"/>
      <c r="D1" s="86"/>
      <c r="E1" s="86"/>
      <c r="F1" s="86"/>
      <c r="G1" s="86"/>
      <c r="H1" s="1"/>
    </row>
    <row r="2" spans="1:8" ht="16.5" customHeight="1">
      <c r="A2" s="1"/>
      <c r="B2" s="1"/>
      <c r="C2" s="1"/>
      <c r="D2" s="1"/>
      <c r="E2" s="1"/>
      <c r="F2" s="1"/>
      <c r="G2" s="1"/>
      <c r="H2" s="1"/>
    </row>
    <row r="3" spans="1:8" ht="16.5" customHeight="1">
      <c r="A3" s="3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  <c r="H3" s="3"/>
    </row>
    <row r="4" spans="1:8" ht="16.5" customHeight="1">
      <c r="A4" s="1" t="s">
        <v>10</v>
      </c>
      <c r="B4" s="1" t="s">
        <v>11</v>
      </c>
      <c r="C4" s="1" t="s">
        <v>12</v>
      </c>
      <c r="D4" s="4">
        <v>37716</v>
      </c>
      <c r="E4" s="1">
        <v>18000</v>
      </c>
      <c r="F4" s="1">
        <v>3</v>
      </c>
      <c r="G4" s="5">
        <v>54000</v>
      </c>
      <c r="H4" s="1"/>
    </row>
    <row r="5" spans="1:8" ht="16.5" customHeight="1">
      <c r="A5" s="1" t="s">
        <v>10</v>
      </c>
      <c r="B5" s="1" t="s">
        <v>11</v>
      </c>
      <c r="C5" s="1" t="s">
        <v>12</v>
      </c>
      <c r="D5" s="4">
        <v>37716</v>
      </c>
      <c r="E5" s="1">
        <v>18000</v>
      </c>
      <c r="F5" s="1">
        <v>4</v>
      </c>
      <c r="G5" s="5">
        <v>72000</v>
      </c>
      <c r="H5" s="1"/>
    </row>
    <row r="6" spans="1:8" ht="16.5" customHeight="1">
      <c r="A6" s="1" t="s">
        <v>13</v>
      </c>
      <c r="B6" s="1" t="s">
        <v>14</v>
      </c>
      <c r="C6" s="1" t="s">
        <v>15</v>
      </c>
      <c r="D6" s="4">
        <v>37585</v>
      </c>
      <c r="E6" s="1">
        <v>17000</v>
      </c>
      <c r="F6" s="1">
        <v>10</v>
      </c>
      <c r="G6" s="5">
        <v>170000</v>
      </c>
      <c r="H6" s="1"/>
    </row>
    <row r="7" spans="1:8" ht="16.5" customHeight="1">
      <c r="A7" s="1" t="s">
        <v>13</v>
      </c>
      <c r="B7" s="1" t="s">
        <v>14</v>
      </c>
      <c r="C7" s="1" t="s">
        <v>15</v>
      </c>
      <c r="D7" s="4">
        <v>37585</v>
      </c>
      <c r="E7" s="1">
        <v>17000</v>
      </c>
      <c r="F7" s="1">
        <v>7</v>
      </c>
      <c r="G7" s="5">
        <v>119000</v>
      </c>
      <c r="H7" s="1"/>
    </row>
    <row r="8" spans="1:8" ht="16.5" customHeight="1">
      <c r="A8" s="1" t="s">
        <v>10</v>
      </c>
      <c r="B8" s="1" t="s">
        <v>11</v>
      </c>
      <c r="C8" s="1" t="s">
        <v>12</v>
      </c>
      <c r="D8" s="4">
        <v>37716</v>
      </c>
      <c r="E8" s="1">
        <v>18000</v>
      </c>
      <c r="F8" s="1">
        <v>5</v>
      </c>
      <c r="G8" s="5">
        <v>90000</v>
      </c>
      <c r="H8" s="1"/>
    </row>
    <row r="9" spans="1:8" ht="16.5" customHeight="1">
      <c r="A9" s="1" t="s">
        <v>10</v>
      </c>
      <c r="B9" s="1" t="s">
        <v>11</v>
      </c>
      <c r="C9" s="1" t="s">
        <v>12</v>
      </c>
      <c r="D9" s="4">
        <v>37716</v>
      </c>
      <c r="E9" s="1">
        <v>18000</v>
      </c>
      <c r="F9" s="1">
        <v>5</v>
      </c>
      <c r="G9" s="5">
        <v>90000</v>
      </c>
      <c r="H9" s="1"/>
    </row>
    <row r="10" spans="1:8" ht="16.5" customHeight="1">
      <c r="A10" s="1" t="s">
        <v>10</v>
      </c>
      <c r="B10" s="1" t="s">
        <v>11</v>
      </c>
      <c r="C10" s="1" t="s">
        <v>12</v>
      </c>
      <c r="D10" s="4">
        <v>37716</v>
      </c>
      <c r="E10" s="1">
        <v>18000</v>
      </c>
      <c r="F10" s="1">
        <v>9</v>
      </c>
      <c r="G10" s="5">
        <v>162000</v>
      </c>
      <c r="H10" s="1"/>
    </row>
    <row r="11" spans="1:8" ht="16.5" customHeight="1">
      <c r="A11" s="1" t="s">
        <v>16</v>
      </c>
      <c r="B11" s="1" t="s">
        <v>17</v>
      </c>
      <c r="C11" s="1" t="s">
        <v>12</v>
      </c>
      <c r="D11" s="4">
        <v>37835</v>
      </c>
      <c r="E11" s="1">
        <v>18000</v>
      </c>
      <c r="F11" s="1">
        <v>8</v>
      </c>
      <c r="G11" s="5">
        <v>144000</v>
      </c>
      <c r="H11" s="1"/>
    </row>
    <row r="12" spans="1:8" ht="16.5" customHeight="1">
      <c r="A12" s="1" t="s">
        <v>13</v>
      </c>
      <c r="B12" s="1" t="s">
        <v>14</v>
      </c>
      <c r="C12" s="1" t="s">
        <v>15</v>
      </c>
      <c r="D12" s="4">
        <v>37585</v>
      </c>
      <c r="E12" s="1">
        <v>17000</v>
      </c>
      <c r="F12" s="1">
        <v>4</v>
      </c>
      <c r="G12" s="5">
        <v>68000</v>
      </c>
      <c r="H12" s="1"/>
    </row>
    <row r="13" spans="1:8" ht="16.5" customHeight="1">
      <c r="A13" s="1" t="s">
        <v>13</v>
      </c>
      <c r="B13" s="1" t="s">
        <v>14</v>
      </c>
      <c r="C13" s="1" t="s">
        <v>15</v>
      </c>
      <c r="D13" s="4">
        <v>37585</v>
      </c>
      <c r="E13" s="1">
        <v>17000</v>
      </c>
      <c r="F13" s="1">
        <v>9</v>
      </c>
      <c r="G13" s="5">
        <v>153000</v>
      </c>
      <c r="H13" s="1"/>
    </row>
    <row r="14" spans="1:8" ht="16.5" customHeight="1">
      <c r="A14" s="1" t="s">
        <v>13</v>
      </c>
      <c r="B14" s="1" t="s">
        <v>14</v>
      </c>
      <c r="C14" s="1" t="s">
        <v>15</v>
      </c>
      <c r="D14" s="4">
        <v>37585</v>
      </c>
      <c r="E14" s="1">
        <v>17000</v>
      </c>
      <c r="F14" s="1">
        <v>9</v>
      </c>
      <c r="G14" s="5">
        <v>153000</v>
      </c>
      <c r="H14" s="1"/>
    </row>
    <row r="15" spans="1:8" ht="16.5" customHeight="1">
      <c r="A15" s="1" t="s">
        <v>13</v>
      </c>
      <c r="B15" s="1" t="s">
        <v>14</v>
      </c>
      <c r="C15" s="1" t="s">
        <v>15</v>
      </c>
      <c r="D15" s="4">
        <v>37585</v>
      </c>
      <c r="E15" s="1">
        <v>17000</v>
      </c>
      <c r="F15" s="1">
        <v>5</v>
      </c>
      <c r="G15" s="5">
        <v>85000</v>
      </c>
      <c r="H15" s="1"/>
    </row>
    <row r="16" spans="1:8" ht="16.5" customHeight="1">
      <c r="A16" s="1"/>
      <c r="B16" s="1"/>
      <c r="C16" s="1"/>
      <c r="D16" s="4"/>
      <c r="E16" s="1"/>
      <c r="F16" s="1"/>
      <c r="G16" s="5"/>
      <c r="H16" s="1"/>
    </row>
    <row r="17" spans="1:8" ht="16.5" customHeight="1">
      <c r="A17" s="1"/>
      <c r="B17" s="1"/>
      <c r="C17" s="1"/>
      <c r="D17" s="4"/>
      <c r="E17" s="1"/>
      <c r="F17" s="1"/>
      <c r="G17" s="5"/>
      <c r="H17" s="1"/>
    </row>
    <row r="18" spans="1:8" ht="16.5" customHeight="1">
      <c r="A18" s="1"/>
      <c r="B18" s="1"/>
      <c r="C18" s="1"/>
      <c r="D18" s="4"/>
      <c r="E18" s="1"/>
      <c r="F18" s="1"/>
      <c r="G18" s="5"/>
      <c r="H18" s="1"/>
    </row>
    <row r="19" spans="1:8" ht="16.5" customHeight="1">
      <c r="A19" s="1" t="s">
        <v>18</v>
      </c>
      <c r="B19" s="1"/>
      <c r="C19" s="1"/>
      <c r="D19" s="1"/>
      <c r="E19" s="1"/>
      <c r="F19" s="1"/>
      <c r="G19" s="1"/>
      <c r="H19" s="1"/>
    </row>
    <row r="20" spans="1:8" ht="31.5">
      <c r="A20" s="87" t="s">
        <v>19</v>
      </c>
      <c r="B20" s="87"/>
      <c r="C20" s="87"/>
      <c r="D20" s="87"/>
      <c r="E20" s="87"/>
      <c r="F20" s="87"/>
      <c r="G20" s="87"/>
      <c r="H20" s="87"/>
    </row>
    <row r="21" spans="1:8" ht="16.5" customHeight="1">
      <c r="A21" s="1"/>
      <c r="B21" s="1"/>
      <c r="C21" s="1"/>
      <c r="D21" s="1"/>
      <c r="E21" s="1"/>
      <c r="F21" s="1"/>
      <c r="G21" s="88"/>
      <c r="H21" s="88"/>
    </row>
    <row r="22" spans="1:8" ht="16.5" customHeight="1">
      <c r="A22" s="6" t="s">
        <v>20</v>
      </c>
      <c r="B22" s="6" t="s">
        <v>21</v>
      </c>
      <c r="C22" s="6" t="s">
        <v>22</v>
      </c>
      <c r="D22" s="6" t="s">
        <v>23</v>
      </c>
      <c r="E22" s="6" t="s">
        <v>24</v>
      </c>
      <c r="F22" s="6" t="s">
        <v>25</v>
      </c>
      <c r="G22" s="6" t="s">
        <v>26</v>
      </c>
      <c r="H22" s="6" t="s">
        <v>27</v>
      </c>
    </row>
    <row r="23" spans="1:8" ht="16.5" customHeight="1">
      <c r="A23" s="7" t="s">
        <v>28</v>
      </c>
      <c r="B23" s="8">
        <v>16</v>
      </c>
      <c r="C23" s="8">
        <v>17</v>
      </c>
      <c r="D23" s="8">
        <v>40</v>
      </c>
      <c r="E23" s="8">
        <v>4</v>
      </c>
      <c r="F23" s="78">
        <f t="shared" ref="F23:F31" si="0">SUM(B23:E23)+$C$24</f>
        <v>91</v>
      </c>
      <c r="G23" s="79">
        <f>RANK(C23,$C$23:$C$31)</f>
        <v>3</v>
      </c>
      <c r="H23" s="80" t="str">
        <f t="shared" ref="H23:H31" si="1">IF(D23&gt;=45,"A",IF(D23&gt;=40,"B",IF(D23&gt;=30,"C","D")))</f>
        <v>B</v>
      </c>
    </row>
    <row r="24" spans="1:8" ht="16.5" customHeight="1">
      <c r="A24" s="7" t="s">
        <v>29</v>
      </c>
      <c r="B24" s="8">
        <v>15</v>
      </c>
      <c r="C24" s="8">
        <v>14</v>
      </c>
      <c r="D24" s="8">
        <v>30</v>
      </c>
      <c r="E24" s="8">
        <v>3</v>
      </c>
      <c r="F24" s="78">
        <f t="shared" si="0"/>
        <v>76</v>
      </c>
      <c r="G24" s="79">
        <f t="shared" ref="G24:G31" si="2">RANK(C24,$C$23:$C$31)</f>
        <v>7</v>
      </c>
      <c r="H24" s="80" t="str">
        <f t="shared" si="1"/>
        <v>C</v>
      </c>
    </row>
    <row r="25" spans="1:8" ht="16.5" customHeight="1">
      <c r="A25" s="7" t="s">
        <v>30</v>
      </c>
      <c r="B25" s="8">
        <v>19</v>
      </c>
      <c r="C25" s="8">
        <v>18</v>
      </c>
      <c r="D25" s="8">
        <v>47</v>
      </c>
      <c r="E25" s="8">
        <v>2</v>
      </c>
      <c r="F25" s="78">
        <f t="shared" si="0"/>
        <v>100</v>
      </c>
      <c r="G25" s="79">
        <f t="shared" si="2"/>
        <v>1</v>
      </c>
      <c r="H25" s="80" t="str">
        <f t="shared" si="1"/>
        <v>A</v>
      </c>
    </row>
    <row r="26" spans="1:8" ht="16.5" customHeight="1">
      <c r="A26" s="7" t="s">
        <v>31</v>
      </c>
      <c r="B26" s="8">
        <v>18</v>
      </c>
      <c r="C26" s="8">
        <v>17</v>
      </c>
      <c r="D26" s="8">
        <v>49</v>
      </c>
      <c r="E26" s="8">
        <v>4</v>
      </c>
      <c r="F26" s="78">
        <f t="shared" si="0"/>
        <v>102</v>
      </c>
      <c r="G26" s="79">
        <f t="shared" si="2"/>
        <v>3</v>
      </c>
      <c r="H26" s="80" t="str">
        <f t="shared" si="1"/>
        <v>A</v>
      </c>
    </row>
    <row r="27" spans="1:8" ht="16.5" customHeight="1">
      <c r="A27" s="7" t="s">
        <v>32</v>
      </c>
      <c r="B27" s="8">
        <v>12</v>
      </c>
      <c r="C27" s="8">
        <v>12</v>
      </c>
      <c r="D27" s="8">
        <v>38</v>
      </c>
      <c r="E27" s="8">
        <v>3</v>
      </c>
      <c r="F27" s="78">
        <f t="shared" si="0"/>
        <v>79</v>
      </c>
      <c r="G27" s="79">
        <f t="shared" si="2"/>
        <v>8</v>
      </c>
      <c r="H27" s="80" t="str">
        <f t="shared" si="1"/>
        <v>C</v>
      </c>
    </row>
    <row r="28" spans="1:8" ht="16.5" customHeight="1">
      <c r="A28" s="7" t="s">
        <v>33</v>
      </c>
      <c r="B28" s="8">
        <v>14</v>
      </c>
      <c r="C28" s="8">
        <v>15</v>
      </c>
      <c r="D28" s="8">
        <v>29</v>
      </c>
      <c r="E28" s="8">
        <v>2</v>
      </c>
      <c r="F28" s="78">
        <f t="shared" si="0"/>
        <v>74</v>
      </c>
      <c r="G28" s="79">
        <f t="shared" si="2"/>
        <v>6</v>
      </c>
      <c r="H28" s="80" t="str">
        <f t="shared" si="1"/>
        <v>D</v>
      </c>
    </row>
    <row r="29" spans="1:8" ht="16.5" customHeight="1">
      <c r="A29" s="7" t="s">
        <v>34</v>
      </c>
      <c r="B29" s="8">
        <v>12</v>
      </c>
      <c r="C29" s="8">
        <v>11</v>
      </c>
      <c r="D29" s="8">
        <v>35</v>
      </c>
      <c r="E29" s="8">
        <v>3</v>
      </c>
      <c r="F29" s="78">
        <f t="shared" si="0"/>
        <v>75</v>
      </c>
      <c r="G29" s="79">
        <f t="shared" si="2"/>
        <v>9</v>
      </c>
      <c r="H29" s="80" t="str">
        <f t="shared" si="1"/>
        <v>C</v>
      </c>
    </row>
    <row r="30" spans="1:8" ht="16.5" customHeight="1">
      <c r="A30" s="7" t="s">
        <v>35</v>
      </c>
      <c r="B30" s="8">
        <v>16</v>
      </c>
      <c r="C30" s="8">
        <v>17</v>
      </c>
      <c r="D30" s="8">
        <v>43</v>
      </c>
      <c r="E30" s="8">
        <v>4</v>
      </c>
      <c r="F30" s="78">
        <f t="shared" si="0"/>
        <v>94</v>
      </c>
      <c r="G30" s="79">
        <f t="shared" si="2"/>
        <v>3</v>
      </c>
      <c r="H30" s="80" t="str">
        <f t="shared" si="1"/>
        <v>B</v>
      </c>
    </row>
    <row r="31" spans="1:8" ht="16.5" customHeight="1">
      <c r="A31" s="7" t="s">
        <v>36</v>
      </c>
      <c r="B31" s="8">
        <v>17</v>
      </c>
      <c r="C31" s="8">
        <v>18</v>
      </c>
      <c r="D31" s="8">
        <v>46</v>
      </c>
      <c r="E31" s="8">
        <v>4</v>
      </c>
      <c r="F31" s="78">
        <f t="shared" si="0"/>
        <v>99</v>
      </c>
      <c r="G31" s="79">
        <f t="shared" si="2"/>
        <v>1</v>
      </c>
      <c r="H31" s="80" t="str">
        <f t="shared" si="1"/>
        <v>A</v>
      </c>
    </row>
    <row r="32" spans="1:8" ht="16.5" customHeight="1">
      <c r="A32" s="7" t="s">
        <v>37</v>
      </c>
      <c r="B32" s="10">
        <f>MIN(B23:B31)</f>
        <v>12</v>
      </c>
      <c r="C32" s="10">
        <f>MIN(C23:C31)</f>
        <v>11</v>
      </c>
      <c r="D32" s="10">
        <f>MIN(D23:D31)</f>
        <v>29</v>
      </c>
      <c r="E32" s="10">
        <f>MIN(E23:E31)</f>
        <v>2</v>
      </c>
      <c r="F32" s="11"/>
      <c r="G32" s="11" t="s">
        <v>38</v>
      </c>
      <c r="H32" s="11" t="s">
        <v>38</v>
      </c>
    </row>
    <row r="33" spans="1:8" ht="16.5" customHeight="1">
      <c r="A33" s="7" t="s">
        <v>39</v>
      </c>
      <c r="B33" s="8">
        <f>MAX(B23:B31)</f>
        <v>19</v>
      </c>
      <c r="C33" s="8">
        <f>MAX(C23:C31)</f>
        <v>18</v>
      </c>
      <c r="D33" s="8">
        <f>MAX(D23:D31)</f>
        <v>49</v>
      </c>
      <c r="E33" s="8">
        <f>MAX(E23:E31)</f>
        <v>4</v>
      </c>
      <c r="F33" s="11"/>
      <c r="G33" s="11" t="s">
        <v>38</v>
      </c>
      <c r="H33" s="11" t="s">
        <v>38</v>
      </c>
    </row>
    <row r="34" spans="1:8" ht="16.5" customHeight="1">
      <c r="A34" s="12"/>
      <c r="B34" s="12"/>
      <c r="C34" s="12"/>
      <c r="D34" s="12"/>
      <c r="E34" s="12"/>
      <c r="F34" s="12"/>
      <c r="G34" s="13"/>
      <c r="H34" s="13"/>
    </row>
    <row r="35" spans="1:8" ht="16.5" customHeight="1">
      <c r="A35" s="14" t="s">
        <v>40</v>
      </c>
      <c r="B35" s="15">
        <v>5</v>
      </c>
      <c r="C35" s="16"/>
      <c r="D35" s="17"/>
      <c r="E35" s="18"/>
      <c r="F35" s="12"/>
      <c r="G35" s="12"/>
      <c r="H35" s="12"/>
    </row>
    <row r="38" spans="1:8" ht="16.5" customHeight="1">
      <c r="A38" t="s">
        <v>41</v>
      </c>
      <c r="B38" t="s">
        <v>42</v>
      </c>
    </row>
    <row r="39" spans="1:8" ht="16.5" customHeight="1">
      <c r="A39" t="b">
        <f>F23&gt;AVERAGE($F$23:$F$31)</f>
        <v>1</v>
      </c>
      <c r="B39" t="b">
        <f>D23&gt;AVERAGE($D$23:$D$31)</f>
        <v>1</v>
      </c>
    </row>
    <row r="42" spans="1:8" ht="16.5" customHeight="1">
      <c r="A42" s="6" t="s">
        <v>20</v>
      </c>
      <c r="B42" s="6" t="s">
        <v>21</v>
      </c>
      <c r="C42" s="6" t="s">
        <v>22</v>
      </c>
      <c r="D42" s="6" t="s">
        <v>23</v>
      </c>
      <c r="E42" s="6" t="s">
        <v>24</v>
      </c>
      <c r="F42" s="6" t="s">
        <v>25</v>
      </c>
      <c r="G42" s="6" t="s">
        <v>26</v>
      </c>
      <c r="H42" s="6" t="s">
        <v>27</v>
      </c>
    </row>
    <row r="43" spans="1:8" ht="16.5" customHeight="1">
      <c r="A43" s="7" t="s">
        <v>28</v>
      </c>
      <c r="B43" s="8">
        <v>16</v>
      </c>
      <c r="C43" s="8">
        <v>17</v>
      </c>
      <c r="D43" s="8">
        <v>40</v>
      </c>
      <c r="E43" s="8">
        <v>4</v>
      </c>
      <c r="F43" s="8">
        <v>91</v>
      </c>
      <c r="G43" s="7">
        <v>3</v>
      </c>
      <c r="H43" s="9" t="s">
        <v>43</v>
      </c>
    </row>
    <row r="44" spans="1:8" ht="16.5" customHeight="1">
      <c r="A44" s="7" t="s">
        <v>30</v>
      </c>
      <c r="B44" s="8">
        <v>19</v>
      </c>
      <c r="C44" s="8">
        <v>18</v>
      </c>
      <c r="D44" s="8">
        <v>47</v>
      </c>
      <c r="E44" s="8">
        <v>2</v>
      </c>
      <c r="F44" s="8">
        <v>100</v>
      </c>
      <c r="G44" s="7">
        <v>1</v>
      </c>
      <c r="H44" s="9" t="s">
        <v>44</v>
      </c>
    </row>
    <row r="45" spans="1:8" ht="16.5" customHeight="1">
      <c r="A45" s="7" t="s">
        <v>31</v>
      </c>
      <c r="B45" s="8">
        <v>18</v>
      </c>
      <c r="C45" s="8">
        <v>17</v>
      </c>
      <c r="D45" s="8">
        <v>49</v>
      </c>
      <c r="E45" s="8">
        <v>4</v>
      </c>
      <c r="F45" s="8">
        <v>102</v>
      </c>
      <c r="G45" s="7">
        <v>3</v>
      </c>
      <c r="H45" s="9" t="s">
        <v>44</v>
      </c>
    </row>
    <row r="46" spans="1:8" ht="16.5" customHeight="1">
      <c r="A46" s="7" t="s">
        <v>35</v>
      </c>
      <c r="B46" s="8">
        <v>16</v>
      </c>
      <c r="C46" s="8">
        <v>17</v>
      </c>
      <c r="D46" s="8">
        <v>43</v>
      </c>
      <c r="E46" s="8">
        <v>4</v>
      </c>
      <c r="F46" s="8">
        <v>94</v>
      </c>
      <c r="G46" s="7">
        <v>3</v>
      </c>
      <c r="H46" s="9" t="s">
        <v>43</v>
      </c>
    </row>
    <row r="47" spans="1:8" ht="16.5" customHeight="1">
      <c r="A47" s="7" t="s">
        <v>36</v>
      </c>
      <c r="B47" s="8">
        <v>17</v>
      </c>
      <c r="C47" s="8">
        <v>18</v>
      </c>
      <c r="D47" s="8">
        <v>46</v>
      </c>
      <c r="E47" s="8">
        <v>4</v>
      </c>
      <c r="F47" s="8">
        <v>99</v>
      </c>
      <c r="G47" s="7">
        <v>1</v>
      </c>
      <c r="H47" s="9" t="s">
        <v>44</v>
      </c>
    </row>
  </sheetData>
  <mergeCells count="3">
    <mergeCell ref="B1:G1"/>
    <mergeCell ref="A20:H20"/>
    <mergeCell ref="G21:H21"/>
  </mergeCells>
  <phoneticPr fontId="5" type="noConversion"/>
  <conditionalFormatting sqref="A4:G15">
    <cfRule type="expression" dxfId="1" priority="1">
      <formula>OR(LEFT($A4,1)="C",LEFT($A4,1)="D",$G4&gt;=AVERAGE($G$4:$G$15))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F11"/>
  <sheetViews>
    <sheetView windowProtection="1" workbookViewId="0"/>
  </sheetViews>
  <sheetFormatPr defaultRowHeight="16.5"/>
  <cols>
    <col min="1" max="1" width="3.25" customWidth="1"/>
    <col min="2" max="6" width="11.125" customWidth="1"/>
  </cols>
  <sheetData>
    <row r="4" spans="2:6">
      <c r="B4" s="81" t="s">
        <v>309</v>
      </c>
      <c r="C4" s="81" t="s">
        <v>310</v>
      </c>
      <c r="D4" s="81" t="s">
        <v>311</v>
      </c>
      <c r="E4" s="81" t="s">
        <v>312</v>
      </c>
      <c r="F4" s="82" t="s">
        <v>313</v>
      </c>
    </row>
    <row r="5" spans="2:6">
      <c r="B5" s="81" t="s">
        <v>314</v>
      </c>
      <c r="C5" s="83">
        <v>1137</v>
      </c>
      <c r="D5" s="83">
        <v>823</v>
      </c>
      <c r="E5" s="84">
        <f>C5-D5</f>
        <v>314</v>
      </c>
      <c r="F5" s="85" t="str">
        <f>IF(OR(LEFT(B5,1)="S",LEFT(B5,1)="K"),"수도권",IF(OR(LEFT(B5,1)="D",LEFT(B5,1)="B"),"경상도","전라도"))</f>
        <v>수도권</v>
      </c>
    </row>
    <row r="6" spans="2:6">
      <c r="B6" s="81" t="s">
        <v>315</v>
      </c>
      <c r="C6" s="83">
        <v>1027</v>
      </c>
      <c r="D6" s="83">
        <v>720</v>
      </c>
      <c r="E6" s="84">
        <f t="shared" ref="E6:E11" si="0">C6-D6</f>
        <v>307</v>
      </c>
      <c r="F6" s="85" t="str">
        <f t="shared" ref="F6:F11" si="1">IF(OR(LEFT(B6,1)="S",LEFT(B6,1)="K"),"수도권",IF(OR(LEFT(B6,1)="D",LEFT(B6,1)="B"),"경상도","전라도"))</f>
        <v>경상도</v>
      </c>
    </row>
    <row r="7" spans="2:6">
      <c r="B7" s="81" t="s">
        <v>316</v>
      </c>
      <c r="C7" s="83">
        <v>923</v>
      </c>
      <c r="D7" s="83">
        <v>792</v>
      </c>
      <c r="E7" s="84">
        <f t="shared" si="0"/>
        <v>131</v>
      </c>
      <c r="F7" s="85" t="str">
        <f t="shared" si="1"/>
        <v>전라도</v>
      </c>
    </row>
    <row r="8" spans="2:6">
      <c r="B8" s="81" t="s">
        <v>317</v>
      </c>
      <c r="C8" s="83">
        <v>1278</v>
      </c>
      <c r="D8" s="83">
        <v>879</v>
      </c>
      <c r="E8" s="84">
        <f t="shared" si="0"/>
        <v>399</v>
      </c>
      <c r="F8" s="85" t="str">
        <f t="shared" si="1"/>
        <v>경상도</v>
      </c>
    </row>
    <row r="9" spans="2:6">
      <c r="B9" s="81" t="s">
        <v>318</v>
      </c>
      <c r="C9" s="83">
        <v>1087</v>
      </c>
      <c r="D9" s="83">
        <v>811</v>
      </c>
      <c r="E9" s="84">
        <f t="shared" si="0"/>
        <v>276</v>
      </c>
      <c r="F9" s="85" t="str">
        <f t="shared" si="1"/>
        <v>수도권</v>
      </c>
    </row>
    <row r="10" spans="2:6">
      <c r="B10" s="81" t="s">
        <v>319</v>
      </c>
      <c r="C10" s="83">
        <v>987</v>
      </c>
      <c r="D10" s="83">
        <v>823</v>
      </c>
      <c r="E10" s="84">
        <f t="shared" si="0"/>
        <v>164</v>
      </c>
      <c r="F10" s="85" t="str">
        <f t="shared" si="1"/>
        <v>수도권</v>
      </c>
    </row>
    <row r="11" spans="2:6">
      <c r="B11" s="81" t="s">
        <v>320</v>
      </c>
      <c r="C11" s="83">
        <v>1234</v>
      </c>
      <c r="D11" s="83">
        <v>983</v>
      </c>
      <c r="E11" s="84">
        <f t="shared" si="0"/>
        <v>251</v>
      </c>
      <c r="F11" s="85" t="str">
        <f t="shared" si="1"/>
        <v>경상도</v>
      </c>
    </row>
  </sheetData>
  <sheetProtection sheet="1" objects="1" scenarios="1"/>
  <phoneticPr fontId="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62"/>
  <sheetViews>
    <sheetView windowProtection="1" workbookViewId="0"/>
  </sheetViews>
  <sheetFormatPr defaultRowHeight="16.5"/>
  <cols>
    <col min="1" max="1" width="10.5" style="1" customWidth="1"/>
    <col min="2" max="2" width="12.25" style="1" bestFit="1" customWidth="1"/>
    <col min="3" max="3" width="21.375" style="1" bestFit="1" customWidth="1"/>
    <col min="4" max="4" width="14.25" style="1" customWidth="1"/>
    <col min="5" max="5" width="12.875" style="1" bestFit="1" customWidth="1"/>
    <col min="6" max="6" width="10.375" style="1" bestFit="1" customWidth="1"/>
    <col min="7" max="7" width="11.125" style="1" bestFit="1" customWidth="1"/>
    <col min="8" max="8" width="12.875" style="1" customWidth="1"/>
    <col min="9" max="9" width="14" style="1" bestFit="1" customWidth="1"/>
    <col min="10" max="10" width="8.625" style="1" bestFit="1" customWidth="1"/>
    <col min="11" max="16384" width="9" style="1"/>
  </cols>
  <sheetData>
    <row r="1" spans="1:8">
      <c r="A1" s="1" t="s">
        <v>45</v>
      </c>
    </row>
    <row r="2" spans="1:8">
      <c r="A2" s="19" t="s">
        <v>46</v>
      </c>
      <c r="B2" s="20">
        <v>2015</v>
      </c>
      <c r="C2" s="20">
        <v>2016</v>
      </c>
    </row>
    <row r="3" spans="1:8">
      <c r="A3" s="21" t="s">
        <v>47</v>
      </c>
      <c r="B3" s="22">
        <f t="array" ref="B3">AVERAGE(IF(($F$10:$F$25=$A3)*(YEAR($D$10:$D$25)=B$2),$G$10:$G$25))</f>
        <v>500</v>
      </c>
      <c r="C3" s="22">
        <f t="array" ref="C3">AVERAGE(IF(($F$10:$F$25=$A3)*(YEAR($D$10:$D$25)=C$2),$G$10:$G$25))</f>
        <v>2000</v>
      </c>
    </row>
    <row r="4" spans="1:8">
      <c r="A4" s="21" t="s">
        <v>48</v>
      </c>
      <c r="B4" s="22">
        <f t="array" ref="B4">AVERAGE(IF(($F$10:$F$25=$A4)*(YEAR($D$10:$D$25)=B$2),$G$10:$G$25))</f>
        <v>750</v>
      </c>
      <c r="C4" s="22">
        <f t="array" ref="C4">AVERAGE(IF(($F$10:$F$25=$A4)*(YEAR($D$10:$D$25)=C$2),$G$10:$G$25))</f>
        <v>750</v>
      </c>
    </row>
    <row r="5" spans="1:8">
      <c r="A5" s="21" t="s">
        <v>49</v>
      </c>
      <c r="B5" s="22">
        <f t="array" ref="B5">AVERAGE(IF(($F$10:$F$25=$A5)*(YEAR($D$10:$D$25)=B$2),$G$10:$G$25))</f>
        <v>1000</v>
      </c>
      <c r="C5" s="22">
        <f t="array" ref="C5">AVERAGE(IF(($F$10:$F$25=$A5)*(YEAR($D$10:$D$25)=C$2),$G$10:$G$25))</f>
        <v>1000</v>
      </c>
    </row>
    <row r="6" spans="1:8">
      <c r="A6" s="21" t="s">
        <v>50</v>
      </c>
      <c r="B6" s="22">
        <f t="array" ref="B6">AVERAGE(IF(($F$10:$F$25=$A6)*(YEAR($D$10:$D$25)=B$2),$G$10:$G$25))</f>
        <v>1833.3333333333333</v>
      </c>
      <c r="C6" s="22">
        <f t="array" ref="C6">AVERAGE(IF(($F$10:$F$25=$A6)*(YEAR($D$10:$D$25)=C$2),$G$10:$G$25))</f>
        <v>1500</v>
      </c>
    </row>
    <row r="8" spans="1:8">
      <c r="A8" s="1" t="s">
        <v>51</v>
      </c>
    </row>
    <row r="9" spans="1:8">
      <c r="A9" s="19" t="s">
        <v>52</v>
      </c>
      <c r="B9" s="20" t="s">
        <v>53</v>
      </c>
      <c r="C9" s="19" t="s">
        <v>54</v>
      </c>
      <c r="D9" s="19" t="s">
        <v>55</v>
      </c>
      <c r="E9" s="19" t="s">
        <v>56</v>
      </c>
      <c r="F9" s="19" t="s">
        <v>46</v>
      </c>
      <c r="G9" s="19" t="s">
        <v>57</v>
      </c>
      <c r="H9" s="20" t="s">
        <v>58</v>
      </c>
    </row>
    <row r="10" spans="1:8">
      <c r="A10" s="21" t="s">
        <v>59</v>
      </c>
      <c r="B10" s="21" t="str">
        <f>TEXT(RIGHT(A10,LEN(A10)-4),"00")</f>
        <v>02</v>
      </c>
      <c r="C10" s="21" t="s">
        <v>60</v>
      </c>
      <c r="D10" s="23">
        <v>42153</v>
      </c>
      <c r="E10" s="22">
        <v>25300</v>
      </c>
      <c r="F10" s="21" t="s">
        <v>49</v>
      </c>
      <c r="G10" s="22">
        <v>1000</v>
      </c>
      <c r="H10" s="21" t="str">
        <f>won원가대여횟수(E10,G10)</f>
        <v>★★</v>
      </c>
    </row>
    <row r="11" spans="1:8">
      <c r="A11" s="21" t="s">
        <v>61</v>
      </c>
      <c r="B11" s="21" t="str">
        <f t="shared" ref="B11:B25" si="0">TEXT(RIGHT(A11,LEN(A11)-4),"00")</f>
        <v>01</v>
      </c>
      <c r="C11" s="21" t="s">
        <v>62</v>
      </c>
      <c r="D11" s="23">
        <v>42150</v>
      </c>
      <c r="E11" s="22">
        <v>25000</v>
      </c>
      <c r="F11" s="21" t="s">
        <v>50</v>
      </c>
      <c r="G11" s="22">
        <v>2000</v>
      </c>
      <c r="H11" s="21" t="str">
        <f t="shared" ref="H11:H25" si="1">won원가대여횟수(E11,G11)</f>
        <v>★</v>
      </c>
    </row>
    <row r="12" spans="1:8">
      <c r="A12" s="21" t="s">
        <v>63</v>
      </c>
      <c r="B12" s="21" t="str">
        <f t="shared" si="0"/>
        <v>16</v>
      </c>
      <c r="C12" s="21" t="s">
        <v>64</v>
      </c>
      <c r="D12" s="23">
        <v>42544</v>
      </c>
      <c r="E12" s="22">
        <v>27500</v>
      </c>
      <c r="F12" s="21" t="s">
        <v>50</v>
      </c>
      <c r="G12" s="22">
        <v>1500</v>
      </c>
      <c r="H12" s="21" t="str">
        <f t="shared" si="1"/>
        <v>★</v>
      </c>
    </row>
    <row r="13" spans="1:8">
      <c r="A13" s="21" t="s">
        <v>65</v>
      </c>
      <c r="B13" s="21" t="str">
        <f t="shared" si="0"/>
        <v>19</v>
      </c>
      <c r="C13" s="21" t="s">
        <v>66</v>
      </c>
      <c r="D13" s="23">
        <v>42592</v>
      </c>
      <c r="E13" s="22">
        <v>25300</v>
      </c>
      <c r="F13" s="21" t="s">
        <v>50</v>
      </c>
      <c r="G13" s="22">
        <v>1500</v>
      </c>
      <c r="H13" s="21" t="str">
        <f t="shared" si="1"/>
        <v>★</v>
      </c>
    </row>
    <row r="14" spans="1:8">
      <c r="A14" s="21" t="s">
        <v>67</v>
      </c>
      <c r="B14" s="21" t="str">
        <f t="shared" si="0"/>
        <v>13</v>
      </c>
      <c r="C14" s="21" t="s">
        <v>68</v>
      </c>
      <c r="D14" s="23">
        <v>42448</v>
      </c>
      <c r="E14" s="22">
        <v>25300</v>
      </c>
      <c r="F14" s="21" t="s">
        <v>48</v>
      </c>
      <c r="G14" s="22">
        <v>500</v>
      </c>
      <c r="H14" s="21" t="str">
        <f t="shared" si="1"/>
        <v>★★★★★</v>
      </c>
    </row>
    <row r="15" spans="1:8">
      <c r="A15" s="21" t="s">
        <v>69</v>
      </c>
      <c r="B15" s="21" t="str">
        <f t="shared" si="0"/>
        <v>04</v>
      </c>
      <c r="C15" s="21" t="s">
        <v>70</v>
      </c>
      <c r="D15" s="23">
        <v>42159</v>
      </c>
      <c r="E15" s="22">
        <v>23000</v>
      </c>
      <c r="F15" s="21" t="s">
        <v>48</v>
      </c>
      <c r="G15" s="22">
        <v>1000</v>
      </c>
      <c r="H15" s="21" t="str">
        <f t="shared" si="1"/>
        <v>★★</v>
      </c>
    </row>
    <row r="16" spans="1:8">
      <c r="A16" s="21" t="s">
        <v>71</v>
      </c>
      <c r="B16" s="21" t="str">
        <f t="shared" si="0"/>
        <v>12</v>
      </c>
      <c r="C16" s="21" t="s">
        <v>72</v>
      </c>
      <c r="D16" s="23">
        <v>42432</v>
      </c>
      <c r="E16" s="22">
        <v>38000</v>
      </c>
      <c r="F16" s="21" t="s">
        <v>47</v>
      </c>
      <c r="G16" s="22">
        <v>3000</v>
      </c>
      <c r="H16" s="21" t="str">
        <f t="shared" si="1"/>
        <v>★</v>
      </c>
    </row>
    <row r="17" spans="1:8">
      <c r="A17" s="21" t="s">
        <v>73</v>
      </c>
      <c r="B17" s="21" t="str">
        <f t="shared" si="0"/>
        <v>17</v>
      </c>
      <c r="C17" s="21" t="s">
        <v>74</v>
      </c>
      <c r="D17" s="23">
        <v>42560</v>
      </c>
      <c r="E17" s="22">
        <v>19980</v>
      </c>
      <c r="F17" s="21" t="s">
        <v>49</v>
      </c>
      <c r="G17" s="22">
        <v>1000</v>
      </c>
      <c r="H17" s="21" t="str">
        <f t="shared" si="1"/>
        <v>★</v>
      </c>
    </row>
    <row r="18" spans="1:8">
      <c r="A18" s="21" t="s">
        <v>75</v>
      </c>
      <c r="B18" s="21" t="str">
        <f t="shared" si="0"/>
        <v>14</v>
      </c>
      <c r="C18" s="21" t="s">
        <v>76</v>
      </c>
      <c r="D18" s="23">
        <v>42464</v>
      </c>
      <c r="E18" s="22">
        <v>16500</v>
      </c>
      <c r="F18" s="21" t="s">
        <v>49</v>
      </c>
      <c r="G18" s="22">
        <v>1000</v>
      </c>
      <c r="H18" s="21" t="str">
        <f t="shared" si="1"/>
        <v>★</v>
      </c>
    </row>
    <row r="19" spans="1:8">
      <c r="A19" s="21" t="s">
        <v>77</v>
      </c>
      <c r="B19" s="21" t="str">
        <f t="shared" si="0"/>
        <v>20</v>
      </c>
      <c r="C19" s="21" t="s">
        <v>78</v>
      </c>
      <c r="D19" s="23">
        <v>42608</v>
      </c>
      <c r="E19" s="22">
        <v>25300</v>
      </c>
      <c r="F19" s="21" t="s">
        <v>49</v>
      </c>
      <c r="G19" s="22">
        <v>1000</v>
      </c>
      <c r="H19" s="21" t="str">
        <f t="shared" si="1"/>
        <v>★★</v>
      </c>
    </row>
    <row r="20" spans="1:8">
      <c r="A20" s="21" t="s">
        <v>79</v>
      </c>
      <c r="B20" s="21" t="str">
        <f t="shared" si="0"/>
        <v>18</v>
      </c>
      <c r="C20" s="21" t="s">
        <v>80</v>
      </c>
      <c r="D20" s="23">
        <v>42576</v>
      </c>
      <c r="E20" s="22">
        <v>25000</v>
      </c>
      <c r="F20" s="21" t="s">
        <v>48</v>
      </c>
      <c r="G20" s="22">
        <v>1000</v>
      </c>
      <c r="H20" s="21" t="str">
        <f t="shared" si="1"/>
        <v>★★</v>
      </c>
    </row>
    <row r="21" spans="1:8">
      <c r="A21" s="21" t="s">
        <v>81</v>
      </c>
      <c r="B21" s="21" t="str">
        <f t="shared" si="0"/>
        <v>08</v>
      </c>
      <c r="C21" s="21" t="s">
        <v>82</v>
      </c>
      <c r="D21" s="23">
        <v>42265</v>
      </c>
      <c r="E21" s="22">
        <v>22000</v>
      </c>
      <c r="F21" s="21" t="s">
        <v>47</v>
      </c>
      <c r="G21" s="22">
        <v>500</v>
      </c>
      <c r="H21" s="21" t="str">
        <f t="shared" si="1"/>
        <v>★★★★</v>
      </c>
    </row>
    <row r="22" spans="1:8">
      <c r="A22" s="21" t="s">
        <v>83</v>
      </c>
      <c r="B22" s="21" t="str">
        <f t="shared" si="0"/>
        <v>15</v>
      </c>
      <c r="C22" s="21" t="s">
        <v>84</v>
      </c>
      <c r="D22" s="23">
        <v>42480</v>
      </c>
      <c r="E22" s="22">
        <v>19800</v>
      </c>
      <c r="F22" s="21" t="s">
        <v>47</v>
      </c>
      <c r="G22" s="22">
        <v>1000</v>
      </c>
      <c r="H22" s="21" t="str">
        <f t="shared" si="1"/>
        <v>★</v>
      </c>
    </row>
    <row r="23" spans="1:8">
      <c r="A23" s="21" t="s">
        <v>85</v>
      </c>
      <c r="B23" s="21" t="str">
        <f t="shared" si="0"/>
        <v>06</v>
      </c>
      <c r="C23" s="21" t="s">
        <v>86</v>
      </c>
      <c r="D23" s="23">
        <v>42190</v>
      </c>
      <c r="E23" s="22">
        <v>25300</v>
      </c>
      <c r="F23" s="21" t="s">
        <v>50</v>
      </c>
      <c r="G23" s="22">
        <v>1500</v>
      </c>
      <c r="H23" s="21" t="str">
        <f t="shared" si="1"/>
        <v>★</v>
      </c>
    </row>
    <row r="24" spans="1:8">
      <c r="A24" s="21" t="s">
        <v>87</v>
      </c>
      <c r="B24" s="21" t="str">
        <f t="shared" si="0"/>
        <v>10</v>
      </c>
      <c r="C24" s="21" t="s">
        <v>88</v>
      </c>
      <c r="D24" s="23">
        <v>42315</v>
      </c>
      <c r="E24" s="22">
        <v>25000</v>
      </c>
      <c r="F24" s="21" t="s">
        <v>48</v>
      </c>
      <c r="G24" s="22">
        <v>500</v>
      </c>
      <c r="H24" s="21" t="str">
        <f t="shared" si="1"/>
        <v>★★★★★</v>
      </c>
    </row>
    <row r="25" spans="1:8">
      <c r="A25" s="21" t="s">
        <v>89</v>
      </c>
      <c r="B25" s="21" t="str">
        <f t="shared" si="0"/>
        <v>21</v>
      </c>
      <c r="C25" s="21" t="s">
        <v>90</v>
      </c>
      <c r="D25" s="23">
        <v>42149</v>
      </c>
      <c r="E25" s="22">
        <v>27000</v>
      </c>
      <c r="F25" s="21" t="s">
        <v>91</v>
      </c>
      <c r="G25" s="22">
        <v>2000</v>
      </c>
      <c r="H25" s="21" t="str">
        <f t="shared" si="1"/>
        <v>★</v>
      </c>
    </row>
    <row r="27" spans="1:8">
      <c r="A27" s="12" t="s">
        <v>92</v>
      </c>
      <c r="B27" s="89" t="s">
        <v>93</v>
      </c>
      <c r="C27" s="89"/>
      <c r="D27" s="89"/>
      <c r="E27" s="89"/>
    </row>
    <row r="28" spans="1:8">
      <c r="A28" s="19" t="s">
        <v>94</v>
      </c>
      <c r="B28" s="19" t="s">
        <v>95</v>
      </c>
      <c r="C28" s="20" t="s">
        <v>96</v>
      </c>
      <c r="D28" s="19" t="s">
        <v>97</v>
      </c>
      <c r="E28" s="20" t="s">
        <v>98</v>
      </c>
      <c r="F28" s="24"/>
      <c r="G28" s="90" t="s">
        <v>99</v>
      </c>
      <c r="H28" s="90"/>
    </row>
    <row r="29" spans="1:8">
      <c r="A29" s="19" t="s">
        <v>100</v>
      </c>
      <c r="B29" s="25">
        <v>520</v>
      </c>
      <c r="C29" s="26">
        <f>B29*HLOOKUP(A29,$H$35:$J$37,2,FALSE)</f>
        <v>540800</v>
      </c>
      <c r="D29" s="25">
        <v>53</v>
      </c>
      <c r="E29" s="25">
        <f>D29*HLOOKUP(A29,$H$35:$J$37,3,FALSE)</f>
        <v>74730</v>
      </c>
      <c r="G29" s="91" t="str">
        <f>LOOKUP(LARGE(D29:D37,3),D29:D37,A29:A37)</f>
        <v>라거</v>
      </c>
      <c r="H29" s="91"/>
    </row>
    <row r="30" spans="1:8">
      <c r="A30" s="19" t="s">
        <v>101</v>
      </c>
      <c r="B30" s="25">
        <v>35</v>
      </c>
      <c r="C30" s="26">
        <f t="shared" ref="C30:C37" si="2">B30*HLOOKUP(A30,$H$35:$J$37,2,FALSE)</f>
        <v>36750</v>
      </c>
      <c r="D30" s="25">
        <v>95</v>
      </c>
      <c r="E30" s="25">
        <f t="shared" ref="E30:E37" si="3">D30*HLOOKUP(A30,$H$35:$J$37,3,FALSE)</f>
        <v>134900</v>
      </c>
      <c r="G30" s="90" t="s">
        <v>102</v>
      </c>
      <c r="H30" s="90"/>
    </row>
    <row r="31" spans="1:8">
      <c r="A31" s="19" t="s">
        <v>101</v>
      </c>
      <c r="B31" s="25">
        <v>354</v>
      </c>
      <c r="C31" s="26">
        <f t="shared" si="2"/>
        <v>371700</v>
      </c>
      <c r="D31" s="25">
        <v>153</v>
      </c>
      <c r="E31" s="25">
        <f t="shared" si="3"/>
        <v>217260</v>
      </c>
      <c r="G31" s="92" t="str">
        <f>LOOKUP(SMALL(D29:D37,2),D29:D37,A29:A37)</f>
        <v>하이트</v>
      </c>
      <c r="H31" s="92"/>
    </row>
    <row r="32" spans="1:8">
      <c r="A32" s="19" t="s">
        <v>103</v>
      </c>
      <c r="B32" s="25">
        <v>530</v>
      </c>
      <c r="C32" s="26">
        <f t="shared" si="2"/>
        <v>583000</v>
      </c>
      <c r="D32" s="25">
        <v>321</v>
      </c>
      <c r="E32" s="25">
        <f t="shared" si="3"/>
        <v>478290</v>
      </c>
    </row>
    <row r="33" spans="1:12">
      <c r="A33" s="19" t="s">
        <v>103</v>
      </c>
      <c r="B33" s="25">
        <v>95</v>
      </c>
      <c r="C33" s="26">
        <f t="shared" si="2"/>
        <v>104500</v>
      </c>
      <c r="D33" s="25">
        <v>452</v>
      </c>
      <c r="E33" s="25">
        <f t="shared" si="3"/>
        <v>673480</v>
      </c>
    </row>
    <row r="34" spans="1:12">
      <c r="A34" s="19" t="s">
        <v>103</v>
      </c>
      <c r="B34" s="25">
        <v>650</v>
      </c>
      <c r="C34" s="26">
        <f t="shared" si="2"/>
        <v>715000</v>
      </c>
      <c r="D34" s="25">
        <v>456</v>
      </c>
      <c r="E34" s="25">
        <f t="shared" si="3"/>
        <v>679440</v>
      </c>
      <c r="G34" s="27" t="s">
        <v>104</v>
      </c>
      <c r="H34" s="27"/>
      <c r="I34" s="27"/>
    </row>
    <row r="35" spans="1:12">
      <c r="A35" s="19" t="s">
        <v>100</v>
      </c>
      <c r="B35" s="25">
        <v>20</v>
      </c>
      <c r="C35" s="26">
        <f t="shared" si="2"/>
        <v>20800</v>
      </c>
      <c r="D35" s="25">
        <v>523</v>
      </c>
      <c r="E35" s="25">
        <f t="shared" si="3"/>
        <v>737430</v>
      </c>
      <c r="G35" s="19" t="s">
        <v>94</v>
      </c>
      <c r="H35" s="19" t="s">
        <v>101</v>
      </c>
      <c r="I35" s="19" t="s">
        <v>103</v>
      </c>
      <c r="J35" s="19" t="s">
        <v>100</v>
      </c>
    </row>
    <row r="36" spans="1:12">
      <c r="A36" s="19" t="s">
        <v>100</v>
      </c>
      <c r="B36" s="25">
        <v>253</v>
      </c>
      <c r="C36" s="26">
        <f t="shared" si="2"/>
        <v>263120</v>
      </c>
      <c r="D36" s="25">
        <v>650</v>
      </c>
      <c r="E36" s="25">
        <f t="shared" si="3"/>
        <v>916500</v>
      </c>
      <c r="G36" s="19" t="s">
        <v>105</v>
      </c>
      <c r="H36" s="25">
        <v>1050</v>
      </c>
      <c r="I36" s="25">
        <v>1100</v>
      </c>
      <c r="J36" s="25">
        <v>1040</v>
      </c>
    </row>
    <row r="37" spans="1:12">
      <c r="A37" s="19" t="s">
        <v>101</v>
      </c>
      <c r="B37" s="25">
        <v>350</v>
      </c>
      <c r="C37" s="26">
        <f t="shared" si="2"/>
        <v>367500</v>
      </c>
      <c r="D37" s="25">
        <v>652</v>
      </c>
      <c r="E37" s="25">
        <f t="shared" si="3"/>
        <v>925840</v>
      </c>
      <c r="G37" s="19" t="s">
        <v>106</v>
      </c>
      <c r="H37" s="25">
        <v>1420</v>
      </c>
      <c r="I37" s="25">
        <v>1490</v>
      </c>
      <c r="J37" s="25">
        <v>1410</v>
      </c>
    </row>
    <row r="38" spans="1:12">
      <c r="A38" s="12"/>
      <c r="B38" s="12"/>
      <c r="C38" s="28"/>
      <c r="D38" s="28"/>
      <c r="E38" s="28"/>
    </row>
    <row r="39" spans="1:12">
      <c r="A39" s="29" t="s">
        <v>107</v>
      </c>
      <c r="B39" s="29"/>
      <c r="E39" s="1" t="s">
        <v>108</v>
      </c>
    </row>
    <row r="40" spans="1:12">
      <c r="A40" s="30" t="s">
        <v>109</v>
      </c>
      <c r="B40" s="30" t="s">
        <v>110</v>
      </c>
      <c r="E40" s="19" t="s">
        <v>111</v>
      </c>
      <c r="F40" s="7" t="s">
        <v>112</v>
      </c>
    </row>
    <row r="41" spans="1:12">
      <c r="A41" s="31">
        <v>0</v>
      </c>
      <c r="B41" s="32">
        <v>0</v>
      </c>
      <c r="E41" s="19">
        <v>0</v>
      </c>
      <c r="F41" s="19">
        <v>10</v>
      </c>
    </row>
    <row r="42" spans="1:12">
      <c r="A42" s="31">
        <v>60</v>
      </c>
      <c r="B42" s="32">
        <v>2.5000000000000001E-2</v>
      </c>
      <c r="E42" s="19">
        <v>1</v>
      </c>
      <c r="F42" s="19">
        <v>5</v>
      </c>
    </row>
    <row r="43" spans="1:12">
      <c r="A43" s="31">
        <v>70</v>
      </c>
      <c r="B43" s="32">
        <v>0.03</v>
      </c>
      <c r="E43" s="19">
        <v>2</v>
      </c>
      <c r="F43" s="19">
        <v>3</v>
      </c>
    </row>
    <row r="44" spans="1:12">
      <c r="A44" s="31">
        <v>80</v>
      </c>
      <c r="B44" s="32">
        <v>3.5000000000000003E-2</v>
      </c>
      <c r="E44" s="19">
        <v>4</v>
      </c>
      <c r="F44" s="7">
        <v>0</v>
      </c>
    </row>
    <row r="45" spans="1:12">
      <c r="A45" s="31">
        <v>90</v>
      </c>
      <c r="B45" s="32">
        <v>0.04</v>
      </c>
    </row>
    <row r="46" spans="1:12">
      <c r="K46" s="33"/>
      <c r="L46" s="33"/>
    </row>
    <row r="47" spans="1:12" s="29" customFormat="1">
      <c r="A47" s="29" t="s">
        <v>113</v>
      </c>
      <c r="K47" s="34"/>
      <c r="L47" s="34"/>
    </row>
    <row r="48" spans="1:12" s="29" customFormat="1">
      <c r="A48" s="30" t="s">
        <v>114</v>
      </c>
      <c r="B48" s="30" t="s">
        <v>115</v>
      </c>
      <c r="C48" s="30" t="s">
        <v>116</v>
      </c>
      <c r="D48" s="30" t="s">
        <v>111</v>
      </c>
      <c r="E48" s="30" t="s">
        <v>117</v>
      </c>
      <c r="F48" s="30" t="s">
        <v>118</v>
      </c>
      <c r="G48" s="30" t="s">
        <v>119</v>
      </c>
      <c r="H48" s="35" t="s">
        <v>120</v>
      </c>
      <c r="I48" s="20" t="s">
        <v>110</v>
      </c>
      <c r="J48" s="24"/>
      <c r="K48" s="34"/>
    </row>
    <row r="49" spans="1:12" s="29" customFormat="1">
      <c r="A49" s="36" t="s">
        <v>121</v>
      </c>
      <c r="B49" s="36" t="s">
        <v>122</v>
      </c>
      <c r="C49" s="36">
        <v>10</v>
      </c>
      <c r="D49" s="36">
        <v>4</v>
      </c>
      <c r="E49" s="36">
        <v>68</v>
      </c>
      <c r="F49" s="36">
        <v>55</v>
      </c>
      <c r="G49" s="36">
        <v>45</v>
      </c>
      <c r="H49" s="36">
        <f>VLOOKUP(D49,$E$41:$F$44,2)+IF(SUMPRODUCT(E49:G49,{0.3,0.3,0.4})&gt;=70,5,0)</f>
        <v>0</v>
      </c>
      <c r="I49" s="37">
        <f>IF(ISBLANK(D49),VLOOKUP(AVERAGE(E49:G49),$A$41:$B$45,2)+0.5%,VLOOKUP(AVERAGE(E49:G49),$A$41:$B$45,2))</f>
        <v>0</v>
      </c>
      <c r="J49" s="38"/>
      <c r="K49" s="34"/>
    </row>
    <row r="50" spans="1:12" s="29" customFormat="1">
      <c r="A50" s="36" t="s">
        <v>123</v>
      </c>
      <c r="B50" s="36" t="s">
        <v>124</v>
      </c>
      <c r="C50" s="36">
        <v>12</v>
      </c>
      <c r="D50" s="36">
        <v>2</v>
      </c>
      <c r="E50" s="36">
        <v>82</v>
      </c>
      <c r="F50" s="36">
        <v>76</v>
      </c>
      <c r="G50" s="36">
        <v>78</v>
      </c>
      <c r="H50" s="36">
        <f>VLOOKUP(D50,$E$41:$F$44,2)+IF(SUMPRODUCT(E50:G50,{0.3,0.3,0.4})&gt;=70,5,0)</f>
        <v>8</v>
      </c>
      <c r="I50" s="37">
        <f t="shared" ref="I50:I61" si="4">IF(ISBLANK(D50),VLOOKUP(AVERAGE(E50:G50),$A$41:$B$45,2)+0.5%,VLOOKUP(AVERAGE(E50:G50),$A$41:$B$45,2))</f>
        <v>0.03</v>
      </c>
      <c r="J50" s="38"/>
      <c r="K50" s="34"/>
    </row>
    <row r="51" spans="1:12" s="29" customFormat="1">
      <c r="A51" s="36" t="s">
        <v>125</v>
      </c>
      <c r="B51" s="36" t="s">
        <v>126</v>
      </c>
      <c r="C51" s="36">
        <v>14</v>
      </c>
      <c r="D51" s="36"/>
      <c r="E51" s="36">
        <v>92</v>
      </c>
      <c r="F51" s="36">
        <v>85</v>
      </c>
      <c r="G51" s="36">
        <v>91</v>
      </c>
      <c r="H51" s="36">
        <f>VLOOKUP(D51,$E$41:$F$44,2)+IF(SUMPRODUCT(E51:G51,{0.3,0.3,0.4})&gt;=70,5,0)</f>
        <v>15</v>
      </c>
      <c r="I51" s="37">
        <f t="shared" si="4"/>
        <v>0.04</v>
      </c>
      <c r="J51" s="38"/>
      <c r="K51" s="34"/>
    </row>
    <row r="52" spans="1:12" s="29" customFormat="1">
      <c r="A52" s="36" t="s">
        <v>127</v>
      </c>
      <c r="B52" s="36" t="s">
        <v>128</v>
      </c>
      <c r="C52" s="36">
        <v>13</v>
      </c>
      <c r="D52" s="36">
        <v>1</v>
      </c>
      <c r="E52" s="36">
        <v>73</v>
      </c>
      <c r="F52" s="36">
        <v>59</v>
      </c>
      <c r="G52" s="36">
        <v>84</v>
      </c>
      <c r="H52" s="36">
        <f>VLOOKUP(D52,$E$41:$F$44,2)+IF(SUMPRODUCT(E52:G52,{0.3,0.3,0.4})&gt;=70,5,0)</f>
        <v>10</v>
      </c>
      <c r="I52" s="37">
        <f t="shared" si="4"/>
        <v>0.03</v>
      </c>
      <c r="J52" s="38"/>
      <c r="K52" s="34"/>
    </row>
    <row r="53" spans="1:12" s="29" customFormat="1">
      <c r="A53" s="36" t="s">
        <v>129</v>
      </c>
      <c r="B53" s="36" t="s">
        <v>122</v>
      </c>
      <c r="C53" s="36">
        <v>13</v>
      </c>
      <c r="D53" s="36">
        <v>1</v>
      </c>
      <c r="E53" s="36">
        <v>93</v>
      </c>
      <c r="F53" s="36">
        <v>87</v>
      </c>
      <c r="G53" s="36">
        <v>79</v>
      </c>
      <c r="H53" s="36">
        <f>VLOOKUP(D53,$E$41:$F$44,2)+IF(SUMPRODUCT(E53:G53,{0.3,0.3,0.4})&gt;=70,5,0)</f>
        <v>10</v>
      </c>
      <c r="I53" s="37">
        <f t="shared" si="4"/>
        <v>3.5000000000000003E-2</v>
      </c>
      <c r="J53" s="38"/>
      <c r="K53" s="34"/>
    </row>
    <row r="54" spans="1:12" s="29" customFormat="1">
      <c r="A54" s="36" t="s">
        <v>130</v>
      </c>
      <c r="B54" s="36" t="s">
        <v>131</v>
      </c>
      <c r="C54" s="36">
        <v>12</v>
      </c>
      <c r="D54" s="36">
        <v>2</v>
      </c>
      <c r="E54" s="36">
        <v>46</v>
      </c>
      <c r="F54" s="36">
        <v>85</v>
      </c>
      <c r="G54" s="36">
        <v>86</v>
      </c>
      <c r="H54" s="36">
        <f>VLOOKUP(D54,$E$41:$F$44,2)+IF(SUMPRODUCT(E54:G54,{0.3,0.3,0.4})&gt;=70,5,0)</f>
        <v>8</v>
      </c>
      <c r="I54" s="37">
        <f t="shared" si="4"/>
        <v>0.03</v>
      </c>
      <c r="J54" s="38"/>
      <c r="K54" s="34"/>
    </row>
    <row r="55" spans="1:12" s="29" customFormat="1">
      <c r="A55" s="36" t="s">
        <v>132</v>
      </c>
      <c r="B55" s="36" t="s">
        <v>133</v>
      </c>
      <c r="C55" s="36">
        <v>11</v>
      </c>
      <c r="D55" s="36">
        <v>3</v>
      </c>
      <c r="E55" s="36">
        <v>76</v>
      </c>
      <c r="F55" s="36">
        <v>59</v>
      </c>
      <c r="G55" s="36">
        <v>57</v>
      </c>
      <c r="H55" s="36">
        <f>VLOOKUP(D55,$E$41:$F$44,2)+IF(SUMPRODUCT(E55:G55,{0.3,0.3,0.4})&gt;=70,5,0)</f>
        <v>3</v>
      </c>
      <c r="I55" s="37">
        <f t="shared" si="4"/>
        <v>2.5000000000000001E-2</v>
      </c>
      <c r="J55" s="38"/>
      <c r="K55" s="34"/>
    </row>
    <row r="56" spans="1:12" s="29" customFormat="1">
      <c r="A56" s="36" t="s">
        <v>134</v>
      </c>
      <c r="B56" s="36" t="s">
        <v>135</v>
      </c>
      <c r="C56" s="36">
        <v>11</v>
      </c>
      <c r="D56" s="36"/>
      <c r="E56" s="36">
        <v>82</v>
      </c>
      <c r="F56" s="36">
        <v>83</v>
      </c>
      <c r="G56" s="36">
        <v>78</v>
      </c>
      <c r="H56" s="36">
        <f>VLOOKUP(D56,$E$41:$F$44,2)+IF(SUMPRODUCT(E56:G56,{0.3,0.3,0.4})&gt;=70,5,0)</f>
        <v>15</v>
      </c>
      <c r="I56" s="37">
        <f t="shared" si="4"/>
        <v>0.04</v>
      </c>
      <c r="J56" s="38"/>
      <c r="K56" s="34"/>
    </row>
    <row r="57" spans="1:12" s="29" customFormat="1">
      <c r="A57" s="36" t="s">
        <v>136</v>
      </c>
      <c r="B57" s="36" t="s">
        <v>137</v>
      </c>
      <c r="C57" s="36">
        <v>12</v>
      </c>
      <c r="D57" s="36">
        <v>2</v>
      </c>
      <c r="E57" s="36">
        <v>69</v>
      </c>
      <c r="F57" s="36">
        <v>81</v>
      </c>
      <c r="G57" s="36">
        <v>45</v>
      </c>
      <c r="H57" s="36">
        <f>VLOOKUP(D57,$E$41:$F$44,2)+IF(SUMPRODUCT(E57:G57,{0.3,0.3,0.4})&gt;=70,5,0)</f>
        <v>3</v>
      </c>
      <c r="I57" s="37">
        <f t="shared" si="4"/>
        <v>2.5000000000000001E-2</v>
      </c>
      <c r="J57" s="38"/>
      <c r="K57" s="34"/>
    </row>
    <row r="58" spans="1:12" s="29" customFormat="1">
      <c r="A58" s="36" t="s">
        <v>138</v>
      </c>
      <c r="B58" s="36" t="s">
        <v>139</v>
      </c>
      <c r="C58" s="36">
        <v>13</v>
      </c>
      <c r="D58" s="36">
        <v>1</v>
      </c>
      <c r="E58" s="36">
        <v>91</v>
      </c>
      <c r="F58" s="36">
        <v>88</v>
      </c>
      <c r="G58" s="36">
        <v>48</v>
      </c>
      <c r="H58" s="36">
        <f>VLOOKUP(D58,$E$41:$F$44,2)+IF(SUMPRODUCT(E58:G58,{0.3,0.3,0.4})&gt;=70,5,0)</f>
        <v>10</v>
      </c>
      <c r="I58" s="37">
        <f t="shared" si="4"/>
        <v>0.03</v>
      </c>
      <c r="J58" s="38"/>
      <c r="K58" s="34"/>
    </row>
    <row r="59" spans="1:12" s="29" customFormat="1">
      <c r="A59" s="36" t="s">
        <v>140</v>
      </c>
      <c r="B59" s="36" t="s">
        <v>141</v>
      </c>
      <c r="C59" s="36">
        <v>10</v>
      </c>
      <c r="D59" s="36">
        <v>4</v>
      </c>
      <c r="E59" s="36">
        <v>78</v>
      </c>
      <c r="F59" s="36">
        <v>59</v>
      </c>
      <c r="G59" s="36">
        <v>79</v>
      </c>
      <c r="H59" s="36">
        <f>VLOOKUP(D59,$E$41:$F$44,2)+IF(SUMPRODUCT(E59:G59,{0.3,0.3,0.4})&gt;=70,5,0)</f>
        <v>5</v>
      </c>
      <c r="I59" s="37">
        <f t="shared" si="4"/>
        <v>0.03</v>
      </c>
      <c r="J59" s="38"/>
      <c r="K59" s="34"/>
    </row>
    <row r="60" spans="1:12" s="29" customFormat="1">
      <c r="A60" s="36" t="s">
        <v>142</v>
      </c>
      <c r="B60" s="36" t="s">
        <v>141</v>
      </c>
      <c r="C60" s="36">
        <v>11</v>
      </c>
      <c r="D60" s="36">
        <v>3</v>
      </c>
      <c r="E60" s="36">
        <v>71</v>
      </c>
      <c r="F60" s="36">
        <v>63</v>
      </c>
      <c r="G60" s="36">
        <v>73</v>
      </c>
      <c r="H60" s="36">
        <f>VLOOKUP(D60,$E$41:$F$44,2)+IF(SUMPRODUCT(E60:G60,{0.3,0.3,0.4})&gt;=70,5,0)</f>
        <v>3</v>
      </c>
      <c r="I60" s="37">
        <f t="shared" si="4"/>
        <v>2.5000000000000001E-2</v>
      </c>
      <c r="J60" s="38"/>
      <c r="K60" s="34"/>
    </row>
    <row r="61" spans="1:12" s="29" customFormat="1">
      <c r="A61" s="36" t="s">
        <v>143</v>
      </c>
      <c r="B61" s="36" t="s">
        <v>139</v>
      </c>
      <c r="C61" s="36">
        <v>14</v>
      </c>
      <c r="D61" s="36"/>
      <c r="E61" s="36">
        <v>85</v>
      </c>
      <c r="F61" s="36">
        <v>58</v>
      </c>
      <c r="G61" s="36">
        <v>91</v>
      </c>
      <c r="H61" s="36">
        <f>VLOOKUP(D61,$E$41:$F$44,2)+IF(SUMPRODUCT(E61:G61,{0.3,0.3,0.4})&gt;=70,5,0)</f>
        <v>15</v>
      </c>
      <c r="I61" s="37">
        <f t="shared" si="4"/>
        <v>3.4999999999999996E-2</v>
      </c>
      <c r="J61" s="38"/>
      <c r="K61" s="34"/>
    </row>
    <row r="62" spans="1:12">
      <c r="K62" s="33"/>
      <c r="L62" s="33"/>
    </row>
  </sheetData>
  <mergeCells count="5">
    <mergeCell ref="B27:E27"/>
    <mergeCell ref="G28:H28"/>
    <mergeCell ref="G29:H29"/>
    <mergeCell ref="G30:H30"/>
    <mergeCell ref="G31:H31"/>
  </mergeCells>
  <phoneticPr fontId="5" type="noConversion"/>
  <conditionalFormatting sqref="A29:A37">
    <cfRule type="cellIs" dxfId="0" priority="1" stopIfTrue="1" operator="equal">
      <formula>"소계"</formula>
    </cfRule>
  </conditionalFormatting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8"/>
  <sheetViews>
    <sheetView windowProtection="1" workbookViewId="0"/>
  </sheetViews>
  <sheetFormatPr defaultRowHeight="16.5"/>
  <cols>
    <col min="1" max="1" width="6.625" style="1" bestFit="1" customWidth="1"/>
    <col min="2" max="2" width="7.125" style="1" bestFit="1" customWidth="1"/>
    <col min="3" max="3" width="13" style="1" bestFit="1" customWidth="1"/>
    <col min="4" max="4" width="6.5" style="1" customWidth="1"/>
    <col min="5" max="8" width="11.625" style="1" customWidth="1"/>
    <col min="9" max="9" width="12.75" style="1" customWidth="1"/>
    <col min="10" max="10" width="9" style="1"/>
    <col min="11" max="11" width="23.375" style="1" customWidth="1"/>
    <col min="12" max="12" width="11.875" style="1" customWidth="1"/>
    <col min="13" max="14" width="9.5" style="1" customWidth="1"/>
    <col min="15" max="15" width="7.375" style="1" customWidth="1"/>
    <col min="16" max="16384" width="9" style="1"/>
  </cols>
  <sheetData>
    <row r="1" spans="1:15">
      <c r="A1" s="39" t="s">
        <v>144</v>
      </c>
      <c r="B1" s="40" t="s">
        <v>145</v>
      </c>
      <c r="C1" s="40" t="s">
        <v>146</v>
      </c>
      <c r="D1" s="40" t="s">
        <v>147</v>
      </c>
      <c r="E1" s="40" t="s">
        <v>148</v>
      </c>
      <c r="F1" s="40" t="s">
        <v>149</v>
      </c>
      <c r="G1" s="40" t="s">
        <v>150</v>
      </c>
      <c r="H1" s="40" t="s">
        <v>151</v>
      </c>
      <c r="I1" s="41" t="s">
        <v>152</v>
      </c>
      <c r="K1" s="74" t="s">
        <v>145</v>
      </c>
      <c r="L1" t="s">
        <v>294</v>
      </c>
    </row>
    <row r="2" spans="1:15">
      <c r="A2" s="42" t="s">
        <v>153</v>
      </c>
      <c r="B2" s="43" t="s">
        <v>154</v>
      </c>
      <c r="C2" s="43" t="s">
        <v>155</v>
      </c>
      <c r="D2" s="43" t="s">
        <v>156</v>
      </c>
      <c r="E2" s="44">
        <v>28</v>
      </c>
      <c r="F2" s="44">
        <v>38</v>
      </c>
      <c r="G2" s="44">
        <v>8</v>
      </c>
      <c r="H2" s="44">
        <v>17</v>
      </c>
      <c r="I2" s="45">
        <v>91</v>
      </c>
    </row>
    <row r="3" spans="1:15">
      <c r="A3" s="42" t="s">
        <v>157</v>
      </c>
      <c r="B3" s="43" t="s">
        <v>158</v>
      </c>
      <c r="C3" s="43" t="s">
        <v>159</v>
      </c>
      <c r="D3" s="43" t="s">
        <v>156</v>
      </c>
      <c r="E3" s="44">
        <v>25</v>
      </c>
      <c r="F3" s="44">
        <v>33</v>
      </c>
      <c r="G3" s="44">
        <v>5</v>
      </c>
      <c r="H3" s="44">
        <v>20</v>
      </c>
      <c r="I3" s="45">
        <v>83</v>
      </c>
      <c r="K3"/>
      <c r="L3" s="74" t="s">
        <v>297</v>
      </c>
      <c r="M3"/>
      <c r="N3"/>
      <c r="O3"/>
    </row>
    <row r="4" spans="1:15">
      <c r="A4" s="42" t="s">
        <v>160</v>
      </c>
      <c r="B4" s="43" t="s">
        <v>161</v>
      </c>
      <c r="C4" s="43" t="s">
        <v>162</v>
      </c>
      <c r="D4" s="43" t="s">
        <v>156</v>
      </c>
      <c r="E4" s="44">
        <v>20</v>
      </c>
      <c r="F4" s="44">
        <v>35</v>
      </c>
      <c r="G4" s="44">
        <v>9</v>
      </c>
      <c r="H4" s="44">
        <v>18</v>
      </c>
      <c r="I4" s="45">
        <v>82</v>
      </c>
      <c r="K4" s="74" t="s">
        <v>295</v>
      </c>
      <c r="L4" t="s">
        <v>156</v>
      </c>
      <c r="M4" t="s">
        <v>165</v>
      </c>
      <c r="N4" t="s">
        <v>296</v>
      </c>
      <c r="O4"/>
    </row>
    <row r="5" spans="1:15">
      <c r="A5" s="42" t="s">
        <v>163</v>
      </c>
      <c r="B5" s="43" t="s">
        <v>164</v>
      </c>
      <c r="C5" s="43" t="s">
        <v>162</v>
      </c>
      <c r="D5" s="43" t="s">
        <v>165</v>
      </c>
      <c r="E5" s="44">
        <v>29</v>
      </c>
      <c r="F5" s="44">
        <v>38</v>
      </c>
      <c r="G5" s="44">
        <v>10</v>
      </c>
      <c r="H5" s="44">
        <v>19</v>
      </c>
      <c r="I5" s="45">
        <v>96</v>
      </c>
      <c r="K5" s="75" t="s">
        <v>302</v>
      </c>
      <c r="L5" s="77"/>
      <c r="M5" s="77"/>
      <c r="N5" s="77"/>
      <c r="O5"/>
    </row>
    <row r="6" spans="1:15">
      <c r="A6" s="42" t="s">
        <v>166</v>
      </c>
      <c r="B6" s="43" t="s">
        <v>167</v>
      </c>
      <c r="C6" s="43" t="s">
        <v>155</v>
      </c>
      <c r="D6" s="43" t="s">
        <v>165</v>
      </c>
      <c r="E6" s="44">
        <v>27</v>
      </c>
      <c r="F6" s="44">
        <v>30</v>
      </c>
      <c r="G6" s="44">
        <v>8</v>
      </c>
      <c r="H6" s="44">
        <v>12</v>
      </c>
      <c r="I6" s="45">
        <v>77</v>
      </c>
      <c r="K6" s="76" t="s">
        <v>298</v>
      </c>
      <c r="L6" s="77">
        <v>0.22362869198312235</v>
      </c>
      <c r="M6" s="77">
        <v>9.3167701863354033E-2</v>
      </c>
      <c r="N6" s="77">
        <v>0.14847942754919499</v>
      </c>
      <c r="O6"/>
    </row>
    <row r="7" spans="1:15">
      <c r="A7" s="42" t="s">
        <v>168</v>
      </c>
      <c r="B7" s="43" t="s">
        <v>169</v>
      </c>
      <c r="C7" s="43" t="s">
        <v>162</v>
      </c>
      <c r="D7" s="43" t="s">
        <v>165</v>
      </c>
      <c r="E7" s="44">
        <v>25</v>
      </c>
      <c r="F7" s="44">
        <v>34</v>
      </c>
      <c r="G7" s="44">
        <v>8</v>
      </c>
      <c r="H7" s="44">
        <v>20</v>
      </c>
      <c r="I7" s="45">
        <v>87</v>
      </c>
      <c r="K7" s="76" t="s">
        <v>301</v>
      </c>
      <c r="L7" s="77">
        <v>0.21165644171779141</v>
      </c>
      <c r="M7" s="77">
        <v>9.9255583126550875E-2</v>
      </c>
      <c r="N7" s="77">
        <v>0.14951989026063101</v>
      </c>
      <c r="O7"/>
    </row>
    <row r="8" spans="1:15">
      <c r="A8" s="42" t="s">
        <v>170</v>
      </c>
      <c r="B8" s="43" t="s">
        <v>171</v>
      </c>
      <c r="C8" s="43" t="s">
        <v>155</v>
      </c>
      <c r="D8" s="43" t="s">
        <v>165</v>
      </c>
      <c r="E8" s="44">
        <v>29</v>
      </c>
      <c r="F8" s="44">
        <v>40</v>
      </c>
      <c r="G8" s="44">
        <v>10</v>
      </c>
      <c r="H8" s="44">
        <v>18</v>
      </c>
      <c r="I8" s="45">
        <v>97</v>
      </c>
      <c r="K8" s="75" t="s">
        <v>303</v>
      </c>
      <c r="L8" s="77"/>
      <c r="M8" s="77"/>
      <c r="N8" s="77"/>
      <c r="O8"/>
    </row>
    <row r="9" spans="1:15">
      <c r="A9" s="42" t="s">
        <v>172</v>
      </c>
      <c r="B9" s="43" t="s">
        <v>173</v>
      </c>
      <c r="C9" s="43" t="s">
        <v>159</v>
      </c>
      <c r="D9" s="43" t="s">
        <v>165</v>
      </c>
      <c r="E9" s="44">
        <v>25</v>
      </c>
      <c r="F9" s="44">
        <v>24</v>
      </c>
      <c r="G9" s="44">
        <v>5</v>
      </c>
      <c r="H9" s="44">
        <v>15</v>
      </c>
      <c r="I9" s="45">
        <v>69</v>
      </c>
      <c r="K9" s="76" t="s">
        <v>298</v>
      </c>
      <c r="L9" s="77">
        <v>0.25738396624472576</v>
      </c>
      <c r="M9" s="77">
        <v>0.2391304347826087</v>
      </c>
      <c r="N9" s="77">
        <v>0.24686940966010734</v>
      </c>
      <c r="O9"/>
    </row>
    <row r="10" spans="1:15">
      <c r="A10" s="42" t="s">
        <v>175</v>
      </c>
      <c r="B10" s="43" t="s">
        <v>176</v>
      </c>
      <c r="C10" s="43" t="s">
        <v>174</v>
      </c>
      <c r="D10" s="43" t="s">
        <v>165</v>
      </c>
      <c r="E10" s="44">
        <v>30</v>
      </c>
      <c r="F10" s="44">
        <v>40</v>
      </c>
      <c r="G10" s="44">
        <v>5</v>
      </c>
      <c r="H10" s="44">
        <v>20</v>
      </c>
      <c r="I10" s="45">
        <v>95</v>
      </c>
      <c r="K10" s="76" t="s">
        <v>301</v>
      </c>
      <c r="L10" s="77">
        <v>0.26687116564417179</v>
      </c>
      <c r="M10" s="77">
        <v>0.21836228287841192</v>
      </c>
      <c r="N10" s="77">
        <v>0.24005486968449932</v>
      </c>
      <c r="O10"/>
    </row>
    <row r="11" spans="1:15">
      <c r="A11" s="42" t="s">
        <v>177</v>
      </c>
      <c r="B11" s="43" t="s">
        <v>178</v>
      </c>
      <c r="C11" s="43" t="s">
        <v>179</v>
      </c>
      <c r="D11" s="43" t="s">
        <v>156</v>
      </c>
      <c r="E11" s="44">
        <v>28</v>
      </c>
      <c r="F11" s="44">
        <v>40</v>
      </c>
      <c r="G11" s="44">
        <v>6</v>
      </c>
      <c r="H11" s="44">
        <v>17</v>
      </c>
      <c r="I11" s="45">
        <v>91</v>
      </c>
      <c r="K11" s="75" t="s">
        <v>304</v>
      </c>
      <c r="L11" s="77"/>
      <c r="M11" s="77"/>
      <c r="N11" s="77"/>
      <c r="O11"/>
    </row>
    <row r="12" spans="1:15">
      <c r="A12" s="42" t="s">
        <v>180</v>
      </c>
      <c r="B12" s="43" t="s">
        <v>181</v>
      </c>
      <c r="C12" s="43" t="s">
        <v>159</v>
      </c>
      <c r="D12" s="43" t="s">
        <v>156</v>
      </c>
      <c r="E12" s="44">
        <v>25</v>
      </c>
      <c r="F12" s="44">
        <v>31</v>
      </c>
      <c r="G12" s="44">
        <v>9</v>
      </c>
      <c r="H12" s="44">
        <v>20</v>
      </c>
      <c r="I12" s="45">
        <v>85</v>
      </c>
      <c r="K12" s="76" t="s">
        <v>298</v>
      </c>
      <c r="L12" s="77">
        <v>0</v>
      </c>
      <c r="M12" s="77">
        <v>8.6956521739130432E-2</v>
      </c>
      <c r="N12" s="77">
        <v>5.008944543828265E-2</v>
      </c>
      <c r="O12"/>
    </row>
    <row r="13" spans="1:15">
      <c r="A13" s="42" t="s">
        <v>182</v>
      </c>
      <c r="B13" s="43" t="s">
        <v>183</v>
      </c>
      <c r="C13" s="43" t="s">
        <v>155</v>
      </c>
      <c r="D13" s="43" t="s">
        <v>165</v>
      </c>
      <c r="E13" s="44">
        <v>25</v>
      </c>
      <c r="F13" s="44">
        <v>28</v>
      </c>
      <c r="G13" s="44">
        <v>6</v>
      </c>
      <c r="H13" s="44">
        <v>18</v>
      </c>
      <c r="I13" s="45">
        <v>77</v>
      </c>
      <c r="K13" s="76" t="s">
        <v>301</v>
      </c>
      <c r="L13" s="77">
        <v>0</v>
      </c>
      <c r="M13" s="77">
        <v>7.1960297766749379E-2</v>
      </c>
      <c r="N13" s="77">
        <v>3.9780521262002745E-2</v>
      </c>
      <c r="O13"/>
    </row>
    <row r="14" spans="1:15">
      <c r="A14" s="42" t="s">
        <v>184</v>
      </c>
      <c r="B14" s="43" t="s">
        <v>185</v>
      </c>
      <c r="C14" s="43" t="s">
        <v>179</v>
      </c>
      <c r="D14" s="43" t="s">
        <v>156</v>
      </c>
      <c r="E14" s="44">
        <v>20</v>
      </c>
      <c r="F14" s="44">
        <v>35</v>
      </c>
      <c r="G14" s="44">
        <v>6</v>
      </c>
      <c r="H14" s="44">
        <v>19</v>
      </c>
      <c r="I14" s="45">
        <v>80</v>
      </c>
      <c r="K14" s="75" t="s">
        <v>305</v>
      </c>
      <c r="L14" s="77"/>
      <c r="M14" s="77"/>
      <c r="N14" s="77"/>
      <c r="O14"/>
    </row>
    <row r="15" spans="1:15">
      <c r="A15" s="42" t="s">
        <v>186</v>
      </c>
      <c r="B15" s="43" t="s">
        <v>187</v>
      </c>
      <c r="C15" s="43" t="s">
        <v>155</v>
      </c>
      <c r="D15" s="43" t="s">
        <v>156</v>
      </c>
      <c r="E15" s="44">
        <v>21</v>
      </c>
      <c r="F15" s="44">
        <v>26</v>
      </c>
      <c r="G15" s="44">
        <v>9</v>
      </c>
      <c r="H15" s="44">
        <v>18</v>
      </c>
      <c r="I15" s="45">
        <v>74</v>
      </c>
      <c r="K15" s="76" t="s">
        <v>298</v>
      </c>
      <c r="L15" s="77">
        <v>0.189873417721519</v>
      </c>
      <c r="M15" s="77">
        <v>0.25155279503105588</v>
      </c>
      <c r="N15" s="77">
        <v>0.22540250447227192</v>
      </c>
      <c r="O15"/>
    </row>
    <row r="16" spans="1:15">
      <c r="A16" s="42" t="s">
        <v>188</v>
      </c>
      <c r="B16" s="43" t="s">
        <v>189</v>
      </c>
      <c r="C16" s="43" t="s">
        <v>174</v>
      </c>
      <c r="D16" s="43" t="s">
        <v>156</v>
      </c>
      <c r="E16" s="44">
        <v>20</v>
      </c>
      <c r="F16" s="44">
        <v>26</v>
      </c>
      <c r="G16" s="44">
        <v>6</v>
      </c>
      <c r="H16" s="44">
        <v>17</v>
      </c>
      <c r="I16" s="45">
        <v>69</v>
      </c>
      <c r="K16" s="76" t="s">
        <v>301</v>
      </c>
      <c r="L16" s="77">
        <v>0.18404907975460122</v>
      </c>
      <c r="M16" s="77">
        <v>0.26799007444168732</v>
      </c>
      <c r="N16" s="77">
        <v>0.23045267489711935</v>
      </c>
      <c r="O16"/>
    </row>
    <row r="17" spans="1:15">
      <c r="A17" s="42" t="s">
        <v>190</v>
      </c>
      <c r="B17" s="43" t="s">
        <v>191</v>
      </c>
      <c r="C17" s="43" t="s">
        <v>192</v>
      </c>
      <c r="D17" s="43" t="s">
        <v>165</v>
      </c>
      <c r="E17" s="44">
        <v>27</v>
      </c>
      <c r="F17" s="44">
        <v>30</v>
      </c>
      <c r="G17" s="44">
        <v>5</v>
      </c>
      <c r="H17" s="44">
        <v>15</v>
      </c>
      <c r="I17" s="45">
        <v>77</v>
      </c>
      <c r="K17" s="75" t="s">
        <v>306</v>
      </c>
      <c r="L17" s="77"/>
      <c r="M17" s="77"/>
      <c r="N17" s="77"/>
      <c r="O17"/>
    </row>
    <row r="18" spans="1:15">
      <c r="A18" s="42" t="s">
        <v>193</v>
      </c>
      <c r="B18" s="43" t="s">
        <v>194</v>
      </c>
      <c r="C18" s="43" t="s">
        <v>192</v>
      </c>
      <c r="D18" s="43" t="s">
        <v>165</v>
      </c>
      <c r="E18" s="44">
        <v>27</v>
      </c>
      <c r="F18" s="44">
        <v>40</v>
      </c>
      <c r="G18" s="44">
        <v>10</v>
      </c>
      <c r="H18" s="44">
        <v>17</v>
      </c>
      <c r="I18" s="45">
        <v>94</v>
      </c>
      <c r="K18" s="76" t="s">
        <v>298</v>
      </c>
      <c r="L18" s="77">
        <v>0.10548523206751055</v>
      </c>
      <c r="M18" s="77">
        <v>0.14906832298136646</v>
      </c>
      <c r="N18" s="77">
        <v>0.13059033989266547</v>
      </c>
      <c r="O18"/>
    </row>
    <row r="19" spans="1:15">
      <c r="A19" s="42" t="s">
        <v>195</v>
      </c>
      <c r="B19" s="43" t="s">
        <v>196</v>
      </c>
      <c r="C19" s="43" t="s">
        <v>174</v>
      </c>
      <c r="D19" s="43" t="s">
        <v>165</v>
      </c>
      <c r="E19" s="44">
        <v>29</v>
      </c>
      <c r="F19" s="44">
        <v>30</v>
      </c>
      <c r="G19" s="44">
        <v>8</v>
      </c>
      <c r="H19" s="44">
        <v>16</v>
      </c>
      <c r="I19" s="45">
        <v>83</v>
      </c>
      <c r="K19" s="76" t="s">
        <v>301</v>
      </c>
      <c r="L19" s="77">
        <v>0.10122699386503067</v>
      </c>
      <c r="M19" s="77">
        <v>0.17369727047146402</v>
      </c>
      <c r="N19" s="77">
        <v>0.1412894375857339</v>
      </c>
      <c r="O19"/>
    </row>
    <row r="20" spans="1:15">
      <c r="A20" s="42" t="s">
        <v>197</v>
      </c>
      <c r="B20" s="43" t="s">
        <v>198</v>
      </c>
      <c r="C20" s="43" t="s">
        <v>179</v>
      </c>
      <c r="D20" s="43" t="s">
        <v>156</v>
      </c>
      <c r="E20" s="44">
        <v>25</v>
      </c>
      <c r="F20" s="44">
        <v>25</v>
      </c>
      <c r="G20" s="44">
        <v>9</v>
      </c>
      <c r="H20" s="44">
        <v>18</v>
      </c>
      <c r="I20" s="45">
        <v>77</v>
      </c>
      <c r="K20" s="75" t="s">
        <v>307</v>
      </c>
      <c r="L20" s="77"/>
      <c r="M20" s="77"/>
      <c r="N20" s="77"/>
      <c r="O20"/>
    </row>
    <row r="21" spans="1:15">
      <c r="A21" s="42" t="s">
        <v>199</v>
      </c>
      <c r="B21" s="43" t="s">
        <v>200</v>
      </c>
      <c r="C21" s="43" t="s">
        <v>159</v>
      </c>
      <c r="D21" s="43" t="s">
        <v>165</v>
      </c>
      <c r="E21" s="44">
        <v>21</v>
      </c>
      <c r="F21" s="44">
        <v>40</v>
      </c>
      <c r="G21" s="44">
        <v>9</v>
      </c>
      <c r="H21" s="44">
        <v>20</v>
      </c>
      <c r="I21" s="45">
        <v>90</v>
      </c>
      <c r="K21" s="76" t="s">
        <v>298</v>
      </c>
      <c r="L21" s="77">
        <v>0.22362869198312235</v>
      </c>
      <c r="M21" s="77">
        <v>9.0062111801242239E-2</v>
      </c>
      <c r="N21" s="77">
        <v>0.14669051878354203</v>
      </c>
      <c r="O21"/>
    </row>
    <row r="22" spans="1:15">
      <c r="A22" s="42" t="s">
        <v>201</v>
      </c>
      <c r="B22" s="43" t="s">
        <v>202</v>
      </c>
      <c r="C22" s="43" t="s">
        <v>159</v>
      </c>
      <c r="D22" s="43" t="s">
        <v>156</v>
      </c>
      <c r="E22" s="44">
        <v>25</v>
      </c>
      <c r="F22" s="44">
        <v>37</v>
      </c>
      <c r="G22" s="44">
        <v>6</v>
      </c>
      <c r="H22" s="44">
        <v>15</v>
      </c>
      <c r="I22" s="45">
        <v>83</v>
      </c>
      <c r="K22" s="76" t="s">
        <v>301</v>
      </c>
      <c r="L22" s="77">
        <v>0.2361963190184049</v>
      </c>
      <c r="M22" s="77">
        <v>9.4292803970223327E-2</v>
      </c>
      <c r="N22" s="77">
        <v>0.15775034293552812</v>
      </c>
      <c r="O22"/>
    </row>
    <row r="23" spans="1:15">
      <c r="A23" s="46" t="s">
        <v>203</v>
      </c>
      <c r="B23" s="47" t="s">
        <v>204</v>
      </c>
      <c r="C23" s="47" t="s">
        <v>155</v>
      </c>
      <c r="D23" s="47" t="s">
        <v>165</v>
      </c>
      <c r="E23" s="48">
        <v>28</v>
      </c>
      <c r="F23" s="48">
        <v>29</v>
      </c>
      <c r="G23" s="48">
        <v>9</v>
      </c>
      <c r="H23" s="48">
        <v>16</v>
      </c>
      <c r="I23" s="49">
        <v>82</v>
      </c>
      <c r="K23" s="75" t="s">
        <v>308</v>
      </c>
      <c r="L23" s="77"/>
      <c r="M23" s="77"/>
      <c r="N23" s="77"/>
      <c r="O23"/>
    </row>
    <row r="24" spans="1:15">
      <c r="A24" s="42"/>
      <c r="B24" s="43"/>
      <c r="C24" s="43"/>
      <c r="D24" s="43"/>
      <c r="E24" s="44"/>
      <c r="F24" s="44"/>
      <c r="G24" s="44"/>
      <c r="H24" s="44"/>
      <c r="K24" s="76" t="s">
        <v>298</v>
      </c>
      <c r="L24" s="77">
        <v>0</v>
      </c>
      <c r="M24" s="77">
        <v>9.0062111801242239E-2</v>
      </c>
      <c r="N24" s="77">
        <v>5.1878354203935599E-2</v>
      </c>
      <c r="O24"/>
    </row>
    <row r="25" spans="1:15">
      <c r="K25" s="76" t="s">
        <v>301</v>
      </c>
      <c r="L25" s="77">
        <v>0</v>
      </c>
      <c r="M25" s="77">
        <v>7.4441687344913146E-2</v>
      </c>
      <c r="N25" s="77">
        <v>4.1152263374485597E-2</v>
      </c>
      <c r="O25"/>
    </row>
    <row r="26" spans="1:15">
      <c r="K26" s="75" t="s">
        <v>299</v>
      </c>
      <c r="L26" s="77">
        <v>1</v>
      </c>
      <c r="M26" s="77">
        <v>1</v>
      </c>
      <c r="N26" s="77">
        <v>1</v>
      </c>
      <c r="O26"/>
    </row>
    <row r="27" spans="1:15">
      <c r="K27" s="75" t="s">
        <v>300</v>
      </c>
      <c r="L27" s="77">
        <v>1</v>
      </c>
      <c r="M27" s="77">
        <v>1</v>
      </c>
      <c r="N27" s="77">
        <v>1</v>
      </c>
      <c r="O27"/>
    </row>
    <row r="28" spans="1:15">
      <c r="I28"/>
      <c r="J28"/>
      <c r="K28"/>
      <c r="L28"/>
      <c r="M28"/>
    </row>
    <row r="29" spans="1:15">
      <c r="I29"/>
      <c r="J29"/>
      <c r="K29"/>
      <c r="L29"/>
      <c r="M29"/>
    </row>
    <row r="30" spans="1:15">
      <c r="I30"/>
      <c r="J30"/>
      <c r="K30"/>
      <c r="L30"/>
      <c r="M30"/>
    </row>
    <row r="31" spans="1:15">
      <c r="I31"/>
      <c r="J31"/>
      <c r="K31"/>
      <c r="L31"/>
      <c r="M31"/>
    </row>
    <row r="32" spans="1:15">
      <c r="I32"/>
      <c r="J32"/>
      <c r="K32"/>
      <c r="L32"/>
      <c r="M32"/>
    </row>
    <row r="33" spans="9:15">
      <c r="I33"/>
      <c r="J33"/>
      <c r="K33"/>
      <c r="L33"/>
      <c r="M33"/>
    </row>
    <row r="34" spans="9:15">
      <c r="K34"/>
      <c r="L34"/>
      <c r="M34"/>
      <c r="N34"/>
      <c r="O34"/>
    </row>
    <row r="35" spans="9:15">
      <c r="K35"/>
      <c r="L35"/>
      <c r="M35"/>
      <c r="N35"/>
      <c r="O35"/>
    </row>
    <row r="36" spans="9:15">
      <c r="K36"/>
      <c r="L36"/>
      <c r="M36"/>
      <c r="N36"/>
      <c r="O36"/>
    </row>
    <row r="37" spans="9:15">
      <c r="K37"/>
      <c r="L37"/>
      <c r="M37"/>
      <c r="N37"/>
      <c r="O37"/>
    </row>
    <row r="38" spans="9:15">
      <c r="K38"/>
      <c r="L38"/>
      <c r="M38"/>
      <c r="N38"/>
    </row>
    <row r="39" spans="9:15">
      <c r="K39"/>
      <c r="L39"/>
      <c r="M39"/>
      <c r="N39"/>
    </row>
    <row r="40" spans="9:15">
      <c r="K40"/>
      <c r="L40"/>
      <c r="M40"/>
      <c r="N40"/>
    </row>
    <row r="41" spans="9:15">
      <c r="K41"/>
      <c r="L41"/>
      <c r="M41"/>
      <c r="N41"/>
    </row>
    <row r="42" spans="9:15">
      <c r="K42"/>
      <c r="L42"/>
      <c r="M42"/>
      <c r="N42"/>
    </row>
    <row r="43" spans="9:15">
      <c r="K43"/>
      <c r="L43"/>
      <c r="M43"/>
      <c r="N43"/>
    </row>
    <row r="44" spans="9:15">
      <c r="K44"/>
      <c r="L44"/>
      <c r="M44"/>
      <c r="N44"/>
    </row>
    <row r="45" spans="9:15">
      <c r="K45"/>
      <c r="L45"/>
      <c r="M45"/>
      <c r="N45"/>
    </row>
    <row r="46" spans="9:15">
      <c r="K46"/>
      <c r="L46"/>
      <c r="M46"/>
      <c r="N46"/>
    </row>
    <row r="47" spans="9:15">
      <c r="K47"/>
      <c r="L47"/>
      <c r="M47"/>
      <c r="N47"/>
    </row>
    <row r="48" spans="9:15">
      <c r="K48"/>
      <c r="L48"/>
      <c r="M48"/>
      <c r="N48"/>
    </row>
    <row r="49" spans="11:14">
      <c r="K49"/>
      <c r="L49"/>
      <c r="M49"/>
      <c r="N49"/>
    </row>
    <row r="50" spans="11:14">
      <c r="K50"/>
      <c r="L50"/>
      <c r="M50"/>
      <c r="N50"/>
    </row>
    <row r="51" spans="11:14">
      <c r="K51"/>
      <c r="L51"/>
      <c r="M51"/>
      <c r="N51"/>
    </row>
    <row r="52" spans="11:14">
      <c r="K52"/>
      <c r="L52"/>
      <c r="M52"/>
      <c r="N52"/>
    </row>
    <row r="53" spans="11:14">
      <c r="K53"/>
      <c r="L53"/>
      <c r="M53"/>
      <c r="N53"/>
    </row>
    <row r="54" spans="11:14">
      <c r="K54"/>
      <c r="L54"/>
      <c r="M54"/>
      <c r="N54"/>
    </row>
    <row r="55" spans="11:14">
      <c r="K55"/>
      <c r="L55"/>
      <c r="M55"/>
      <c r="N55"/>
    </row>
    <row r="56" spans="11:14">
      <c r="K56"/>
      <c r="L56"/>
      <c r="M56"/>
      <c r="N56"/>
    </row>
    <row r="57" spans="11:14">
      <c r="K57"/>
      <c r="L57"/>
      <c r="M57"/>
      <c r="N57"/>
    </row>
    <row r="58" spans="11:14">
      <c r="K58"/>
      <c r="L58"/>
      <c r="M58"/>
      <c r="N58"/>
    </row>
    <row r="59" spans="11:14">
      <c r="K59"/>
      <c r="L59"/>
      <c r="M59"/>
      <c r="N59"/>
    </row>
    <row r="60" spans="11:14">
      <c r="K60"/>
      <c r="L60"/>
      <c r="M60"/>
      <c r="N60"/>
    </row>
    <row r="61" spans="11:14">
      <c r="K61"/>
      <c r="L61"/>
      <c r="M61"/>
      <c r="N61"/>
    </row>
    <row r="62" spans="11:14">
      <c r="K62"/>
      <c r="L62"/>
      <c r="M62"/>
      <c r="N62"/>
    </row>
    <row r="63" spans="11:14">
      <c r="K63"/>
      <c r="L63"/>
      <c r="M63"/>
      <c r="N63"/>
    </row>
    <row r="64" spans="11:14">
      <c r="K64"/>
      <c r="L64"/>
      <c r="M64"/>
      <c r="N64"/>
    </row>
    <row r="65" spans="11:14">
      <c r="K65"/>
      <c r="L65"/>
      <c r="M65"/>
      <c r="N65"/>
    </row>
    <row r="66" spans="11:14">
      <c r="K66"/>
      <c r="L66"/>
      <c r="M66"/>
      <c r="N66"/>
    </row>
    <row r="67" spans="11:14">
      <c r="K67"/>
      <c r="L67"/>
      <c r="M67"/>
      <c r="N67"/>
    </row>
    <row r="68" spans="11:14">
      <c r="K68"/>
      <c r="L68"/>
      <c r="M68"/>
      <c r="N68"/>
    </row>
    <row r="69" spans="11:14">
      <c r="K69"/>
      <c r="L69"/>
      <c r="M69"/>
      <c r="N69"/>
    </row>
    <row r="70" spans="11:14">
      <c r="K70"/>
      <c r="L70"/>
      <c r="M70"/>
      <c r="N70"/>
    </row>
    <row r="71" spans="11:14">
      <c r="K71"/>
      <c r="L71"/>
      <c r="M71"/>
      <c r="N71"/>
    </row>
    <row r="72" spans="11:14">
      <c r="K72"/>
      <c r="L72"/>
      <c r="M72"/>
      <c r="N72"/>
    </row>
    <row r="73" spans="11:14">
      <c r="K73"/>
      <c r="L73"/>
      <c r="M73"/>
      <c r="N73"/>
    </row>
    <row r="74" spans="11:14">
      <c r="K74"/>
      <c r="L74"/>
      <c r="M74"/>
      <c r="N74"/>
    </row>
    <row r="75" spans="11:14">
      <c r="K75"/>
      <c r="L75"/>
      <c r="M75"/>
      <c r="N75"/>
    </row>
    <row r="76" spans="11:14">
      <c r="K76"/>
      <c r="L76"/>
      <c r="M76"/>
      <c r="N76"/>
    </row>
    <row r="77" spans="11:14">
      <c r="K77"/>
      <c r="L77"/>
      <c r="M77"/>
      <c r="N77"/>
    </row>
    <row r="78" spans="11:14">
      <c r="K78"/>
      <c r="L78"/>
      <c r="M78"/>
      <c r="N78"/>
    </row>
    <row r="79" spans="11:14">
      <c r="K79"/>
      <c r="L79"/>
      <c r="M79"/>
      <c r="N79"/>
    </row>
    <row r="80" spans="11:14">
      <c r="K80"/>
      <c r="L80"/>
      <c r="M80"/>
      <c r="N80"/>
    </row>
    <row r="81" spans="11:14">
      <c r="K81"/>
      <c r="L81"/>
      <c r="M81"/>
      <c r="N81"/>
    </row>
    <row r="82" spans="11:14">
      <c r="K82"/>
      <c r="L82"/>
      <c r="M82"/>
      <c r="N82"/>
    </row>
    <row r="83" spans="11:14">
      <c r="K83"/>
      <c r="L83"/>
      <c r="M83"/>
      <c r="N83"/>
    </row>
    <row r="84" spans="11:14">
      <c r="K84"/>
      <c r="L84"/>
      <c r="M84"/>
      <c r="N84"/>
    </row>
    <row r="85" spans="11:14">
      <c r="K85"/>
      <c r="L85"/>
      <c r="M85"/>
      <c r="N85"/>
    </row>
    <row r="86" spans="11:14">
      <c r="K86"/>
      <c r="L86"/>
      <c r="M86"/>
      <c r="N86"/>
    </row>
    <row r="87" spans="11:14">
      <c r="K87"/>
      <c r="L87"/>
      <c r="M87"/>
      <c r="N87"/>
    </row>
    <row r="88" spans="11:14">
      <c r="K88"/>
      <c r="L88"/>
      <c r="M88"/>
      <c r="N88"/>
    </row>
    <row r="89" spans="11:14">
      <c r="K89"/>
      <c r="L89"/>
      <c r="M89"/>
      <c r="N89"/>
    </row>
    <row r="90" spans="11:14">
      <c r="K90"/>
      <c r="L90"/>
      <c r="M90"/>
      <c r="N90"/>
    </row>
    <row r="91" spans="11:14">
      <c r="K91"/>
      <c r="L91"/>
      <c r="M91"/>
      <c r="N91"/>
    </row>
    <row r="92" spans="11:14">
      <c r="K92"/>
      <c r="L92"/>
      <c r="M92"/>
      <c r="N92"/>
    </row>
    <row r="93" spans="11:14">
      <c r="K93"/>
      <c r="L93"/>
      <c r="M93"/>
      <c r="N93"/>
    </row>
    <row r="94" spans="11:14">
      <c r="K94"/>
      <c r="L94"/>
      <c r="M94"/>
      <c r="N94"/>
    </row>
    <row r="95" spans="11:14">
      <c r="K95"/>
      <c r="L95"/>
      <c r="M95"/>
      <c r="N95"/>
    </row>
    <row r="96" spans="11:14">
      <c r="K96"/>
      <c r="L96"/>
      <c r="M96"/>
      <c r="N96"/>
    </row>
    <row r="97" spans="11:14">
      <c r="K97"/>
      <c r="L97"/>
      <c r="M97"/>
      <c r="N97"/>
    </row>
    <row r="98" spans="11:14">
      <c r="K98"/>
      <c r="L98"/>
      <c r="M98"/>
      <c r="N98"/>
    </row>
    <row r="99" spans="11:14">
      <c r="K99"/>
      <c r="L99"/>
      <c r="M99"/>
      <c r="N99"/>
    </row>
    <row r="100" spans="11:14">
      <c r="K100"/>
      <c r="L100"/>
      <c r="M100"/>
      <c r="N100"/>
    </row>
    <row r="101" spans="11:14">
      <c r="K101"/>
      <c r="L101"/>
      <c r="M101"/>
      <c r="N101"/>
    </row>
    <row r="102" spans="11:14">
      <c r="K102"/>
      <c r="L102"/>
      <c r="M102"/>
      <c r="N102"/>
    </row>
    <row r="103" spans="11:14">
      <c r="K103"/>
      <c r="L103"/>
      <c r="M103"/>
      <c r="N103"/>
    </row>
    <row r="104" spans="11:14">
      <c r="K104"/>
      <c r="L104"/>
      <c r="M104"/>
      <c r="N104"/>
    </row>
    <row r="105" spans="11:14">
      <c r="K105"/>
      <c r="L105"/>
      <c r="M105"/>
      <c r="N105"/>
    </row>
    <row r="106" spans="11:14">
      <c r="K106"/>
      <c r="L106"/>
      <c r="M106"/>
      <c r="N106"/>
    </row>
    <row r="107" spans="11:14">
      <c r="K107"/>
      <c r="L107"/>
      <c r="M107"/>
      <c r="N107"/>
    </row>
    <row r="108" spans="11:14">
      <c r="K108"/>
      <c r="L108"/>
      <c r="M108"/>
      <c r="N108"/>
    </row>
    <row r="109" spans="11:14">
      <c r="K109"/>
      <c r="L109"/>
      <c r="M109"/>
      <c r="N109"/>
    </row>
    <row r="110" spans="11:14">
      <c r="K110"/>
      <c r="L110"/>
      <c r="M110"/>
      <c r="N110"/>
    </row>
    <row r="111" spans="11:14">
      <c r="K111"/>
      <c r="L111"/>
      <c r="M111"/>
      <c r="N111"/>
    </row>
    <row r="112" spans="11:14">
      <c r="K112"/>
      <c r="L112"/>
      <c r="M112"/>
      <c r="N112"/>
    </row>
    <row r="113" spans="11:14">
      <c r="K113"/>
      <c r="L113"/>
      <c r="M113"/>
      <c r="N113"/>
    </row>
    <row r="114" spans="11:14">
      <c r="K114"/>
      <c r="L114"/>
      <c r="M114"/>
      <c r="N114"/>
    </row>
    <row r="115" spans="11:14">
      <c r="K115"/>
      <c r="L115"/>
      <c r="M115"/>
      <c r="N115"/>
    </row>
    <row r="116" spans="11:14">
      <c r="K116"/>
      <c r="L116"/>
      <c r="M116"/>
      <c r="N116"/>
    </row>
    <row r="117" spans="11:14">
      <c r="K117"/>
      <c r="L117"/>
      <c r="M117"/>
      <c r="N117"/>
    </row>
    <row r="118" spans="11:14">
      <c r="K118"/>
      <c r="L118"/>
      <c r="M118"/>
      <c r="N118"/>
    </row>
    <row r="119" spans="11:14">
      <c r="K119"/>
      <c r="L119"/>
      <c r="M119"/>
      <c r="N119"/>
    </row>
    <row r="120" spans="11:14">
      <c r="K120"/>
      <c r="L120"/>
      <c r="M120"/>
      <c r="N120"/>
    </row>
    <row r="121" spans="11:14">
      <c r="K121"/>
      <c r="L121"/>
      <c r="M121"/>
      <c r="N121"/>
    </row>
    <row r="122" spans="11:14">
      <c r="K122"/>
      <c r="L122"/>
      <c r="M122"/>
      <c r="N122"/>
    </row>
    <row r="123" spans="11:14">
      <c r="K123"/>
      <c r="L123"/>
      <c r="M123"/>
      <c r="N123"/>
    </row>
    <row r="124" spans="11:14">
      <c r="K124"/>
      <c r="L124"/>
      <c r="M124"/>
      <c r="N124"/>
    </row>
    <row r="125" spans="11:14">
      <c r="K125"/>
      <c r="L125"/>
      <c r="M125"/>
      <c r="N125"/>
    </row>
    <row r="126" spans="11:14">
      <c r="K126"/>
      <c r="L126"/>
      <c r="M126"/>
      <c r="N126"/>
    </row>
    <row r="127" spans="11:14">
      <c r="K127"/>
      <c r="L127"/>
      <c r="M127"/>
      <c r="N127"/>
    </row>
    <row r="128" spans="11:14">
      <c r="K128"/>
      <c r="L128"/>
      <c r="M128"/>
      <c r="N128"/>
    </row>
  </sheetData>
  <phoneticPr fontId="5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6"/>
  <sheetViews>
    <sheetView windowProtection="1" workbookViewId="0">
      <selection sqref="A1:H1"/>
    </sheetView>
  </sheetViews>
  <sheetFormatPr defaultRowHeight="16.5" outlineLevelRow="3"/>
  <cols>
    <col min="1" max="1" width="7.375" style="1" bestFit="1" customWidth="1"/>
    <col min="2" max="2" width="6.375" style="1" bestFit="1" customWidth="1"/>
    <col min="3" max="3" width="15.125" style="1" bestFit="1" customWidth="1"/>
    <col min="4" max="8" width="6.25" style="1" customWidth="1"/>
    <col min="9" max="10" width="13.875" style="1" customWidth="1"/>
    <col min="11" max="16384" width="9" style="1"/>
  </cols>
  <sheetData>
    <row r="1" spans="1:8" ht="20.25">
      <c r="A1" s="93" t="s">
        <v>205</v>
      </c>
      <c r="B1" s="93"/>
      <c r="C1" s="93"/>
      <c r="D1" s="93"/>
      <c r="E1" s="93"/>
      <c r="F1" s="93"/>
      <c r="G1" s="93"/>
      <c r="H1" s="93"/>
    </row>
    <row r="3" spans="1:8" s="12" customFormat="1">
      <c r="A3" s="50" t="s">
        <v>206</v>
      </c>
      <c r="B3" s="50" t="s">
        <v>207</v>
      </c>
      <c r="C3" s="50" t="s">
        <v>208</v>
      </c>
      <c r="D3" s="50" t="s">
        <v>209</v>
      </c>
      <c r="E3" s="51" t="s">
        <v>210</v>
      </c>
      <c r="F3" s="51" t="s">
        <v>211</v>
      </c>
      <c r="G3" s="51" t="s">
        <v>212</v>
      </c>
      <c r="H3" s="51" t="s">
        <v>213</v>
      </c>
    </row>
    <row r="4" spans="1:8" outlineLevel="3">
      <c r="A4" s="30" t="s">
        <v>214</v>
      </c>
      <c r="B4" s="30" t="s">
        <v>215</v>
      </c>
      <c r="C4" s="30" t="s">
        <v>216</v>
      </c>
      <c r="D4" s="30" t="s">
        <v>217</v>
      </c>
      <c r="E4" s="30">
        <v>80</v>
      </c>
      <c r="F4" s="30">
        <v>75</v>
      </c>
      <c r="G4" s="30">
        <v>86</v>
      </c>
      <c r="H4" s="30">
        <v>85</v>
      </c>
    </row>
    <row r="5" spans="1:8" outlineLevel="2">
      <c r="A5" s="30"/>
      <c r="B5" s="30"/>
      <c r="C5" s="30"/>
      <c r="D5" s="52" t="s">
        <v>218</v>
      </c>
      <c r="E5" s="30"/>
      <c r="F5" s="30"/>
      <c r="G5" s="30"/>
      <c r="H5" s="30">
        <f>SUBTOTAL(4,H4:H4)</f>
        <v>85</v>
      </c>
    </row>
    <row r="6" spans="1:8" outlineLevel="3">
      <c r="A6" s="30" t="s">
        <v>219</v>
      </c>
      <c r="B6" s="30" t="s">
        <v>220</v>
      </c>
      <c r="C6" s="30" t="s">
        <v>216</v>
      </c>
      <c r="D6" s="30" t="s">
        <v>221</v>
      </c>
      <c r="E6" s="30">
        <v>75</v>
      </c>
      <c r="F6" s="30">
        <v>85</v>
      </c>
      <c r="G6" s="30">
        <v>88</v>
      </c>
      <c r="H6" s="30">
        <v>92</v>
      </c>
    </row>
    <row r="7" spans="1:8" outlineLevel="2">
      <c r="A7" s="30"/>
      <c r="B7" s="30"/>
      <c r="C7" s="30"/>
      <c r="D7" s="52" t="s">
        <v>222</v>
      </c>
      <c r="E7" s="30"/>
      <c r="F7" s="30"/>
      <c r="G7" s="30"/>
      <c r="H7" s="30">
        <f>SUBTOTAL(4,H6:H6)</f>
        <v>92</v>
      </c>
    </row>
    <row r="8" spans="1:8" outlineLevel="1">
      <c r="A8" s="30"/>
      <c r="B8" s="30"/>
      <c r="C8" s="52" t="s">
        <v>223</v>
      </c>
      <c r="D8" s="30"/>
      <c r="E8" s="30">
        <f>SUBTOTAL(1,E4:E6)</f>
        <v>77.5</v>
      </c>
      <c r="F8" s="30">
        <f>SUBTOTAL(1,F4:F6)</f>
        <v>80</v>
      </c>
      <c r="G8" s="30">
        <f>SUBTOTAL(1,G4:G6)</f>
        <v>87</v>
      </c>
      <c r="H8" s="30">
        <f>SUBTOTAL(1,H4:H6)</f>
        <v>88.5</v>
      </c>
    </row>
    <row r="9" spans="1:8" outlineLevel="3">
      <c r="A9" s="30" t="s">
        <v>224</v>
      </c>
      <c r="B9" s="30" t="s">
        <v>225</v>
      </c>
      <c r="C9" s="30" t="s">
        <v>226</v>
      </c>
      <c r="D9" s="30" t="s">
        <v>227</v>
      </c>
      <c r="E9" s="30">
        <v>75</v>
      </c>
      <c r="F9" s="30">
        <v>58</v>
      </c>
      <c r="G9" s="30">
        <v>95</v>
      </c>
      <c r="H9" s="30">
        <v>92</v>
      </c>
    </row>
    <row r="10" spans="1:8" outlineLevel="3">
      <c r="A10" s="30" t="s">
        <v>228</v>
      </c>
      <c r="B10" s="30" t="s">
        <v>229</v>
      </c>
      <c r="C10" s="30" t="s">
        <v>226</v>
      </c>
      <c r="D10" s="30" t="s">
        <v>227</v>
      </c>
      <c r="E10" s="30">
        <v>45</v>
      </c>
      <c r="F10" s="30">
        <v>76</v>
      </c>
      <c r="G10" s="30">
        <v>55</v>
      </c>
      <c r="H10" s="30">
        <v>96</v>
      </c>
    </row>
    <row r="11" spans="1:8" outlineLevel="3">
      <c r="A11" s="30" t="s">
        <v>230</v>
      </c>
      <c r="B11" s="30" t="s">
        <v>231</v>
      </c>
      <c r="C11" s="30" t="s">
        <v>226</v>
      </c>
      <c r="D11" s="30" t="s">
        <v>227</v>
      </c>
      <c r="E11" s="30">
        <v>80</v>
      </c>
      <c r="F11" s="30">
        <v>93</v>
      </c>
      <c r="G11" s="30">
        <v>86</v>
      </c>
      <c r="H11" s="30">
        <v>90</v>
      </c>
    </row>
    <row r="12" spans="1:8" outlineLevel="2">
      <c r="A12" s="30"/>
      <c r="B12" s="30"/>
      <c r="C12" s="30"/>
      <c r="D12" s="52" t="s">
        <v>222</v>
      </c>
      <c r="E12" s="30"/>
      <c r="F12" s="30"/>
      <c r="G12" s="30"/>
      <c r="H12" s="30">
        <f>SUBTOTAL(4,H9:H11)</f>
        <v>96</v>
      </c>
    </row>
    <row r="13" spans="1:8" outlineLevel="1">
      <c r="A13" s="30"/>
      <c r="B13" s="30"/>
      <c r="C13" s="52" t="s">
        <v>232</v>
      </c>
      <c r="D13" s="30"/>
      <c r="E13" s="30">
        <f>SUBTOTAL(1,E9:E11)</f>
        <v>66.666666666666671</v>
      </c>
      <c r="F13" s="30">
        <f>SUBTOTAL(1,F9:F11)</f>
        <v>75.666666666666671</v>
      </c>
      <c r="G13" s="30">
        <f>SUBTOTAL(1,G9:G11)</f>
        <v>78.666666666666671</v>
      </c>
      <c r="H13" s="30">
        <f>SUBTOTAL(1,H9:H11)</f>
        <v>92.666666666666671</v>
      </c>
    </row>
    <row r="14" spans="1:8" outlineLevel="3">
      <c r="A14" s="30" t="s">
        <v>233</v>
      </c>
      <c r="B14" s="30" t="s">
        <v>234</v>
      </c>
      <c r="C14" s="30" t="s">
        <v>235</v>
      </c>
      <c r="D14" s="30" t="s">
        <v>236</v>
      </c>
      <c r="E14" s="30">
        <v>99</v>
      </c>
      <c r="F14" s="30">
        <v>97</v>
      </c>
      <c r="G14" s="30">
        <v>90</v>
      </c>
      <c r="H14" s="30">
        <v>88</v>
      </c>
    </row>
    <row r="15" spans="1:8" outlineLevel="2">
      <c r="A15" s="30"/>
      <c r="B15" s="30"/>
      <c r="C15" s="30"/>
      <c r="D15" s="52" t="s">
        <v>218</v>
      </c>
      <c r="E15" s="30"/>
      <c r="F15" s="30"/>
      <c r="G15" s="30"/>
      <c r="H15" s="30">
        <f>SUBTOTAL(4,H14:H14)</f>
        <v>88</v>
      </c>
    </row>
    <row r="16" spans="1:8" outlineLevel="3">
      <c r="A16" s="30" t="s">
        <v>237</v>
      </c>
      <c r="B16" s="30" t="s">
        <v>238</v>
      </c>
      <c r="C16" s="30" t="s">
        <v>235</v>
      </c>
      <c r="D16" s="30" t="s">
        <v>227</v>
      </c>
      <c r="E16" s="30">
        <v>88</v>
      </c>
      <c r="F16" s="30">
        <v>92</v>
      </c>
      <c r="G16" s="30">
        <v>80</v>
      </c>
      <c r="H16" s="30">
        <v>90</v>
      </c>
    </row>
    <row r="17" spans="1:8" outlineLevel="2">
      <c r="A17" s="30"/>
      <c r="B17" s="30"/>
      <c r="C17" s="30"/>
      <c r="D17" s="52" t="s">
        <v>222</v>
      </c>
      <c r="E17" s="30"/>
      <c r="F17" s="30"/>
      <c r="G17" s="30"/>
      <c r="H17" s="30">
        <f>SUBTOTAL(4,H16:H16)</f>
        <v>90</v>
      </c>
    </row>
    <row r="18" spans="1:8" outlineLevel="1">
      <c r="A18" s="30"/>
      <c r="B18" s="30"/>
      <c r="C18" s="52" t="s">
        <v>239</v>
      </c>
      <c r="D18" s="30"/>
      <c r="E18" s="30">
        <f>SUBTOTAL(1,E14:E16)</f>
        <v>93.5</v>
      </c>
      <c r="F18" s="30">
        <f>SUBTOTAL(1,F14:F16)</f>
        <v>94.5</v>
      </c>
      <c r="G18" s="30">
        <f>SUBTOTAL(1,G14:G16)</f>
        <v>85</v>
      </c>
      <c r="H18" s="30">
        <f>SUBTOTAL(1,H14:H16)</f>
        <v>89</v>
      </c>
    </row>
    <row r="19" spans="1:8" outlineLevel="3">
      <c r="A19" s="30" t="s">
        <v>240</v>
      </c>
      <c r="B19" s="30" t="s">
        <v>241</v>
      </c>
      <c r="C19" s="30" t="s">
        <v>242</v>
      </c>
      <c r="D19" s="30" t="s">
        <v>236</v>
      </c>
      <c r="E19" s="30">
        <v>64</v>
      </c>
      <c r="F19" s="30">
        <v>85</v>
      </c>
      <c r="G19" s="30">
        <v>50</v>
      </c>
      <c r="H19" s="30">
        <v>90</v>
      </c>
    </row>
    <row r="20" spans="1:8" outlineLevel="3">
      <c r="A20" s="30" t="s">
        <v>243</v>
      </c>
      <c r="B20" s="30" t="s">
        <v>244</v>
      </c>
      <c r="C20" s="30" t="s">
        <v>242</v>
      </c>
      <c r="D20" s="30" t="s">
        <v>236</v>
      </c>
      <c r="E20" s="30">
        <v>52</v>
      </c>
      <c r="F20" s="30">
        <v>23</v>
      </c>
      <c r="G20" s="30">
        <v>15</v>
      </c>
      <c r="H20" s="30">
        <v>95</v>
      </c>
    </row>
    <row r="21" spans="1:8" outlineLevel="2">
      <c r="A21" s="30"/>
      <c r="B21" s="30"/>
      <c r="C21" s="30"/>
      <c r="D21" s="52" t="s">
        <v>218</v>
      </c>
      <c r="E21" s="30"/>
      <c r="F21" s="30"/>
      <c r="G21" s="30"/>
      <c r="H21" s="30">
        <f>SUBTOTAL(4,H19:H20)</f>
        <v>95</v>
      </c>
    </row>
    <row r="22" spans="1:8" outlineLevel="3">
      <c r="A22" s="30" t="s">
        <v>245</v>
      </c>
      <c r="B22" s="30" t="s">
        <v>246</v>
      </c>
      <c r="C22" s="30" t="s">
        <v>247</v>
      </c>
      <c r="D22" s="30" t="s">
        <v>248</v>
      </c>
      <c r="E22" s="30">
        <v>95</v>
      </c>
      <c r="F22" s="30">
        <v>96</v>
      </c>
      <c r="G22" s="30">
        <v>97</v>
      </c>
      <c r="H22" s="30">
        <v>98</v>
      </c>
    </row>
    <row r="23" spans="1:8" outlineLevel="2">
      <c r="A23" s="53"/>
      <c r="B23" s="53"/>
      <c r="C23" s="53"/>
      <c r="D23" s="54" t="s">
        <v>222</v>
      </c>
      <c r="E23" s="53"/>
      <c r="F23" s="53"/>
      <c r="G23" s="53"/>
      <c r="H23" s="53">
        <f>SUBTOTAL(4,H22:H22)</f>
        <v>98</v>
      </c>
    </row>
    <row r="24" spans="1:8" outlineLevel="1">
      <c r="A24" s="53"/>
      <c r="B24" s="53"/>
      <c r="C24" s="54" t="s">
        <v>249</v>
      </c>
      <c r="D24" s="53"/>
      <c r="E24" s="53">
        <f>SUBTOTAL(1,E19:E22)</f>
        <v>70.333333333333329</v>
      </c>
      <c r="F24" s="53">
        <f>SUBTOTAL(1,F19:F22)</f>
        <v>68</v>
      </c>
      <c r="G24" s="53">
        <f>SUBTOTAL(1,G19:G22)</f>
        <v>54</v>
      </c>
      <c r="H24" s="53">
        <f>SUBTOTAL(1,H19:H22)</f>
        <v>94.333333333333329</v>
      </c>
    </row>
    <row r="25" spans="1:8">
      <c r="A25" s="53"/>
      <c r="B25" s="53"/>
      <c r="C25" s="54"/>
      <c r="D25" s="54" t="s">
        <v>250</v>
      </c>
      <c r="E25" s="53"/>
      <c r="F25" s="53"/>
      <c r="G25" s="53"/>
      <c r="H25" s="53">
        <f>SUBTOTAL(4,H4:H22)</f>
        <v>98</v>
      </c>
    </row>
    <row r="26" spans="1:8">
      <c r="A26" s="53"/>
      <c r="B26" s="53"/>
      <c r="C26" s="54" t="s">
        <v>251</v>
      </c>
      <c r="D26" s="53"/>
      <c r="E26" s="53">
        <f>SUBTOTAL(1,E4:E22)</f>
        <v>75.3</v>
      </c>
      <c r="F26" s="53">
        <f>SUBTOTAL(1,F4:F22)</f>
        <v>78</v>
      </c>
      <c r="G26" s="53">
        <f>SUBTOTAL(1,G4:G22)</f>
        <v>74.2</v>
      </c>
      <c r="H26" s="53">
        <f>SUBTOTAL(1,H4:H22)</f>
        <v>91.6</v>
      </c>
    </row>
  </sheetData>
  <sortState ref="A4:H13">
    <sortCondition ref="C4:C13"/>
    <sortCondition descending="1" ref="D4:D13"/>
  </sortState>
  <mergeCells count="1">
    <mergeCell ref="A1:H1"/>
  </mergeCells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0"/>
  <sheetViews>
    <sheetView windowProtection="1" workbookViewId="0"/>
  </sheetViews>
  <sheetFormatPr defaultRowHeight="16.5"/>
  <cols>
    <col min="1" max="1" width="13.125" style="1" customWidth="1"/>
    <col min="2" max="2" width="8.75" style="1" customWidth="1"/>
    <col min="3" max="3" width="9" style="1"/>
    <col min="4" max="4" width="13" style="1" bestFit="1" customWidth="1"/>
    <col min="5" max="5" width="11.125" style="1" bestFit="1" customWidth="1"/>
    <col min="6" max="6" width="3.375" style="1" customWidth="1"/>
    <col min="7" max="16384" width="9" style="1"/>
  </cols>
  <sheetData>
    <row r="1" spans="1:5">
      <c r="B1" s="1" t="s">
        <v>252</v>
      </c>
    </row>
    <row r="2" spans="1:5">
      <c r="A2" s="21" t="s">
        <v>253</v>
      </c>
      <c r="B2" s="21" t="s">
        <v>254</v>
      </c>
      <c r="C2" s="21" t="s">
        <v>255</v>
      </c>
      <c r="D2" s="21" t="s">
        <v>256</v>
      </c>
      <c r="E2" s="21" t="s">
        <v>257</v>
      </c>
    </row>
    <row r="3" spans="1:5">
      <c r="A3" s="21" t="s">
        <v>258</v>
      </c>
      <c r="B3" s="21">
        <v>250</v>
      </c>
      <c r="C3" s="21">
        <v>9</v>
      </c>
      <c r="D3" s="21">
        <v>7</v>
      </c>
      <c r="E3" s="21">
        <v>1750</v>
      </c>
    </row>
    <row r="4" spans="1:5">
      <c r="A4" s="21" t="s">
        <v>259</v>
      </c>
      <c r="B4" s="21">
        <v>150</v>
      </c>
      <c r="C4" s="21">
        <v>5</v>
      </c>
      <c r="D4" s="21">
        <v>2</v>
      </c>
      <c r="E4" s="21">
        <v>300</v>
      </c>
    </row>
    <row r="5" spans="1:5">
      <c r="A5" s="21" t="s">
        <v>260</v>
      </c>
      <c r="B5" s="21">
        <v>440</v>
      </c>
      <c r="C5" s="21">
        <v>11</v>
      </c>
      <c r="D5" s="21">
        <v>15</v>
      </c>
      <c r="E5" s="21">
        <v>6600</v>
      </c>
    </row>
    <row r="6" spans="1:5">
      <c r="A6" s="21" t="s">
        <v>261</v>
      </c>
      <c r="B6" s="21">
        <v>950</v>
      </c>
      <c r="C6" s="21">
        <v>14</v>
      </c>
      <c r="D6" s="21">
        <v>14</v>
      </c>
      <c r="E6" s="21">
        <v>13300</v>
      </c>
    </row>
    <row r="7" spans="1:5">
      <c r="A7" s="21" t="s">
        <v>262</v>
      </c>
      <c r="B7" s="21">
        <v>560</v>
      </c>
      <c r="C7" s="21">
        <v>7</v>
      </c>
      <c r="D7" s="21">
        <v>20</v>
      </c>
      <c r="E7" s="21">
        <v>11200</v>
      </c>
    </row>
    <row r="8" spans="1:5">
      <c r="A8" s="21" t="s">
        <v>263</v>
      </c>
      <c r="B8" s="21">
        <v>340</v>
      </c>
      <c r="C8" s="21">
        <v>17</v>
      </c>
      <c r="D8" s="21">
        <v>23</v>
      </c>
      <c r="E8" s="21">
        <v>7820</v>
      </c>
    </row>
    <row r="9" spans="1:5">
      <c r="A9" s="21" t="s">
        <v>264</v>
      </c>
      <c r="B9" s="21">
        <v>2340</v>
      </c>
      <c r="C9" s="21">
        <v>12</v>
      </c>
      <c r="D9" s="21">
        <v>10</v>
      </c>
      <c r="E9" s="21">
        <v>23400</v>
      </c>
    </row>
    <row r="10" spans="1:5">
      <c r="A10" s="21" t="s">
        <v>265</v>
      </c>
      <c r="B10" s="21">
        <v>1530</v>
      </c>
      <c r="C10" s="21">
        <v>19</v>
      </c>
      <c r="D10" s="21">
        <v>15</v>
      </c>
      <c r="E10" s="21">
        <v>22950</v>
      </c>
    </row>
  </sheetData>
  <phoneticPr fontId="5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38"/>
  <sheetViews>
    <sheetView windowProtection="1" workbookViewId="0"/>
  </sheetViews>
  <sheetFormatPr defaultRowHeight="16.5"/>
  <cols>
    <col min="1" max="1" width="14.5" style="1" bestFit="1" customWidth="1"/>
    <col min="2" max="16384" width="9" style="1"/>
  </cols>
  <sheetData>
    <row r="1" spans="1:8">
      <c r="A1" s="1" t="s">
        <v>266</v>
      </c>
    </row>
    <row r="3" spans="1:8">
      <c r="A3" s="55" t="s">
        <v>267</v>
      </c>
      <c r="B3" s="55" t="s">
        <v>268</v>
      </c>
      <c r="C3" s="55" t="s">
        <v>269</v>
      </c>
      <c r="D3" s="55" t="s">
        <v>270</v>
      </c>
      <c r="G3" s="55"/>
      <c r="H3" s="55"/>
    </row>
    <row r="4" spans="1:8">
      <c r="A4" s="56">
        <v>43475</v>
      </c>
      <c r="B4" s="29" t="s">
        <v>261</v>
      </c>
      <c r="C4" s="57" t="s">
        <v>271</v>
      </c>
      <c r="D4" s="58">
        <v>2850</v>
      </c>
    </row>
    <row r="5" spans="1:8">
      <c r="A5" s="56">
        <v>43475</v>
      </c>
      <c r="B5" s="29" t="s">
        <v>263</v>
      </c>
      <c r="C5" s="57" t="s">
        <v>272</v>
      </c>
      <c r="D5" s="58">
        <v>3400</v>
      </c>
    </row>
    <row r="6" spans="1:8">
      <c r="A6" s="56">
        <v>43475</v>
      </c>
      <c r="B6" s="29" t="s">
        <v>262</v>
      </c>
      <c r="C6" s="57" t="s">
        <v>273</v>
      </c>
      <c r="D6" s="58">
        <v>3360</v>
      </c>
    </row>
    <row r="7" spans="1:8">
      <c r="A7" s="56">
        <v>43475</v>
      </c>
      <c r="B7" s="1" t="s">
        <v>261</v>
      </c>
      <c r="C7" s="59" t="s">
        <v>274</v>
      </c>
      <c r="D7" s="60">
        <v>950</v>
      </c>
    </row>
    <row r="8" spans="1:8">
      <c r="A8" s="61"/>
      <c r="C8" s="59"/>
      <c r="D8" s="60"/>
    </row>
    <row r="9" spans="1:8">
      <c r="C9" s="59"/>
    </row>
    <row r="10" spans="1:8">
      <c r="C10" s="59"/>
    </row>
    <row r="11" spans="1:8">
      <c r="C11" s="59"/>
    </row>
    <row r="12" spans="1:8">
      <c r="C12" s="59"/>
    </row>
    <row r="13" spans="1:8">
      <c r="C13" s="59"/>
    </row>
    <row r="14" spans="1:8">
      <c r="C14" s="59"/>
    </row>
    <row r="15" spans="1:8">
      <c r="C15" s="59"/>
    </row>
    <row r="16" spans="1:8">
      <c r="C16" s="59"/>
    </row>
    <row r="17" spans="3:3">
      <c r="C17" s="59"/>
    </row>
    <row r="18" spans="3:3">
      <c r="C18" s="59"/>
    </row>
    <row r="19" spans="3:3">
      <c r="C19" s="59"/>
    </row>
    <row r="20" spans="3:3">
      <c r="C20" s="59"/>
    </row>
    <row r="21" spans="3:3">
      <c r="C21" s="59"/>
    </row>
    <row r="22" spans="3:3">
      <c r="C22" s="59"/>
    </row>
    <row r="23" spans="3:3">
      <c r="C23" s="59"/>
    </row>
    <row r="24" spans="3:3">
      <c r="C24" s="59"/>
    </row>
    <row r="25" spans="3:3">
      <c r="C25" s="59"/>
    </row>
    <row r="26" spans="3:3">
      <c r="C26" s="59"/>
    </row>
    <row r="27" spans="3:3">
      <c r="C27" s="59"/>
    </row>
    <row r="28" spans="3:3">
      <c r="C28" s="59"/>
    </row>
    <row r="29" spans="3:3">
      <c r="C29" s="59"/>
    </row>
    <row r="30" spans="3:3">
      <c r="C30" s="59"/>
    </row>
    <row r="31" spans="3:3">
      <c r="C31" s="59"/>
    </row>
    <row r="32" spans="3:3">
      <c r="C32" s="59"/>
    </row>
    <row r="33" spans="3:3">
      <c r="C33" s="59"/>
    </row>
    <row r="34" spans="3:3">
      <c r="C34" s="59"/>
    </row>
    <row r="35" spans="3:3">
      <c r="C35" s="59"/>
    </row>
    <row r="36" spans="3:3">
      <c r="C36" s="59"/>
    </row>
    <row r="37" spans="3:3">
      <c r="C37" s="59"/>
    </row>
    <row r="38" spans="3:3">
      <c r="C38" s="59"/>
    </row>
  </sheetData>
  <phoneticPr fontId="5" type="noConversion"/>
  <pageMargins left="0.75" right="0.75" top="1" bottom="1" header="0.5" footer="0.5"/>
  <headerFooter alignWithMargins="0"/>
  <ignoredErrors>
    <ignoredError sqref="C4:C7" numberStoredAsText="1"/>
  </ignoredErrors>
  <drawing r:id="rId1"/>
  <legacyDrawing r:id="rId2"/>
  <controls>
    <mc:AlternateContent xmlns:mc="http://schemas.openxmlformats.org/markup-compatibility/2006">
      <mc:Choice Requires="x14">
        <control shapeId="2049" r:id="rId3" name="cmd종료">
          <controlPr defaultSize="0" autoLine="0" r:id="rId4">
            <anchor moveWithCells="1">
              <from>
                <xdr:col>5</xdr:col>
                <xdr:colOff>0</xdr:colOff>
                <xdr:row>2</xdr:row>
                <xdr:rowOff>9525</xdr:rowOff>
              </from>
              <to>
                <xdr:col>7</xdr:col>
                <xdr:colOff>152400</xdr:colOff>
                <xdr:row>3</xdr:row>
                <xdr:rowOff>133350</xdr:rowOff>
              </to>
            </anchor>
          </controlPr>
        </control>
      </mc:Choice>
      <mc:Fallback>
        <control shapeId="2049" r:id="rId3" name="cmd종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8</vt:i4>
      </vt:variant>
      <vt:variant>
        <vt:lpstr>차트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기타작업-1</vt:lpstr>
      <vt:lpstr>기타작업-2</vt:lpstr>
      <vt:lpstr>Chart1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2017-08-29T12:18:30Z</dcterms:created>
  <dcterms:modified xsi:type="dcterms:W3CDTF">2019-09-06T09:08:40Z</dcterms:modified>
</cp:coreProperties>
</file>