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현재_통합_문서" defaultThemeVersion="124226"/>
  <bookViews>
    <workbookView xWindow="345" yWindow="1800" windowWidth="26955" windowHeight="13005" activeTab="8"/>
  </bookViews>
  <sheets>
    <sheet name="기본작업-1" sheetId="1" r:id="rId1"/>
    <sheet name="기본작업-2" sheetId="2" r:id="rId2"/>
    <sheet name="기본작업-3" sheetId="9" r:id="rId3"/>
    <sheet name="계산작업" sheetId="3" r:id="rId4"/>
    <sheet name="2016년1사분기" sheetId="8" r:id="rId5"/>
    <sheet name="분석작업-1" sheetId="4" r:id="rId6"/>
    <sheet name="분석작업-2" sheetId="5" r:id="rId7"/>
    <sheet name="기타작업-1" sheetId="6" r:id="rId8"/>
    <sheet name="기타작업-2" sheetId="7" r:id="rId9"/>
  </sheets>
  <functionGroups builtInGroupCount="17"/>
  <definedNames>
    <definedName name="_xlnm._FilterDatabase" localSheetId="1" hidden="1">'기본작업-2'!$B$18:$F$27</definedName>
    <definedName name="_xlnm.Criteria" localSheetId="1">'기본작업-2'!$B$29:$D$32</definedName>
    <definedName name="_xlnm.Extract" localSheetId="1">'기본작업-2'!$B$35:$F$35</definedName>
    <definedName name="_xlnm.Print_Area" localSheetId="2">'기본작업-3'!#REF!</definedName>
    <definedName name="기준">'기타작업-2'!$A$3</definedName>
    <definedName name="요금내역">'기타작업-2'!$A$4:$G$5</definedName>
  </definedNames>
  <calcPr calcId="145621"/>
  <pivotCaches>
    <pivotCache cacheId="17" r:id="rId10"/>
  </pivotCaches>
</workbook>
</file>

<file path=xl/calcChain.xml><?xml version="1.0" encoding="utf-8"?>
<calcChain xmlns="http://schemas.openxmlformats.org/spreadsheetml/2006/main">
  <c r="G10" i="9" l="1"/>
  <c r="G9" i="9"/>
  <c r="G8" i="9"/>
  <c r="G7" i="9"/>
  <c r="G6" i="9"/>
  <c r="G5" i="9"/>
  <c r="G4" i="9"/>
  <c r="L4" i="5" l="1"/>
  <c r="L5" i="5"/>
  <c r="L6" i="5"/>
  <c r="L3" i="5"/>
  <c r="J13" i="6" l="1"/>
  <c r="J12" i="6"/>
  <c r="J11" i="6"/>
  <c r="J10" i="6"/>
  <c r="J9" i="6"/>
  <c r="J8" i="6"/>
  <c r="J7" i="6"/>
  <c r="J6" i="6"/>
  <c r="J5" i="6"/>
  <c r="J4" i="6"/>
  <c r="F6" i="5"/>
  <c r="F5" i="5"/>
  <c r="F4" i="5"/>
  <c r="F3" i="5"/>
  <c r="G47" i="3"/>
  <c r="G46" i="3"/>
  <c r="G45" i="3"/>
  <c r="G44" i="3"/>
  <c r="G43" i="3"/>
  <c r="G42" i="3"/>
  <c r="G41" i="3"/>
  <c r="G40" i="3"/>
  <c r="H26" i="3"/>
  <c r="G26" i="3"/>
  <c r="G25" i="3"/>
  <c r="H25" i="3" s="1"/>
  <c r="H24" i="3"/>
  <c r="G24" i="3"/>
  <c r="G23" i="3"/>
  <c r="H23" i="3" s="1"/>
  <c r="H22" i="3"/>
  <c r="G22" i="3"/>
  <c r="G18" i="3"/>
  <c r="G17" i="3"/>
  <c r="G16" i="3"/>
  <c r="G15" i="3"/>
  <c r="G14" i="3"/>
  <c r="G13" i="3"/>
  <c r="G12" i="3"/>
  <c r="G11" i="3"/>
  <c r="G10" i="3"/>
  <c r="F5" i="3" a="1"/>
  <c r="F5" i="3" s="1"/>
  <c r="E5" i="3" a="1"/>
  <c r="E5" i="3" s="1"/>
  <c r="D5" i="3" a="1"/>
  <c r="D5" i="3" s="1"/>
  <c r="G12" i="2"/>
  <c r="G11" i="2"/>
  <c r="H11" i="2" s="1"/>
  <c r="H10" i="2"/>
  <c r="G10" i="2"/>
  <c r="H9" i="2"/>
  <c r="G9" i="2"/>
  <c r="G8" i="2"/>
  <c r="I8" i="2" s="1"/>
  <c r="G7" i="2"/>
  <c r="H7" i="2" s="1"/>
  <c r="H6" i="2"/>
  <c r="G6" i="2"/>
  <c r="H5" i="2"/>
  <c r="G5" i="2"/>
  <c r="G4" i="2"/>
  <c r="H10" i="3"/>
  <c r="H15" i="3"/>
  <c r="H14" i="3"/>
  <c r="H18" i="3"/>
  <c r="H12" i="3"/>
  <c r="H11" i="3"/>
  <c r="H16" i="3"/>
  <c r="H17" i="3"/>
  <c r="H13" i="3"/>
  <c r="I4" i="2" l="1"/>
  <c r="I12" i="2"/>
  <c r="I5" i="2"/>
  <c r="I9" i="2"/>
  <c r="I7" i="2"/>
  <c r="I11" i="2"/>
  <c r="I6" i="2"/>
  <c r="I10" i="2"/>
  <c r="H4" i="2"/>
  <c r="H8" i="2"/>
  <c r="H12" i="2"/>
</calcChain>
</file>

<file path=xl/connections.xml><?xml version="1.0" encoding="utf-8"?>
<connections xmlns="http://schemas.openxmlformats.org/spreadsheetml/2006/main">
  <connection id="1" sourceFile="C:\길벗컴활1급(2010)\01 엑셀\03 기본모의고사\DVD대여.accdb" keepAlive="1" name="DVD대여" type="5" refreshedVersion="4">
    <dbPr connection="Provider=Microsoft.ACE.OLEDB.12.0;User ID=Admin;Data Source=C:\길벗컴활1급(2010)\01 엑셀\03 기본모의고사\DVD대여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DVD목록" commandType="3"/>
  </connection>
</connections>
</file>

<file path=xl/sharedStrings.xml><?xml version="1.0" encoding="utf-8"?>
<sst xmlns="http://schemas.openxmlformats.org/spreadsheetml/2006/main" count="521" uniqueCount="347">
  <si>
    <t>직위별 급여현황</t>
    <phoneticPr fontId="4" type="noConversion"/>
  </si>
  <si>
    <t>성명</t>
  </si>
  <si>
    <t>직위</t>
  </si>
  <si>
    <t>기본급</t>
  </si>
  <si>
    <t>부장</t>
  </si>
  <si>
    <r>
      <t>[표</t>
    </r>
    <r>
      <rPr>
        <sz val="11"/>
        <color theme="1"/>
        <rFont val="맑은 고딕"/>
        <family val="3"/>
        <charset val="129"/>
        <scheme val="minor"/>
      </rPr>
      <t>1]</t>
    </r>
    <phoneticPr fontId="4" type="noConversion"/>
  </si>
  <si>
    <t xml:space="preserve">자동차 판매 현황  </t>
    <phoneticPr fontId="4" type="noConversion"/>
  </si>
  <si>
    <t>1/4분기</t>
    <phoneticPr fontId="4" type="noConversion"/>
  </si>
  <si>
    <t>단위 : 천원</t>
    <phoneticPr fontId="4" type="noConversion"/>
  </si>
  <si>
    <t>사원명</t>
    <phoneticPr fontId="4" type="noConversion"/>
  </si>
  <si>
    <t>지점</t>
    <phoneticPr fontId="4" type="noConversion"/>
  </si>
  <si>
    <t>DC560</t>
    <phoneticPr fontId="4" type="noConversion"/>
  </si>
  <si>
    <t>DC650</t>
    <phoneticPr fontId="4" type="noConversion"/>
  </si>
  <si>
    <t>SJ 790</t>
    <phoneticPr fontId="4" type="noConversion"/>
  </si>
  <si>
    <t>매출액</t>
    <phoneticPr fontId="4" type="noConversion"/>
  </si>
  <si>
    <t>수익금액</t>
    <phoneticPr fontId="4" type="noConversion"/>
  </si>
  <si>
    <t>순위</t>
    <phoneticPr fontId="4" type="noConversion"/>
  </si>
  <si>
    <t>은종서</t>
    <phoneticPr fontId="4" type="noConversion"/>
  </si>
  <si>
    <t>서울</t>
    <phoneticPr fontId="4" type="noConversion"/>
  </si>
  <si>
    <t>김미향</t>
    <phoneticPr fontId="4" type="noConversion"/>
  </si>
  <si>
    <t>부산</t>
    <phoneticPr fontId="4" type="noConversion"/>
  </si>
  <si>
    <t>우태영</t>
    <phoneticPr fontId="4" type="noConversion"/>
  </si>
  <si>
    <t>대전</t>
    <phoneticPr fontId="4" type="noConversion"/>
  </si>
  <si>
    <t>강다구</t>
    <phoneticPr fontId="4" type="noConversion"/>
  </si>
  <si>
    <t>사미인</t>
    <phoneticPr fontId="4" type="noConversion"/>
  </si>
  <si>
    <t>광주</t>
    <phoneticPr fontId="4" type="noConversion"/>
  </si>
  <si>
    <t>왕건이</t>
    <phoneticPr fontId="4" type="noConversion"/>
  </si>
  <si>
    <t>부산</t>
    <phoneticPr fontId="4" type="noConversion"/>
  </si>
  <si>
    <t>안태호</t>
    <phoneticPr fontId="4" type="noConversion"/>
  </si>
  <si>
    <t>서울</t>
    <phoneticPr fontId="4" type="noConversion"/>
  </si>
  <si>
    <t>홍태완</t>
    <phoneticPr fontId="4" type="noConversion"/>
  </si>
  <si>
    <t>인천</t>
    <phoneticPr fontId="4" type="noConversion"/>
  </si>
  <si>
    <t>황국영</t>
    <phoneticPr fontId="4" type="noConversion"/>
  </si>
  <si>
    <r>
      <t>[표</t>
    </r>
    <r>
      <rPr>
        <sz val="11"/>
        <color theme="1"/>
        <rFont val="맑은 고딕"/>
        <family val="3"/>
        <charset val="129"/>
        <scheme val="minor"/>
      </rPr>
      <t>2]</t>
    </r>
    <phoneticPr fontId="4" type="noConversion"/>
  </si>
  <si>
    <t>거래처 연락현황</t>
    <phoneticPr fontId="4" type="noConversion"/>
  </si>
  <si>
    <t>거래처코드</t>
    <phoneticPr fontId="4" type="noConversion"/>
  </si>
  <si>
    <t>거래처명</t>
    <phoneticPr fontId="4" type="noConversion"/>
  </si>
  <si>
    <t>전화번호</t>
    <phoneticPr fontId="4" type="noConversion"/>
  </si>
  <si>
    <t>대표자명</t>
    <phoneticPr fontId="4" type="noConversion"/>
  </si>
  <si>
    <t>업태명</t>
    <phoneticPr fontId="4" type="noConversion"/>
  </si>
  <si>
    <t>JNK001</t>
    <phoneticPr fontId="4" type="noConversion"/>
  </si>
  <si>
    <t>세기정보통신㈜</t>
    <phoneticPr fontId="4" type="noConversion"/>
  </si>
  <si>
    <t>02)7779-2525</t>
    <phoneticPr fontId="4" type="noConversion"/>
  </si>
  <si>
    <t>송준석</t>
    <phoneticPr fontId="4" type="noConversion"/>
  </si>
  <si>
    <t>정보서비스</t>
    <phoneticPr fontId="4" type="noConversion"/>
  </si>
  <si>
    <t>JNK002</t>
    <phoneticPr fontId="4" type="noConversion"/>
  </si>
  <si>
    <t>나노테크노시스템</t>
    <phoneticPr fontId="4" type="noConversion"/>
  </si>
  <si>
    <t>02)7766-8976</t>
    <phoneticPr fontId="4" type="noConversion"/>
  </si>
  <si>
    <t>김지민</t>
    <phoneticPr fontId="4" type="noConversion"/>
  </si>
  <si>
    <t>JNK003</t>
    <phoneticPr fontId="4" type="noConversion"/>
  </si>
  <si>
    <t>한국유통시스템</t>
    <phoneticPr fontId="4" type="noConversion"/>
  </si>
  <si>
    <t>02)826-7200</t>
    <phoneticPr fontId="4" type="noConversion"/>
  </si>
  <si>
    <t>남호진</t>
    <phoneticPr fontId="4" type="noConversion"/>
  </si>
  <si>
    <t>도소매</t>
    <phoneticPr fontId="4" type="noConversion"/>
  </si>
  <si>
    <t>JNK004</t>
    <phoneticPr fontId="4" type="noConversion"/>
  </si>
  <si>
    <t>태평OA기기</t>
    <phoneticPr fontId="4" type="noConversion"/>
  </si>
  <si>
    <t>02)7777-1285</t>
    <phoneticPr fontId="4" type="noConversion"/>
  </si>
  <si>
    <t>박명묵</t>
    <phoneticPr fontId="4" type="noConversion"/>
  </si>
  <si>
    <t>JNK005</t>
    <phoneticPr fontId="4" type="noConversion"/>
  </si>
  <si>
    <t>서울출판</t>
    <phoneticPr fontId="4" type="noConversion"/>
  </si>
  <si>
    <t>02)216-6800</t>
    <phoneticPr fontId="4" type="noConversion"/>
  </si>
  <si>
    <t>임혁신</t>
    <phoneticPr fontId="4" type="noConversion"/>
  </si>
  <si>
    <t>출판인쇄</t>
    <phoneticPr fontId="4" type="noConversion"/>
  </si>
  <si>
    <t>SUB001</t>
    <phoneticPr fontId="4" type="noConversion"/>
  </si>
  <si>
    <t>21세기광고기획</t>
    <phoneticPr fontId="4" type="noConversion"/>
  </si>
  <si>
    <t>02)565-8986</t>
    <phoneticPr fontId="4" type="noConversion"/>
  </si>
  <si>
    <t>양순호</t>
    <phoneticPr fontId="4" type="noConversion"/>
  </si>
  <si>
    <t>광고</t>
    <phoneticPr fontId="4" type="noConversion"/>
  </si>
  <si>
    <t>SUB002</t>
    <phoneticPr fontId="4" type="noConversion"/>
  </si>
  <si>
    <t>한신은행</t>
    <phoneticPr fontId="4" type="noConversion"/>
  </si>
  <si>
    <t>031)747-0112</t>
    <phoneticPr fontId="4" type="noConversion"/>
  </si>
  <si>
    <t>은수저</t>
    <phoneticPr fontId="4" type="noConversion"/>
  </si>
  <si>
    <t>금융</t>
    <phoneticPr fontId="4" type="noConversion"/>
  </si>
  <si>
    <t>SUB003</t>
    <phoneticPr fontId="4" type="noConversion"/>
  </si>
  <si>
    <t>유명종합증권</t>
    <phoneticPr fontId="4" type="noConversion"/>
  </si>
  <si>
    <t>031)711-4041</t>
    <phoneticPr fontId="4" type="noConversion"/>
  </si>
  <si>
    <t>이수상</t>
    <phoneticPr fontId="4" type="noConversion"/>
  </si>
  <si>
    <t>SUB004</t>
    <phoneticPr fontId="4" type="noConversion"/>
  </si>
  <si>
    <t>보험공제조합</t>
    <phoneticPr fontId="4" type="noConversion"/>
  </si>
  <si>
    <t>02)415-1401</t>
    <phoneticPr fontId="4" type="noConversion"/>
  </si>
  <si>
    <t>윤철수</t>
    <phoneticPr fontId="4" type="noConversion"/>
  </si>
  <si>
    <t>비영리</t>
    <phoneticPr fontId="4" type="noConversion"/>
  </si>
  <si>
    <t>거래처코드</t>
    <phoneticPr fontId="3" type="noConversion"/>
  </si>
  <si>
    <t>업태명</t>
    <phoneticPr fontId="3" type="noConversion"/>
  </si>
  <si>
    <t>대표자명</t>
    <phoneticPr fontId="3" type="noConversion"/>
  </si>
  <si>
    <t>J*</t>
    <phoneticPr fontId="3" type="noConversion"/>
  </si>
  <si>
    <t>출판인쇄</t>
    <phoneticPr fontId="3" type="noConversion"/>
  </si>
  <si>
    <t>S*</t>
    <phoneticPr fontId="3" type="noConversion"/>
  </si>
  <si>
    <t>윤철수</t>
    <phoneticPr fontId="3" type="noConversion"/>
  </si>
  <si>
    <t>[표1]</t>
    <phoneticPr fontId="4" type="noConversion"/>
  </si>
  <si>
    <t>상여지급율표</t>
  </si>
  <si>
    <t>인사고과</t>
  </si>
  <si>
    <t>상여비율</t>
  </si>
  <si>
    <t xml:space="preserve">[표2] </t>
    <phoneticPr fontId="4" type="noConversion"/>
  </si>
  <si>
    <t>직위별 최대 인사고과</t>
  </si>
  <si>
    <t>직위</t>
    <phoneticPr fontId="4" type="noConversion"/>
  </si>
  <si>
    <t>부장</t>
    <phoneticPr fontId="4" type="noConversion"/>
  </si>
  <si>
    <t>과장</t>
    <phoneticPr fontId="4" type="noConversion"/>
  </si>
  <si>
    <t>대리</t>
    <phoneticPr fontId="4" type="noConversion"/>
  </si>
  <si>
    <r>
      <t>[표</t>
    </r>
    <r>
      <rPr>
        <sz val="11"/>
        <color theme="1"/>
        <rFont val="맑은 고딕"/>
        <family val="3"/>
        <charset val="129"/>
        <scheme val="minor"/>
      </rPr>
      <t>3]</t>
    </r>
    <phoneticPr fontId="4" type="noConversion"/>
  </si>
  <si>
    <t>사원별 급여 현황</t>
  </si>
  <si>
    <t>부서</t>
  </si>
  <si>
    <t>직급</t>
  </si>
  <si>
    <t>총급여</t>
    <phoneticPr fontId="4" type="noConversion"/>
  </si>
  <si>
    <t>비고</t>
    <phoneticPr fontId="4" type="noConversion"/>
  </si>
  <si>
    <t>홍길동</t>
  </si>
  <si>
    <t>판매부</t>
  </si>
  <si>
    <t>3급</t>
    <phoneticPr fontId="4" type="noConversion"/>
  </si>
  <si>
    <t>대리</t>
  </si>
  <si>
    <t>김세연</t>
  </si>
  <si>
    <t>기획부</t>
    <phoneticPr fontId="4" type="noConversion"/>
  </si>
  <si>
    <t>2급</t>
    <phoneticPr fontId="4" type="noConversion"/>
  </si>
  <si>
    <t>이승연</t>
  </si>
  <si>
    <t>판매부</t>
    <phoneticPr fontId="4" type="noConversion"/>
  </si>
  <si>
    <t>1급</t>
    <phoneticPr fontId="4" type="noConversion"/>
  </si>
  <si>
    <t>김경수</t>
  </si>
  <si>
    <t>과장</t>
  </si>
  <si>
    <t>이학봉</t>
  </si>
  <si>
    <t>기획부</t>
  </si>
  <si>
    <t>지순녀</t>
  </si>
  <si>
    <t>김지연</t>
  </si>
  <si>
    <t>박원래</t>
  </si>
  <si>
    <t>최지은</t>
  </si>
  <si>
    <r>
      <t>[표</t>
    </r>
    <r>
      <rPr>
        <sz val="11"/>
        <color theme="1"/>
        <rFont val="맑은 고딕"/>
        <family val="3"/>
        <charset val="129"/>
        <scheme val="minor"/>
      </rPr>
      <t xml:space="preserve">4] </t>
    </r>
    <phoneticPr fontId="4" type="noConversion"/>
  </si>
  <si>
    <t>판매부 인사고과 주관식 점수</t>
    <phoneticPr fontId="4" type="noConversion"/>
  </si>
  <si>
    <t>공백 : 틀린것</t>
    <phoneticPr fontId="4" type="noConversion"/>
  </si>
  <si>
    <t>이름</t>
    <phoneticPr fontId="4" type="noConversion"/>
  </si>
  <si>
    <t>문제1</t>
    <phoneticPr fontId="4" type="noConversion"/>
  </si>
  <si>
    <t>문제2</t>
    <phoneticPr fontId="4" type="noConversion"/>
  </si>
  <si>
    <t>문제3</t>
  </si>
  <si>
    <t>문제4</t>
  </si>
  <si>
    <t>문제5</t>
  </si>
  <si>
    <t>틀린개수</t>
    <phoneticPr fontId="4" type="noConversion"/>
  </si>
  <si>
    <t>등급</t>
    <phoneticPr fontId="4" type="noConversion"/>
  </si>
  <si>
    <t>문제당 점수</t>
    <phoneticPr fontId="4" type="noConversion"/>
  </si>
  <si>
    <t>[표5]</t>
    <phoneticPr fontId="4" type="noConversion"/>
  </si>
  <si>
    <t>점수</t>
    <phoneticPr fontId="4" type="noConversion"/>
  </si>
  <si>
    <t>[표6]</t>
    <phoneticPr fontId="4" type="noConversion"/>
  </si>
  <si>
    <t>종사자수</t>
    <phoneticPr fontId="4" type="noConversion"/>
  </si>
  <si>
    <t>고용보험료율</t>
    <phoneticPr fontId="4" type="noConversion"/>
  </si>
  <si>
    <t>[표7]</t>
    <phoneticPr fontId="4" type="noConversion"/>
  </si>
  <si>
    <t>분류코드</t>
    <phoneticPr fontId="4" type="noConversion"/>
  </si>
  <si>
    <t>업무구분</t>
    <phoneticPr fontId="4" type="noConversion"/>
  </si>
  <si>
    <t>종사자수</t>
  </si>
  <si>
    <t>월평균임금</t>
  </si>
  <si>
    <t>전년월평균임금</t>
    <phoneticPr fontId="4" type="noConversion"/>
  </si>
  <si>
    <t>평균경력</t>
  </si>
  <si>
    <t>고용보험료</t>
    <phoneticPr fontId="4" type="noConversion"/>
  </si>
  <si>
    <t>SA</t>
  </si>
  <si>
    <t>시스템설계분석가</t>
    <phoneticPr fontId="4" type="noConversion"/>
  </si>
  <si>
    <t>IT컨설턴트</t>
  </si>
  <si>
    <t>AP</t>
  </si>
  <si>
    <t>시스템SW개발자</t>
  </si>
  <si>
    <t>보안관리자</t>
    <phoneticPr fontId="4" type="noConversion"/>
  </si>
  <si>
    <t>NW분석가</t>
  </si>
  <si>
    <t>응용SW개발자</t>
  </si>
  <si>
    <t>SM관리자</t>
  </si>
  <si>
    <t>웹개발자</t>
  </si>
  <si>
    <t>관리코드</t>
  </si>
  <si>
    <t>입고일자</t>
  </si>
  <si>
    <t>서울 대리점 판매현황</t>
  </si>
  <si>
    <t>부산대리점 판매현황</t>
    <phoneticPr fontId="4" type="noConversion"/>
  </si>
  <si>
    <t>품목</t>
  </si>
  <si>
    <t>목표량</t>
    <phoneticPr fontId="8" type="noConversion"/>
  </si>
  <si>
    <t>판매량</t>
    <phoneticPr fontId="8" type="noConversion"/>
  </si>
  <si>
    <t>단가</t>
    <phoneticPr fontId="4" type="noConversion"/>
  </si>
  <si>
    <t>판매액</t>
  </si>
  <si>
    <t>냉장고</t>
  </si>
  <si>
    <t>비디오</t>
  </si>
  <si>
    <t>오디오</t>
  </si>
  <si>
    <t>카메라</t>
  </si>
  <si>
    <t>대리점 판매현황</t>
    <phoneticPr fontId="4" type="noConversion"/>
  </si>
  <si>
    <t>고객포인트 관리</t>
    <phoneticPr fontId="4" type="noConversion"/>
  </si>
  <si>
    <t>고객번호</t>
  </si>
  <si>
    <t>이름</t>
  </si>
  <si>
    <t>주소</t>
  </si>
  <si>
    <t>구매실적</t>
  </si>
  <si>
    <t>거래회수</t>
  </si>
  <si>
    <t>구매포인트</t>
  </si>
  <si>
    <t>설문포인트</t>
  </si>
  <si>
    <t>빈도포인트</t>
  </si>
  <si>
    <t>합계</t>
    <phoneticPr fontId="4" type="noConversion"/>
  </si>
  <si>
    <t>평가</t>
    <phoneticPr fontId="4" type="noConversion"/>
  </si>
  <si>
    <t>C94023</t>
  </si>
  <si>
    <t>박거상</t>
  </si>
  <si>
    <t>광주광역시</t>
  </si>
  <si>
    <t>우수고객</t>
    <phoneticPr fontId="4" type="noConversion"/>
  </si>
  <si>
    <t>B90120</t>
  </si>
  <si>
    <t>한심해</t>
  </si>
  <si>
    <t>대전광역시</t>
  </si>
  <si>
    <t>A93055</t>
  </si>
  <si>
    <t>최고봉</t>
  </si>
  <si>
    <t>서울특별시</t>
  </si>
  <si>
    <t>특별고객</t>
    <phoneticPr fontId="4" type="noConversion"/>
  </si>
  <si>
    <t>C92050</t>
  </si>
  <si>
    <t>김민수</t>
  </si>
  <si>
    <t>B96255</t>
  </si>
  <si>
    <t>고정해</t>
  </si>
  <si>
    <t>B99130</t>
  </si>
  <si>
    <t>신선해</t>
  </si>
  <si>
    <t>C98030</t>
  </si>
  <si>
    <t>송아지</t>
  </si>
  <si>
    <t>일반고객</t>
    <phoneticPr fontId="4" type="noConversion"/>
  </si>
  <si>
    <t>A88001</t>
  </si>
  <si>
    <t>강효자</t>
  </si>
  <si>
    <t>A95010</t>
  </si>
  <si>
    <t>이미지</t>
  </si>
  <si>
    <t>B91038</t>
  </si>
  <si>
    <t>김예술</t>
  </si>
  <si>
    <t>고객별 철도요금 계산</t>
    <phoneticPr fontId="4" type="noConversion"/>
  </si>
  <si>
    <t>오늘의 날짜 :</t>
    <phoneticPr fontId="4" type="noConversion"/>
  </si>
  <si>
    <t>고객번호</t>
    <phoneticPr fontId="4" type="noConversion"/>
  </si>
  <si>
    <t>열차명</t>
    <phoneticPr fontId="4" type="noConversion"/>
  </si>
  <si>
    <t>좌석명</t>
    <phoneticPr fontId="4" type="noConversion"/>
  </si>
  <si>
    <t>매수</t>
    <phoneticPr fontId="4" type="noConversion"/>
  </si>
  <si>
    <t>요금총액</t>
    <phoneticPr fontId="4" type="noConversion"/>
  </si>
  <si>
    <t>요금</t>
    <phoneticPr fontId="4" type="noConversion"/>
  </si>
  <si>
    <t>1-A251</t>
  </si>
  <si>
    <t>새마을</t>
  </si>
  <si>
    <t>일반실</t>
  </si>
  <si>
    <t>새마을</t>
    <phoneticPr fontId="4" type="noConversion"/>
  </si>
  <si>
    <t>특실</t>
    <phoneticPr fontId="4" type="noConversion"/>
  </si>
  <si>
    <t>2-C125</t>
  </si>
  <si>
    <t>무궁화</t>
  </si>
  <si>
    <t>1등실</t>
  </si>
  <si>
    <t>1등실</t>
    <phoneticPr fontId="4" type="noConversion"/>
  </si>
  <si>
    <t>일반실</t>
    <phoneticPr fontId="4" type="noConversion"/>
  </si>
  <si>
    <t>무궁화</t>
    <phoneticPr fontId="4" type="noConversion"/>
  </si>
  <si>
    <t>통일호</t>
    <phoneticPr fontId="4" type="noConversion"/>
  </si>
  <si>
    <t>타이틀명</t>
  </si>
  <si>
    <t>가격</t>
  </si>
  <si>
    <t>장르</t>
  </si>
  <si>
    <t>제작년도</t>
  </si>
  <si>
    <t>대여료</t>
  </si>
  <si>
    <t>DVD-01</t>
  </si>
  <si>
    <t>7년만의 외출</t>
  </si>
  <si>
    <t>코메디</t>
  </si>
  <si>
    <t>DVD-02</t>
  </si>
  <si>
    <t>3000마일</t>
  </si>
  <si>
    <t>액션</t>
  </si>
  <si>
    <t>DVD-03</t>
  </si>
  <si>
    <t>대탈주SE</t>
  </si>
  <si>
    <t>DVD-04</t>
  </si>
  <si>
    <t>빨강머리앤</t>
  </si>
  <si>
    <t>애니메이션</t>
  </si>
  <si>
    <t>DVD-05</t>
  </si>
  <si>
    <t>화산고</t>
  </si>
  <si>
    <t>DVD-06</t>
  </si>
  <si>
    <t>프렌치키스</t>
  </si>
  <si>
    <t>DVD-07</t>
  </si>
  <si>
    <t>일단 뛰어</t>
  </si>
  <si>
    <t>DVD-08</t>
  </si>
  <si>
    <t>타이탄 족의 멸망</t>
  </si>
  <si>
    <t>모험</t>
  </si>
  <si>
    <t>DVD-09</t>
  </si>
  <si>
    <t>아마겟돈</t>
  </si>
  <si>
    <t>DVD-10</t>
  </si>
  <si>
    <t>아비정전</t>
  </si>
  <si>
    <t>드라마</t>
  </si>
  <si>
    <t>DVD-11</t>
  </si>
  <si>
    <t>철목련</t>
  </si>
  <si>
    <t>DVD-12</t>
  </si>
  <si>
    <t>자이언트 로보</t>
  </si>
  <si>
    <t>DVD-13</t>
  </si>
  <si>
    <t>피터팬</t>
  </si>
  <si>
    <t>DVD-14</t>
  </si>
  <si>
    <t>톰썸의 비밀모험</t>
  </si>
  <si>
    <t>DVD-15</t>
  </si>
  <si>
    <t>반지의 제왕</t>
  </si>
  <si>
    <t>DVD-16</t>
  </si>
  <si>
    <t>피도 눈물도 없이</t>
  </si>
  <si>
    <t>DVD-17</t>
  </si>
  <si>
    <t>뿌리</t>
  </si>
  <si>
    <t>DVD-18</t>
  </si>
  <si>
    <t>마리이야기</t>
  </si>
  <si>
    <t>DVD-19</t>
  </si>
  <si>
    <t>스몰빌</t>
  </si>
  <si>
    <t>DVD-20</t>
  </si>
  <si>
    <t>양철북</t>
  </si>
  <si>
    <t>DVD-21</t>
  </si>
  <si>
    <t>하드 캐쉬</t>
  </si>
  <si>
    <t>DVD-22</t>
  </si>
  <si>
    <t>친구</t>
  </si>
  <si>
    <t>DVD-23</t>
  </si>
  <si>
    <t>진주만</t>
  </si>
  <si>
    <t>DVD-24</t>
  </si>
  <si>
    <t>내겐 너무 가벼운 그녀</t>
  </si>
  <si>
    <t>DVD-25</t>
  </si>
  <si>
    <t>서부전선 이상없다</t>
  </si>
  <si>
    <t>DVD-26</t>
  </si>
  <si>
    <t>슬레이어즈  NEXT</t>
  </si>
  <si>
    <t>DVD-27</t>
  </si>
  <si>
    <t>달마야 놀자</t>
  </si>
  <si>
    <t>DVD-28</t>
  </si>
  <si>
    <t>스파이 게임</t>
  </si>
  <si>
    <t>DVD-29</t>
  </si>
  <si>
    <t>재미있는 영화</t>
  </si>
  <si>
    <t>DVD-30</t>
  </si>
  <si>
    <t>콘에어</t>
  </si>
  <si>
    <t>근무팀</t>
  </si>
  <si>
    <t>식대</t>
  </si>
  <si>
    <t>교통비</t>
  </si>
  <si>
    <t>차량보조금</t>
  </si>
  <si>
    <t>급여 총액</t>
  </si>
  <si>
    <t>임정호</t>
  </si>
  <si>
    <t>기술팀</t>
  </si>
  <si>
    <t>오진영</t>
  </si>
  <si>
    <t>김호진</t>
  </si>
  <si>
    <t>오문규</t>
  </si>
  <si>
    <t>영업팀</t>
  </si>
  <si>
    <t>박민정</t>
  </si>
  <si>
    <t>홍종현</t>
  </si>
  <si>
    <t>김수정</t>
  </si>
  <si>
    <t>총무팀</t>
  </si>
  <si>
    <t>김지훈</t>
  </si>
  <si>
    <t>노준조</t>
  </si>
  <si>
    <t>R/D팀</t>
  </si>
  <si>
    <t>총합계</t>
  </si>
  <si>
    <t>(모두)</t>
  </si>
  <si>
    <t>최소값 : 대여료</t>
  </si>
  <si>
    <t>최소값 : 제작년도</t>
  </si>
  <si>
    <t>연</t>
  </si>
  <si>
    <t>2015년</t>
  </si>
  <si>
    <t>2사분기</t>
  </si>
  <si>
    <t>3사분기</t>
  </si>
  <si>
    <t>4사분기</t>
  </si>
  <si>
    <t>2016년</t>
  </si>
  <si>
    <t>1사분기</t>
  </si>
  <si>
    <t>2015년 요약</t>
  </si>
  <si>
    <t>2016년 요약</t>
  </si>
  <si>
    <t>출근
시간</t>
    <phoneticPr fontId="3" type="noConversion"/>
  </si>
  <si>
    <t>퇴근
시간</t>
    <phoneticPr fontId="3" type="noConversion"/>
  </si>
  <si>
    <t>시간당
비용</t>
    <phoneticPr fontId="3" type="noConversion"/>
  </si>
  <si>
    <t>급여</t>
  </si>
  <si>
    <t>한가람</t>
  </si>
  <si>
    <t>김은철</t>
  </si>
  <si>
    <t>고사리</t>
  </si>
  <si>
    <t>박은별</t>
  </si>
  <si>
    <t>성준서</t>
  </si>
  <si>
    <t>이성연</t>
  </si>
  <si>
    <t>박한나</t>
  </si>
  <si>
    <t>[표1]</t>
    <phoneticPr fontId="3" type="noConversion"/>
  </si>
  <si>
    <t>예약시간</t>
    <phoneticPr fontId="3" type="noConversion"/>
  </si>
  <si>
    <t>구분</t>
    <phoneticPr fontId="3" type="noConversion"/>
  </si>
  <si>
    <t>오후</t>
  </si>
  <si>
    <t>오전</t>
    <phoneticPr fontId="3" type="noConversion"/>
  </si>
  <si>
    <t>3-A231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</si>
</sst>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5" formatCode="&quot;₩&quot;#,##0;\-&quot;₩&quot;#,##0"/>
    <numFmt numFmtId="41" formatCode="_-* #,##0_-;\-* #,##0_-;_-* &quot;-&quot;_-;_-@_-"/>
    <numFmt numFmtId="176" formatCode="_(* #,##0_);_(* \(#,##0\);_(* &quot;-&quot;_);_(@_)"/>
    <numFmt numFmtId="177" formatCode="_-* #,##0_-;\-* #,##0_-;_-* &quot;-&quot;?_-;_-@_-"/>
    <numFmt numFmtId="178" formatCode="0_ "/>
    <numFmt numFmtId="179" formatCode="m&quot;월&quot;\ d&quot;일&quot;"/>
    <numFmt numFmtId="180" formatCode="#,##0_ "/>
    <numFmt numFmtId="181" formatCode="h:mm;@"/>
  </numFmts>
  <fonts count="17"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1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b/>
      <sz val="14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name val="Arial"/>
      <family val="2"/>
    </font>
    <font>
      <sz val="13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11"/>
      <color indexed="8"/>
      <name val="맑은 고딕"/>
      <family val="3"/>
      <charset val="129"/>
    </font>
    <font>
      <sz val="12"/>
      <color indexed="8"/>
      <name val="굴림"/>
      <family val="3"/>
      <charset val="129"/>
    </font>
    <font>
      <b/>
      <sz val="11"/>
      <color theme="0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4" tint="-0.249977111117893"/>
      <name val="맑은 고딕"/>
      <family val="2"/>
      <charset val="129"/>
      <scheme val="minor"/>
    </font>
    <font>
      <sz val="11"/>
      <color theme="4" tint="-0.249977111117893"/>
      <name val="맑은 고딕"/>
      <family val="2"/>
      <charset val="129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/>
      <right/>
      <top/>
      <bottom style="thin">
        <color theme="4"/>
      </bottom>
      <diagonal/>
    </border>
    <border>
      <left/>
      <right/>
      <top style="thin">
        <color theme="4"/>
      </top>
      <bottom/>
      <diagonal/>
    </border>
  </borders>
  <cellStyleXfs count="6">
    <xf numFmtId="0" fontId="0" fillId="0" borderId="0">
      <alignment vertical="center"/>
    </xf>
    <xf numFmtId="0" fontId="1" fillId="0" borderId="0"/>
    <xf numFmtId="176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2" fillId="0" borderId="0"/>
    <xf numFmtId="41" fontId="14" fillId="0" borderId="0" applyFont="0" applyFill="0" applyBorder="0" applyAlignment="0" applyProtection="0">
      <alignment vertical="center"/>
    </xf>
  </cellStyleXfs>
  <cellXfs count="100">
    <xf numFmtId="0" fontId="0" fillId="0" borderId="0" xfId="0">
      <alignment vertical="center"/>
    </xf>
    <xf numFmtId="0" fontId="2" fillId="0" borderId="0" xfId="1" applyFont="1"/>
    <xf numFmtId="0" fontId="2" fillId="0" borderId="0" xfId="1" applyFont="1" applyAlignment="1">
      <alignment horizontal="left"/>
    </xf>
    <xf numFmtId="0" fontId="2" fillId="0" borderId="1" xfId="1" applyFont="1" applyBorder="1" applyAlignment="1">
      <alignment horizontal="center" vertical="center"/>
    </xf>
    <xf numFmtId="0" fontId="2" fillId="0" borderId="0" xfId="1" applyFont="1" applyAlignment="1">
      <alignment horizontal="center"/>
    </xf>
    <xf numFmtId="0" fontId="2" fillId="0" borderId="1" xfId="1" applyFont="1" applyBorder="1"/>
    <xf numFmtId="0" fontId="2" fillId="0" borderId="0" xfId="1" applyFont="1" applyFill="1" applyBorder="1" applyAlignment="1"/>
    <xf numFmtId="0" fontId="2" fillId="0" borderId="0" xfId="1" applyFont="1" applyBorder="1" applyAlignment="1"/>
    <xf numFmtId="9" fontId="2" fillId="0" borderId="1" xfId="3" applyNumberFormat="1" applyFont="1" applyBorder="1"/>
    <xf numFmtId="0" fontId="2" fillId="2" borderId="1" xfId="1" applyFont="1" applyFill="1" applyBorder="1" applyAlignment="1">
      <alignment horizontal="center"/>
    </xf>
    <xf numFmtId="0" fontId="2" fillId="0" borderId="1" xfId="1" applyFont="1" applyBorder="1" applyAlignment="1">
      <alignment horizontal="center"/>
    </xf>
    <xf numFmtId="9" fontId="2" fillId="0" borderId="0" xfId="3" applyFont="1"/>
    <xf numFmtId="176" fontId="2" fillId="0" borderId="0" xfId="1" applyNumberFormat="1" applyFont="1"/>
    <xf numFmtId="176" fontId="2" fillId="0" borderId="1" xfId="2" applyFont="1" applyBorder="1"/>
    <xf numFmtId="0" fontId="2" fillId="0" borderId="0" xfId="1" applyFont="1" applyAlignment="1"/>
    <xf numFmtId="0" fontId="2" fillId="0" borderId="0" xfId="1" applyFont="1" applyBorder="1" applyAlignment="1">
      <alignment horizontal="left"/>
    </xf>
    <xf numFmtId="0" fontId="2" fillId="0" borderId="2" xfId="1" applyFont="1" applyBorder="1" applyAlignment="1">
      <alignment horizontal="left"/>
    </xf>
    <xf numFmtId="0" fontId="2" fillId="0" borderId="2" xfId="1" applyFont="1" applyBorder="1" applyAlignment="1">
      <alignment horizontal="right"/>
    </xf>
    <xf numFmtId="0" fontId="2" fillId="0" borderId="1" xfId="1" applyFont="1" applyFill="1" applyBorder="1" applyAlignment="1">
      <alignment horizontal="center" vertical="center"/>
    </xf>
    <xf numFmtId="0" fontId="2" fillId="0" borderId="1" xfId="1" applyFont="1" applyFill="1" applyBorder="1" applyAlignment="1">
      <alignment horizontal="center"/>
    </xf>
    <xf numFmtId="0" fontId="2" fillId="0" borderId="3" xfId="1" applyFont="1" applyBorder="1"/>
    <xf numFmtId="0" fontId="2" fillId="0" borderId="3" xfId="1" applyFont="1" applyFill="1" applyBorder="1" applyAlignment="1">
      <alignment horizontal="center"/>
    </xf>
    <xf numFmtId="0" fontId="2" fillId="0" borderId="0" xfId="1" applyFont="1" applyFill="1" applyBorder="1" applyAlignment="1">
      <alignment horizontal="center"/>
    </xf>
    <xf numFmtId="0" fontId="2" fillId="0" borderId="0" xfId="1" applyFont="1" applyBorder="1"/>
    <xf numFmtId="0" fontId="2" fillId="0" borderId="0" xfId="1" applyFont="1" applyBorder="1" applyAlignment="1">
      <alignment horizontal="center"/>
    </xf>
    <xf numFmtId="0" fontId="2" fillId="0" borderId="0" xfId="1" applyFont="1" applyFill="1" applyBorder="1"/>
    <xf numFmtId="0" fontId="2" fillId="0" borderId="1" xfId="1" applyFont="1" applyFill="1" applyBorder="1"/>
    <xf numFmtId="0" fontId="7" fillId="0" borderId="0" xfId="1" applyFont="1"/>
    <xf numFmtId="0" fontId="7" fillId="0" borderId="0" xfId="1" applyFont="1" applyBorder="1"/>
    <xf numFmtId="176" fontId="5" fillId="0" borderId="1" xfId="2" applyFont="1" applyBorder="1" applyAlignment="1">
      <alignment horizontal="center"/>
    </xf>
    <xf numFmtId="0" fontId="2" fillId="0" borderId="1" xfId="1" applyFont="1" applyBorder="1" applyAlignment="1">
      <alignment vertical="center"/>
    </xf>
    <xf numFmtId="176" fontId="2" fillId="0" borderId="1" xfId="2" applyFont="1" applyBorder="1" applyAlignment="1">
      <alignment vertical="center"/>
    </xf>
    <xf numFmtId="0" fontId="2" fillId="0" borderId="0" xfId="1" applyFont="1" applyBorder="1" applyAlignment="1">
      <alignment horizontal="center" vertical="center"/>
    </xf>
    <xf numFmtId="176" fontId="2" fillId="0" borderId="1" xfId="2" applyNumberFormat="1" applyFont="1" applyBorder="1" applyAlignment="1">
      <alignment vertical="center"/>
    </xf>
    <xf numFmtId="176" fontId="2" fillId="0" borderId="0" xfId="2" applyNumberFormat="1" applyFont="1" applyBorder="1" applyAlignment="1">
      <alignment vertical="center"/>
    </xf>
    <xf numFmtId="0" fontId="2" fillId="0" borderId="0" xfId="1" applyFont="1" applyAlignment="1">
      <alignment horizontal="right"/>
    </xf>
    <xf numFmtId="176" fontId="2" fillId="0" borderId="1" xfId="2" applyFont="1" applyBorder="1" applyAlignment="1">
      <alignment horizontal="center"/>
    </xf>
    <xf numFmtId="178" fontId="2" fillId="0" borderId="1" xfId="1" applyNumberFormat="1" applyFont="1" applyBorder="1" applyAlignment="1">
      <alignment horizontal="center"/>
    </xf>
    <xf numFmtId="0" fontId="9" fillId="0" borderId="0" xfId="1" applyFont="1"/>
    <xf numFmtId="14" fontId="2" fillId="0" borderId="0" xfId="1" applyNumberFormat="1" applyFont="1"/>
    <xf numFmtId="0" fontId="10" fillId="0" borderId="0" xfId="1" applyFont="1" applyAlignment="1">
      <alignment horizontal="center"/>
    </xf>
    <xf numFmtId="0" fontId="11" fillId="3" borderId="1" xfId="4" applyFont="1" applyFill="1" applyBorder="1" applyAlignment="1">
      <alignment horizontal="center"/>
    </xf>
    <xf numFmtId="0" fontId="11" fillId="0" borderId="1" xfId="4" applyFont="1" applyFill="1" applyBorder="1" applyAlignment="1">
      <alignment wrapText="1"/>
    </xf>
    <xf numFmtId="14" fontId="11" fillId="0" borderId="1" xfId="4" applyNumberFormat="1" applyFont="1" applyFill="1" applyBorder="1" applyAlignment="1">
      <alignment horizontal="right" wrapText="1"/>
    </xf>
    <xf numFmtId="5" fontId="11" fillId="0" borderId="1" xfId="4" applyNumberFormat="1" applyFont="1" applyFill="1" applyBorder="1" applyAlignment="1">
      <alignment horizontal="right" wrapText="1"/>
    </xf>
    <xf numFmtId="0" fontId="11" fillId="0" borderId="1" xfId="4" applyFont="1" applyFill="1" applyBorder="1" applyAlignment="1">
      <alignment horizontal="right" wrapText="1"/>
    </xf>
    <xf numFmtId="0" fontId="0" fillId="5" borderId="4" xfId="0" applyFont="1" applyFill="1" applyBorder="1">
      <alignment vertical="center"/>
    </xf>
    <xf numFmtId="0" fontId="0" fillId="5" borderId="5" xfId="0" applyFont="1" applyFill="1" applyBorder="1">
      <alignment vertical="center"/>
    </xf>
    <xf numFmtId="0" fontId="0" fillId="5" borderId="6" xfId="0" applyFont="1" applyFill="1" applyBorder="1">
      <alignment vertical="center"/>
    </xf>
    <xf numFmtId="0" fontId="13" fillId="4" borderId="7" xfId="0" applyFont="1" applyFill="1" applyBorder="1">
      <alignment vertical="center"/>
    </xf>
    <xf numFmtId="0" fontId="13" fillId="4" borderId="8" xfId="0" applyFont="1" applyFill="1" applyBorder="1">
      <alignment vertical="center"/>
    </xf>
    <xf numFmtId="0" fontId="13" fillId="4" borderId="9" xfId="0" applyFont="1" applyFill="1" applyBorder="1">
      <alignment vertical="center"/>
    </xf>
    <xf numFmtId="0" fontId="0" fillId="5" borderId="7" xfId="0" applyFont="1" applyFill="1" applyBorder="1">
      <alignment vertical="center"/>
    </xf>
    <xf numFmtId="0" fontId="0" fillId="5" borderId="8" xfId="0" applyFont="1" applyFill="1" applyBorder="1">
      <alignment vertical="center"/>
    </xf>
    <xf numFmtId="0" fontId="0" fillId="5" borderId="9" xfId="0" applyFont="1" applyFill="1" applyBorder="1">
      <alignment vertical="center"/>
    </xf>
    <xf numFmtId="0" fontId="0" fillId="0" borderId="7" xfId="0" applyFont="1" applyBorder="1">
      <alignment vertical="center"/>
    </xf>
    <xf numFmtId="0" fontId="0" fillId="0" borderId="8" xfId="0" applyFont="1" applyBorder="1">
      <alignment vertical="center"/>
    </xf>
    <xf numFmtId="0" fontId="0" fillId="0" borderId="9" xfId="0" applyFont="1" applyBorder="1">
      <alignment vertical="center"/>
    </xf>
    <xf numFmtId="179" fontId="2" fillId="0" borderId="0" xfId="1" applyNumberFormat="1" applyFont="1"/>
    <xf numFmtId="0" fontId="0" fillId="0" borderId="0" xfId="0" pivotButton="1">
      <alignment vertical="center"/>
    </xf>
    <xf numFmtId="0" fontId="0" fillId="0" borderId="0" xfId="0" applyNumberFormat="1">
      <alignment vertical="center"/>
    </xf>
    <xf numFmtId="14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2" fillId="0" borderId="0" xfId="1" applyFont="1" applyProtection="1"/>
    <xf numFmtId="0" fontId="2" fillId="0" borderId="0" xfId="1" applyFont="1" applyAlignment="1" applyProtection="1">
      <alignment horizontal="left"/>
    </xf>
    <xf numFmtId="0" fontId="6" fillId="0" borderId="0" xfId="1" applyFont="1" applyAlignment="1" applyProtection="1">
      <alignment horizontal="center"/>
    </xf>
    <xf numFmtId="0" fontId="6" fillId="0" borderId="0" xfId="1" applyFont="1" applyAlignment="1" applyProtection="1">
      <alignment horizontal="left"/>
    </xf>
    <xf numFmtId="0" fontId="0" fillId="0" borderId="0" xfId="0" applyProtection="1">
      <alignment vertical="center"/>
    </xf>
    <xf numFmtId="0" fontId="2" fillId="2" borderId="1" xfId="1" applyFont="1" applyFill="1" applyBorder="1" applyAlignment="1" applyProtection="1">
      <alignment horizontal="center" vertical="center"/>
    </xf>
    <xf numFmtId="0" fontId="2" fillId="0" borderId="1" xfId="1" applyFont="1" applyBorder="1" applyAlignment="1" applyProtection="1">
      <alignment horizontal="center" vertical="center"/>
    </xf>
    <xf numFmtId="176" fontId="2" fillId="0" borderId="1" xfId="2" applyFont="1" applyBorder="1" applyAlignment="1" applyProtection="1">
      <alignment horizontal="center" vertical="center"/>
    </xf>
    <xf numFmtId="176" fontId="5" fillId="0" borderId="1" xfId="2" applyFont="1" applyBorder="1" applyAlignment="1" applyProtection="1">
      <alignment horizontal="center" vertical="center"/>
    </xf>
    <xf numFmtId="177" fontId="2" fillId="0" borderId="1" xfId="1" applyNumberFormat="1" applyFont="1" applyBorder="1" applyAlignment="1" applyProtection="1">
      <alignment horizontal="center" vertical="center"/>
    </xf>
    <xf numFmtId="176" fontId="2" fillId="0" borderId="1" xfId="2" applyFont="1" applyFill="1" applyBorder="1" applyAlignment="1" applyProtection="1">
      <alignment horizontal="center" vertical="center"/>
    </xf>
    <xf numFmtId="176" fontId="5" fillId="0" borderId="1" xfId="2" applyFont="1" applyFill="1" applyBorder="1" applyAlignment="1" applyProtection="1">
      <alignment horizontal="center" vertical="center"/>
    </xf>
    <xf numFmtId="0" fontId="2" fillId="0" borderId="0" xfId="1" applyFont="1" applyAlignment="1" applyProtection="1">
      <alignment horizontal="center"/>
    </xf>
    <xf numFmtId="0" fontId="2" fillId="0" borderId="0" xfId="1" applyFont="1" applyFill="1" applyProtection="1"/>
    <xf numFmtId="41" fontId="16" fillId="5" borderId="11" xfId="5" applyNumberFormat="1" applyFont="1" applyFill="1" applyBorder="1" applyProtection="1">
      <alignment vertical="center"/>
      <protection hidden="1"/>
    </xf>
    <xf numFmtId="41" fontId="16" fillId="0" borderId="0" xfId="5" applyNumberFormat="1" applyFont="1" applyProtection="1">
      <alignment vertical="center"/>
      <protection hidden="1"/>
    </xf>
    <xf numFmtId="41" fontId="16" fillId="5" borderId="0" xfId="5" applyNumberFormat="1" applyFont="1" applyFill="1" applyProtection="1">
      <alignment vertical="center"/>
      <protection hidden="1"/>
    </xf>
    <xf numFmtId="41" fontId="16" fillId="5" borderId="10" xfId="5" applyNumberFormat="1" applyFont="1" applyFill="1" applyBorder="1" applyProtection="1">
      <alignment vertical="center"/>
      <protection hidden="1"/>
    </xf>
    <xf numFmtId="0" fontId="15" fillId="0" borderId="11" xfId="0" applyFont="1" applyBorder="1" applyAlignment="1" applyProtection="1">
      <alignment horizontal="center" vertical="center"/>
    </xf>
    <xf numFmtId="0" fontId="16" fillId="5" borderId="11" xfId="0" applyFont="1" applyFill="1" applyBorder="1" applyAlignment="1" applyProtection="1">
      <alignment horizontal="center" vertical="center"/>
    </xf>
    <xf numFmtId="181" fontId="16" fillId="5" borderId="11" xfId="0" applyNumberFormat="1" applyFont="1" applyFill="1" applyBorder="1" applyProtection="1">
      <alignment vertical="center"/>
    </xf>
    <xf numFmtId="41" fontId="16" fillId="5" borderId="11" xfId="5" applyNumberFormat="1" applyFont="1" applyFill="1" applyBorder="1" applyProtection="1">
      <alignment vertical="center"/>
    </xf>
    <xf numFmtId="0" fontId="16" fillId="0" borderId="0" xfId="0" applyFont="1" applyAlignment="1" applyProtection="1">
      <alignment horizontal="center" vertical="center"/>
    </xf>
    <xf numFmtId="181" fontId="16" fillId="0" borderId="0" xfId="0" applyNumberFormat="1" applyFont="1" applyProtection="1">
      <alignment vertical="center"/>
    </xf>
    <xf numFmtId="41" fontId="16" fillId="0" borderId="0" xfId="5" applyNumberFormat="1" applyFont="1" applyProtection="1">
      <alignment vertical="center"/>
    </xf>
    <xf numFmtId="0" fontId="16" fillId="5" borderId="0" xfId="0" applyFont="1" applyFill="1" applyAlignment="1" applyProtection="1">
      <alignment horizontal="center" vertical="center"/>
    </xf>
    <xf numFmtId="181" fontId="16" fillId="5" borderId="0" xfId="0" applyNumberFormat="1" applyFont="1" applyFill="1" applyProtection="1">
      <alignment vertical="center"/>
    </xf>
    <xf numFmtId="41" fontId="16" fillId="5" borderId="0" xfId="5" applyNumberFormat="1" applyFont="1" applyFill="1" applyProtection="1">
      <alignment vertical="center"/>
    </xf>
    <xf numFmtId="0" fontId="16" fillId="5" borderId="10" xfId="0" applyFont="1" applyFill="1" applyBorder="1" applyAlignment="1" applyProtection="1">
      <alignment horizontal="center" vertical="center"/>
    </xf>
    <xf numFmtId="181" fontId="16" fillId="5" borderId="10" xfId="0" applyNumberFormat="1" applyFont="1" applyFill="1" applyBorder="1" applyProtection="1">
      <alignment vertical="center"/>
    </xf>
    <xf numFmtId="41" fontId="16" fillId="5" borderId="10" xfId="5" applyNumberFormat="1" applyFont="1" applyFill="1" applyBorder="1" applyProtection="1">
      <alignment vertical="center"/>
    </xf>
    <xf numFmtId="20" fontId="2" fillId="0" borderId="0" xfId="1" applyNumberFormat="1" applyFont="1"/>
    <xf numFmtId="0" fontId="2" fillId="0" borderId="1" xfId="1" applyFont="1" applyBorder="1" applyAlignment="1">
      <alignment horizontal="center"/>
    </xf>
    <xf numFmtId="0" fontId="2" fillId="0" borderId="0" xfId="1" applyFont="1" applyBorder="1" applyAlignment="1">
      <alignment horizontal="center" vertical="center"/>
    </xf>
    <xf numFmtId="0" fontId="2" fillId="0" borderId="2" xfId="1" applyFont="1" applyBorder="1" applyAlignment="1">
      <alignment horizontal="center" vertical="center"/>
    </xf>
    <xf numFmtId="0" fontId="6" fillId="0" borderId="0" xfId="1" applyFont="1" applyAlignment="1">
      <alignment horizontal="center"/>
    </xf>
    <xf numFmtId="0" fontId="2" fillId="0" borderId="0" xfId="1" applyFont="1" applyAlignment="1">
      <alignment horizontal="center"/>
    </xf>
  </cellXfs>
  <cellStyles count="6">
    <cellStyle name="백분율 2" xfId="3"/>
    <cellStyle name="쉼표 [0]" xfId="5" builtinId="6"/>
    <cellStyle name="쉼표 [0] 2" xfId="2"/>
    <cellStyle name="표준" xfId="0" builtinId="0"/>
    <cellStyle name="표준 2" xfId="1"/>
    <cellStyle name="표준_분석작업-1" xfId="4"/>
  </cellStyles>
  <dxfs count="2">
    <dxf>
      <numFmt numFmtId="19" formatCode="yyyy/mm/dd"/>
    </dxf>
    <dxf>
      <font>
        <b/>
        <i/>
        <u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ko-KR" altLang="en-US" sz="1400"/>
              <a:t>아르바이트생 급여 현황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'기본작업-3'!$G$3</c:f>
              <c:strCache>
                <c:ptCount val="1"/>
                <c:pt idx="0">
                  <c:v>급여</c:v>
                </c:pt>
              </c:strCache>
            </c:strRef>
          </c:tx>
          <c:invertIfNegative val="0"/>
          <c:cat>
            <c:strRef>
              <c:f>'기본작업-3'!$B$4:$B$10</c:f>
              <c:strCache>
                <c:ptCount val="7"/>
                <c:pt idx="0">
                  <c:v>한가람</c:v>
                </c:pt>
                <c:pt idx="1">
                  <c:v>김은철</c:v>
                </c:pt>
                <c:pt idx="2">
                  <c:v>고사리</c:v>
                </c:pt>
                <c:pt idx="3">
                  <c:v>박은별</c:v>
                </c:pt>
                <c:pt idx="4">
                  <c:v>성준서</c:v>
                </c:pt>
                <c:pt idx="5">
                  <c:v>이성연</c:v>
                </c:pt>
                <c:pt idx="6">
                  <c:v>박한나</c:v>
                </c:pt>
              </c:strCache>
            </c:strRef>
          </c:cat>
          <c:val>
            <c:numRef>
              <c:f>'기본작업-3'!$G$4:$G$10</c:f>
              <c:numCache>
                <c:formatCode>_(* #,##0_);_(* \(#,##0\);_(* "-"_);_(@_)</c:formatCode>
                <c:ptCount val="7"/>
                <c:pt idx="0">
                  <c:v>78000</c:v>
                </c:pt>
                <c:pt idx="1">
                  <c:v>24000</c:v>
                </c:pt>
                <c:pt idx="2">
                  <c:v>92000</c:v>
                </c:pt>
                <c:pt idx="3">
                  <c:v>12000</c:v>
                </c:pt>
                <c:pt idx="4">
                  <c:v>46000</c:v>
                </c:pt>
                <c:pt idx="5">
                  <c:v>42000</c:v>
                </c:pt>
                <c:pt idx="6">
                  <c:v>37000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4725888"/>
        <c:axId val="144729984"/>
      </c:barChart>
      <c:catAx>
        <c:axId val="144725888"/>
        <c:scaling>
          <c:orientation val="minMax"/>
        </c:scaling>
        <c:delete val="0"/>
        <c:axPos val="b"/>
        <c:majorTickMark val="out"/>
        <c:minorTickMark val="none"/>
        <c:tickLblPos val="nextTo"/>
        <c:crossAx val="144729984"/>
        <c:crosses val="autoZero"/>
        <c:auto val="1"/>
        <c:lblAlgn val="ctr"/>
        <c:lblOffset val="100"/>
        <c:noMultiLvlLbl val="0"/>
      </c:catAx>
      <c:valAx>
        <c:axId val="144729984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44725888"/>
        <c:crosses val="autoZero"/>
        <c:crossBetween val="between"/>
        <c:majorUnit val="20000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 i="1">
              <a:latin typeface="궁서체" panose="02030609000101010101" pitchFamily="17" charset="-127"/>
              <a:ea typeface="궁서체" panose="02030609000101010101" pitchFamily="17" charset="-127"/>
            </a:defRPr>
          </a:pPr>
          <a:endParaRPr lang="ko-KR"/>
        </a:p>
      </c:txPr>
    </c:title>
    <c:autoTitleDeleted val="0"/>
    <c:view3D>
      <c:rotX val="30"/>
      <c:rotY val="10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tx>
            <c:strRef>
              <c:f>'기타작업-1'!$E$3</c:f>
              <c:strCache>
                <c:ptCount val="1"/>
                <c:pt idx="0">
                  <c:v>구매실적</c:v>
                </c:pt>
              </c:strCache>
            </c:strRef>
          </c:tx>
          <c:dPt>
            <c:idx val="0"/>
            <c:bubble3D val="0"/>
            <c:explosion val="35"/>
            <c:spPr>
              <a:blipFill>
                <a:blip xmlns:r="http://schemas.openxmlformats.org/officeDocument/2006/relationships" r:embed="rId1"/>
                <a:tile tx="0" ty="0" sx="100000" sy="100000" flip="none" algn="tl"/>
              </a:blipFill>
            </c:spPr>
          </c:dPt>
          <c:dLbls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</c:dLbls>
          <c:cat>
            <c:strRef>
              <c:f>('기타작업-1'!$C$4:$C$5,'기타작업-1'!$C$7:$C$9)</c:f>
              <c:strCache>
                <c:ptCount val="5"/>
                <c:pt idx="0">
                  <c:v>박거상</c:v>
                </c:pt>
                <c:pt idx="1">
                  <c:v>한심해</c:v>
                </c:pt>
                <c:pt idx="2">
                  <c:v>김민수</c:v>
                </c:pt>
                <c:pt idx="3">
                  <c:v>고정해</c:v>
                </c:pt>
                <c:pt idx="4">
                  <c:v>신선해</c:v>
                </c:pt>
              </c:strCache>
            </c:strRef>
          </c:cat>
          <c:val>
            <c:numRef>
              <c:f>('기타작업-1'!$E$4:$E$5,'기타작업-1'!$E$7:$E$9)</c:f>
              <c:numCache>
                <c:formatCode>_(* #,##0_);_(* \(#,##0\);_(* "-"_);_(@_)</c:formatCode>
                <c:ptCount val="5"/>
                <c:pt idx="0">
                  <c:v>950000</c:v>
                </c:pt>
                <c:pt idx="1">
                  <c:v>950000</c:v>
                </c:pt>
                <c:pt idx="2">
                  <c:v>900000</c:v>
                </c:pt>
                <c:pt idx="3">
                  <c:v>775000</c:v>
                </c:pt>
                <c:pt idx="4">
                  <c:v>755000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b"/>
      <c:overlay val="0"/>
      <c:spPr>
        <a:solidFill>
          <a:srgbClr val="00B0F0"/>
        </a:solidFill>
        <a:effectLst>
          <a:glow rad="63500">
            <a:schemeClr val="accent2">
              <a:satMod val="175000"/>
              <a:alpha val="40000"/>
            </a:schemeClr>
          </a:glow>
        </a:effectLst>
      </c:spPr>
      <c:txPr>
        <a:bodyPr/>
        <a:lstStyle/>
        <a:p>
          <a:pPr rtl="0">
            <a:defRPr/>
          </a:pPr>
          <a:endParaRPr lang="ko-K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200025</xdr:colOff>
      <xdr:row>11</xdr:row>
      <xdr:rowOff>0</xdr:rowOff>
    </xdr:from>
    <xdr:to>
      <xdr:col>7</xdr:col>
      <xdr:colOff>0</xdr:colOff>
      <xdr:row>24</xdr:row>
      <xdr:rowOff>0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9</xdr:row>
      <xdr:rowOff>0</xdr:rowOff>
    </xdr:from>
    <xdr:to>
      <xdr:col>7</xdr:col>
      <xdr:colOff>0</xdr:colOff>
      <xdr:row>11</xdr:row>
      <xdr:rowOff>0</xdr:rowOff>
    </xdr:to>
    <xdr:sp macro="[0]!판매액계산" textlink="">
      <xdr:nvSpPr>
        <xdr:cNvPr id="2" name="순서도: 문서 1"/>
        <xdr:cNvSpPr/>
      </xdr:nvSpPr>
      <xdr:spPr>
        <a:xfrm>
          <a:off x="2924175" y="1885950"/>
          <a:ext cx="952500" cy="419100"/>
        </a:xfrm>
        <a:prstGeom prst="flowChartDocumen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/>
            <a:t>판매액계산</a:t>
          </a:r>
        </a:p>
      </xdr:txBody>
    </xdr:sp>
    <xdr:clientData/>
  </xdr:twoCellAnchor>
  <xdr:twoCellAnchor>
    <xdr:from>
      <xdr:col>5</xdr:col>
      <xdr:colOff>0</xdr:colOff>
      <xdr:row>11</xdr:row>
      <xdr:rowOff>0</xdr:rowOff>
    </xdr:from>
    <xdr:to>
      <xdr:col>7</xdr:col>
      <xdr:colOff>0</xdr:colOff>
      <xdr:row>13</xdr:row>
      <xdr:rowOff>0</xdr:rowOff>
    </xdr:to>
    <xdr:sp macro="[0]!품목별최소값" textlink="">
      <xdr:nvSpPr>
        <xdr:cNvPr id="3" name="순서도: 문서 2"/>
        <xdr:cNvSpPr/>
      </xdr:nvSpPr>
      <xdr:spPr>
        <a:xfrm>
          <a:off x="2924175" y="2305050"/>
          <a:ext cx="952500" cy="419100"/>
        </a:xfrm>
        <a:prstGeom prst="flowChartDocumen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/>
            <a:t>품목별최소값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14</xdr:row>
      <xdr:rowOff>0</xdr:rowOff>
    </xdr:from>
    <xdr:to>
      <xdr:col>8</xdr:col>
      <xdr:colOff>0</xdr:colOff>
      <xdr:row>32</xdr:row>
      <xdr:rowOff>0</xdr:rowOff>
    </xdr:to>
    <xdr:graphicFrame macro="">
      <xdr:nvGraphicFramePr>
        <xdr:cNvPr id="2" name="차트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171450</xdr:colOff>
          <xdr:row>2</xdr:row>
          <xdr:rowOff>0</xdr:rowOff>
        </xdr:from>
        <xdr:to>
          <xdr:col>7</xdr:col>
          <xdr:colOff>571500</xdr:colOff>
          <xdr:row>9</xdr:row>
          <xdr:rowOff>57150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김우경" refreshedDate="42976.744034027775" createdVersion="4" refreshedVersion="4" minRefreshableVersion="3" recordCount="30">
  <cacheSource type="worksheet">
    <worksheetSource ref="A2:G32" sheet="분석작업-1"/>
  </cacheSource>
  <cacheFields count="8">
    <cacheField name="관리코드" numFmtId="0">
      <sharedItems count="30">
        <s v="DVD-01"/>
        <s v="DVD-02"/>
        <s v="DVD-03"/>
        <s v="DVD-04"/>
        <s v="DVD-05"/>
        <s v="DVD-06"/>
        <s v="DVD-07"/>
        <s v="DVD-08"/>
        <s v="DVD-09"/>
        <s v="DVD-10"/>
        <s v="DVD-11"/>
        <s v="DVD-12"/>
        <s v="DVD-13"/>
        <s v="DVD-14"/>
        <s v="DVD-15"/>
        <s v="DVD-16"/>
        <s v="DVD-17"/>
        <s v="DVD-18"/>
        <s v="DVD-19"/>
        <s v="DVD-20"/>
        <s v="DVD-21"/>
        <s v="DVD-22"/>
        <s v="DVD-23"/>
        <s v="DVD-24"/>
        <s v="DVD-25"/>
        <s v="DVD-26"/>
        <s v="DVD-27"/>
        <s v="DVD-28"/>
        <s v="DVD-29"/>
        <s v="DVD-30"/>
      </sharedItems>
    </cacheField>
    <cacheField name="타이틀명" numFmtId="0">
      <sharedItems/>
    </cacheField>
    <cacheField name="입고일자" numFmtId="14">
      <sharedItems containsSemiMixedTypes="0" containsNonDate="0" containsDate="1" containsString="0" minDate="2015-05-25T00:00:00" maxDate="2016-08-27T00:00:00" count="29">
        <d v="2015-05-26T00:00:00"/>
        <d v="2015-05-29T00:00:00"/>
        <d v="2015-06-01T00:00:00"/>
        <d v="2015-06-04T00:00:00"/>
        <d v="2015-06-07T00:00:00"/>
        <d v="2015-06-10T00:00:00"/>
        <d v="2015-07-05T00:00:00"/>
        <d v="2015-07-30T00:00:00"/>
        <d v="2015-08-24T00:00:00"/>
        <d v="2015-09-18T00:00:00"/>
        <d v="2015-10-13T00:00:00"/>
        <d v="2015-11-07T00:00:00"/>
        <d v="2015-12-02T00:00:00"/>
        <d v="2015-12-27T00:00:00"/>
        <d v="2016-01-21T00:00:00"/>
        <d v="2016-02-15T00:00:00"/>
        <d v="2016-03-03T00:00:00"/>
        <d v="2016-03-19T00:00:00"/>
        <d v="2016-04-04T00:00:00"/>
        <d v="2016-04-20T00:00:00"/>
        <d v="2016-05-06T00:00:00"/>
        <d v="2016-05-22T00:00:00"/>
        <d v="2016-06-07T00:00:00"/>
        <d v="2016-06-23T00:00:00"/>
        <d v="2016-07-09T00:00:00"/>
        <d v="2016-07-25T00:00:00"/>
        <d v="2016-08-10T00:00:00"/>
        <d v="2016-08-26T00:00:00"/>
        <d v="2015-05-25T00:00:00"/>
      </sharedItems>
      <fieldGroup par="7" base="2">
        <rangePr groupBy="quarters" startDate="2015-05-25T00:00:00" endDate="2016-08-27T00:00:00"/>
        <groupItems count="6">
          <s v="&lt;2015-05-25"/>
          <s v="1사분기"/>
          <s v="2사분기"/>
          <s v="3사분기"/>
          <s v="4사분기"/>
          <s v="&gt;2016-08-27"/>
        </groupItems>
      </fieldGroup>
    </cacheField>
    <cacheField name="가격" numFmtId="5">
      <sharedItems containsSemiMixedTypes="0" containsString="0" containsNumber="1" containsInteger="1" minValue="16500" maxValue="49000"/>
    </cacheField>
    <cacheField name="장르" numFmtId="0">
      <sharedItems/>
    </cacheField>
    <cacheField name="제작년도" numFmtId="0">
      <sharedItems containsSemiMixedTypes="0" containsString="0" containsNumber="1" containsInteger="1" minValue="1953" maxValue="2002"/>
    </cacheField>
    <cacheField name="대여료" numFmtId="5">
      <sharedItems containsSemiMixedTypes="0" containsString="0" containsNumber="1" containsInteger="1" minValue="500" maxValue="3000"/>
    </cacheField>
    <cacheField name="연" numFmtId="0" databaseField="0">
      <fieldGroup base="2">
        <rangePr groupBy="years" startDate="2015-05-25T00:00:00" endDate="2016-08-27T00:00:00"/>
        <groupItems count="4">
          <s v="&lt;2015-05-25"/>
          <s v="2015년"/>
          <s v="2016년"/>
          <s v="&gt;2016-08-2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0">
  <r>
    <x v="0"/>
    <s v="7년만의 외출"/>
    <x v="0"/>
    <n v="25000"/>
    <s v="코메디"/>
    <n v="1955"/>
    <n v="2000"/>
  </r>
  <r>
    <x v="1"/>
    <s v="3000마일"/>
    <x v="1"/>
    <n v="25300"/>
    <s v="액션"/>
    <n v="2001"/>
    <n v="1000"/>
  </r>
  <r>
    <x v="2"/>
    <s v="대탈주SE"/>
    <x v="2"/>
    <n v="29500"/>
    <s v="액션"/>
    <n v="1963"/>
    <n v="1000"/>
  </r>
  <r>
    <x v="3"/>
    <s v="빨강머리앤"/>
    <x v="3"/>
    <n v="23000"/>
    <s v="애니메이션"/>
    <n v="1973"/>
    <n v="1000"/>
  </r>
  <r>
    <x v="4"/>
    <s v="화산고"/>
    <x v="4"/>
    <n v="25000"/>
    <s v="액션"/>
    <n v="2002"/>
    <n v="1500"/>
  </r>
  <r>
    <x v="5"/>
    <s v="프렌치키스"/>
    <x v="5"/>
    <n v="25000"/>
    <s v="코메디"/>
    <n v="1995"/>
    <n v="500"/>
  </r>
  <r>
    <x v="6"/>
    <s v="일단 뛰어"/>
    <x v="6"/>
    <n v="25300"/>
    <s v="코메디"/>
    <n v="2002"/>
    <n v="1500"/>
  </r>
  <r>
    <x v="7"/>
    <s v="타이탄 족의 멸망"/>
    <x v="7"/>
    <n v="16500"/>
    <s v="모험"/>
    <n v="1981"/>
    <n v="500"/>
  </r>
  <r>
    <x v="8"/>
    <s v="아마겟돈"/>
    <x v="8"/>
    <n v="29000"/>
    <s v="액션"/>
    <n v="1998"/>
    <n v="500"/>
  </r>
  <r>
    <x v="9"/>
    <s v="아비정전"/>
    <x v="9"/>
    <n v="22000"/>
    <s v="드라마"/>
    <n v="1991"/>
    <n v="500"/>
  </r>
  <r>
    <x v="10"/>
    <s v="철목련"/>
    <x v="10"/>
    <n v="25000"/>
    <s v="드라마"/>
    <n v="1989"/>
    <n v="500"/>
  </r>
  <r>
    <x v="11"/>
    <s v="자이언트 로보"/>
    <x v="11"/>
    <n v="25000"/>
    <s v="애니메이션"/>
    <n v="1991"/>
    <n v="500"/>
  </r>
  <r>
    <x v="12"/>
    <s v="피터팬"/>
    <x v="12"/>
    <n v="29000"/>
    <s v="애니메이션"/>
    <n v="1953"/>
    <n v="2000"/>
  </r>
  <r>
    <x v="13"/>
    <s v="톰썸의 비밀모험"/>
    <x v="13"/>
    <n v="25000"/>
    <s v="모험"/>
    <n v="1993"/>
    <n v="500"/>
  </r>
  <r>
    <x v="14"/>
    <s v="반지의 제왕"/>
    <x v="14"/>
    <n v="29000"/>
    <s v="모험"/>
    <n v="2001"/>
    <n v="1000"/>
  </r>
  <r>
    <x v="15"/>
    <s v="피도 눈물도 없이"/>
    <x v="15"/>
    <n v="25000"/>
    <s v="액션"/>
    <n v="2002"/>
    <n v="1500"/>
  </r>
  <r>
    <x v="16"/>
    <s v="뿌리"/>
    <x v="16"/>
    <n v="37000"/>
    <s v="드라마"/>
    <n v="1977"/>
    <n v="3000"/>
  </r>
  <r>
    <x v="17"/>
    <s v="마리이야기"/>
    <x v="17"/>
    <n v="25300"/>
    <s v="애니메이션"/>
    <n v="2002"/>
    <n v="500"/>
  </r>
  <r>
    <x v="18"/>
    <s v="스몰빌"/>
    <x v="18"/>
    <n v="16500"/>
    <s v="액션"/>
    <n v="2001"/>
    <n v="1000"/>
  </r>
  <r>
    <x v="19"/>
    <s v="양철북"/>
    <x v="19"/>
    <n v="19800"/>
    <s v="드라마"/>
    <n v="1979"/>
    <n v="1000"/>
  </r>
  <r>
    <x v="20"/>
    <s v="하드 캐쉬"/>
    <x v="20"/>
    <n v="22000"/>
    <s v="액션"/>
    <n v="2002"/>
    <n v="1500"/>
  </r>
  <r>
    <x v="21"/>
    <s v="친구"/>
    <x v="21"/>
    <n v="25300"/>
    <s v="드라마"/>
    <n v="2001"/>
    <n v="1500"/>
  </r>
  <r>
    <x v="22"/>
    <s v="진주만"/>
    <x v="22"/>
    <n v="49000"/>
    <s v="모험"/>
    <n v="2001"/>
    <n v="3000"/>
  </r>
  <r>
    <x v="23"/>
    <s v="내겐 너무 가벼운 그녀"/>
    <x v="23"/>
    <n v="27500"/>
    <s v="코메디"/>
    <n v="2001"/>
    <n v="1500"/>
  </r>
  <r>
    <x v="24"/>
    <s v="서부전선 이상없다"/>
    <x v="24"/>
    <n v="19980"/>
    <s v="액션"/>
    <n v="1979"/>
    <n v="1000"/>
  </r>
  <r>
    <x v="25"/>
    <s v="슬레이어즈  NEXT"/>
    <x v="25"/>
    <n v="25000"/>
    <s v="애니메이션"/>
    <n v="1996"/>
    <n v="1000"/>
  </r>
  <r>
    <x v="26"/>
    <s v="달마야 놀자"/>
    <x v="26"/>
    <n v="25300"/>
    <s v="코메디"/>
    <n v="2001"/>
    <n v="1500"/>
  </r>
  <r>
    <x v="27"/>
    <s v="스파이 게임"/>
    <x v="27"/>
    <n v="25300"/>
    <s v="액션"/>
    <n v="2001"/>
    <n v="1000"/>
  </r>
  <r>
    <x v="28"/>
    <s v="재미있는 영화"/>
    <x v="28"/>
    <n v="25000"/>
    <s v="코메디"/>
    <n v="2002"/>
    <n v="2000"/>
  </r>
  <r>
    <x v="29"/>
    <s v="콘에어"/>
    <x v="5"/>
    <n v="24000"/>
    <s v="모험"/>
    <n v="1997"/>
    <n v="10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피벗 테이블1" cacheId="17" applyNumberFormats="0" applyBorderFormats="0" applyFontFormats="0" applyPatternFormats="0" applyAlignmentFormats="0" applyWidthHeightFormats="1" dataCaption="값" updatedVersion="4" minRefreshableVersion="3" useAutoFormatting="1" itemPrintTitles="1" createdVersion="4" indent="0" compact="0" outline="1" outlineData="1" compactData="0" multipleFieldFilters="0">
  <location ref="I5:L16" firstHeaderRow="0" firstDataRow="1" firstDataCol="2" rowPageCount="1" colPageCount="1"/>
  <pivotFields count="8">
    <pivotField axis="axisPage" compact="0" subtotalTop="0" showAll="0">
      <items count="3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t="default"/>
      </items>
    </pivotField>
    <pivotField compact="0" subtotalTop="0" showAll="0"/>
    <pivotField axis="axisRow" compact="0" numFmtId="14" subtotalTop="0" showAll="0">
      <items count="7">
        <item x="0"/>
        <item x="1"/>
        <item x="2"/>
        <item x="3"/>
        <item x="4"/>
        <item x="5"/>
        <item t="default"/>
      </items>
    </pivotField>
    <pivotField compact="0" numFmtId="5" subtotalTop="0" showAll="0"/>
    <pivotField compact="0" subtotalTop="0" showAll="0"/>
    <pivotField dataField="1" compact="0" subtotalTop="0" showAll="0"/>
    <pivotField dataField="1" compact="0" numFmtId="5" subtotalTop="0" showAll="0"/>
    <pivotField axis="axisRow" compact="0" subtotalTop="0" showAll="0">
      <items count="5">
        <item x="0"/>
        <item x="1"/>
        <item x="2"/>
        <item x="3"/>
        <item t="default"/>
      </items>
    </pivotField>
  </pivotFields>
  <rowFields count="2">
    <field x="7"/>
    <field x="2"/>
  </rowFields>
  <rowItems count="11">
    <i>
      <x v="1"/>
    </i>
    <i r="1">
      <x v="2"/>
    </i>
    <i r="1">
      <x v="3"/>
    </i>
    <i r="1">
      <x v="4"/>
    </i>
    <i t="default">
      <x v="1"/>
    </i>
    <i>
      <x v="2"/>
    </i>
    <i r="1">
      <x v="1"/>
    </i>
    <i r="1">
      <x v="2"/>
    </i>
    <i r="1">
      <x v="3"/>
    </i>
    <i t="default">
      <x v="2"/>
    </i>
    <i t="grand">
      <x/>
    </i>
  </rowItems>
  <colFields count="1">
    <field x="-2"/>
  </colFields>
  <colItems count="2">
    <i>
      <x/>
    </i>
    <i i="1">
      <x v="1"/>
    </i>
  </colItems>
  <pageFields count="1">
    <pageField fld="0" hier="-1"/>
  </pageFields>
  <dataFields count="2">
    <dataField name="최소값 : 대여료" fld="6" subtotal="min" baseField="2" baseItem="4" numFmtId="180"/>
    <dataField name="최소값 : 제작년도" fld="5" subtotal="min" baseField="0" baseItem="0"/>
  </dataFields>
  <pivotTableStyleInfo name="PivotStyleMedium10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" name="표1" displayName="표1" ref="A1:G5" totalsRowShown="0">
  <autoFilter ref="A1:G5"/>
  <tableColumns count="7">
    <tableColumn id="1" name="관리코드"/>
    <tableColumn id="2" name="타이틀명"/>
    <tableColumn id="3" name="입고일자" dataDxfId="0"/>
    <tableColumn id="4" name="가격"/>
    <tableColumn id="5" name="장르"/>
    <tableColumn id="6" name="제작년도"/>
    <tableColumn id="7" name="대여료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12"/>
  <sheetViews>
    <sheetView workbookViewId="0"/>
  </sheetViews>
  <sheetFormatPr defaultRowHeight="16.5"/>
  <cols>
    <col min="1" max="1" width="2" customWidth="1"/>
    <col min="2" max="2" width="7.5" customWidth="1"/>
    <col min="3" max="3" width="9.375" customWidth="1"/>
    <col min="4" max="4" width="7.5" customWidth="1"/>
    <col min="5" max="5" width="9.375" customWidth="1"/>
    <col min="6" max="6" width="7.5" customWidth="1"/>
    <col min="7" max="7" width="9.375" customWidth="1"/>
    <col min="8" max="8" width="13.25" customWidth="1"/>
    <col min="9" max="9" width="11.875" customWidth="1"/>
  </cols>
  <sheetData>
    <row r="1" spans="1:9">
      <c r="A1" s="1"/>
      <c r="B1" s="1" t="s">
        <v>0</v>
      </c>
      <c r="C1" s="1"/>
    </row>
    <row r="3" spans="1:9">
      <c r="B3" s="49" t="s">
        <v>1</v>
      </c>
      <c r="C3" s="50" t="s">
        <v>299</v>
      </c>
      <c r="D3" s="50" t="s">
        <v>2</v>
      </c>
      <c r="E3" s="50" t="s">
        <v>3</v>
      </c>
      <c r="F3" s="50" t="s">
        <v>300</v>
      </c>
      <c r="G3" s="50" t="s">
        <v>301</v>
      </c>
      <c r="H3" s="50" t="s">
        <v>302</v>
      </c>
      <c r="I3" s="51" t="s">
        <v>303</v>
      </c>
    </row>
    <row r="4" spans="1:9">
      <c r="B4" s="52" t="s">
        <v>304</v>
      </c>
      <c r="C4" s="53" t="s">
        <v>305</v>
      </c>
      <c r="D4" s="53" t="s">
        <v>4</v>
      </c>
      <c r="E4" s="53">
        <v>2608100</v>
      </c>
      <c r="F4" s="53">
        <v>100000</v>
      </c>
      <c r="G4" s="53">
        <v>0</v>
      </c>
      <c r="H4" s="53">
        <v>300000</v>
      </c>
      <c r="I4" s="54">
        <v>3008100</v>
      </c>
    </row>
    <row r="5" spans="1:9">
      <c r="B5" s="55" t="s">
        <v>306</v>
      </c>
      <c r="C5" s="56" t="s">
        <v>305</v>
      </c>
      <c r="D5" s="56" t="s">
        <v>4</v>
      </c>
      <c r="E5" s="56">
        <v>2912900</v>
      </c>
      <c r="F5" s="56">
        <v>100000</v>
      </c>
      <c r="G5" s="56">
        <v>0</v>
      </c>
      <c r="H5" s="56">
        <v>300000</v>
      </c>
      <c r="I5" s="57">
        <v>3312900</v>
      </c>
    </row>
    <row r="6" spans="1:9">
      <c r="B6" s="52" t="s">
        <v>307</v>
      </c>
      <c r="C6" s="53" t="s">
        <v>305</v>
      </c>
      <c r="D6" s="53" t="s">
        <v>4</v>
      </c>
      <c r="E6" s="53">
        <v>3092900</v>
      </c>
      <c r="F6" s="53">
        <v>100000</v>
      </c>
      <c r="G6" s="53">
        <v>0</v>
      </c>
      <c r="H6" s="53">
        <v>300000</v>
      </c>
      <c r="I6" s="54">
        <v>3492900</v>
      </c>
    </row>
    <row r="7" spans="1:9">
      <c r="B7" s="55" t="s">
        <v>308</v>
      </c>
      <c r="C7" s="56" t="s">
        <v>309</v>
      </c>
      <c r="D7" s="56" t="s">
        <v>4</v>
      </c>
      <c r="E7" s="56">
        <v>2608100</v>
      </c>
      <c r="F7" s="56">
        <v>100000</v>
      </c>
      <c r="G7" s="56">
        <v>0</v>
      </c>
      <c r="H7" s="56">
        <v>300000</v>
      </c>
      <c r="I7" s="57">
        <v>3008100</v>
      </c>
    </row>
    <row r="8" spans="1:9">
      <c r="B8" s="52" t="s">
        <v>310</v>
      </c>
      <c r="C8" s="53" t="s">
        <v>309</v>
      </c>
      <c r="D8" s="53" t="s">
        <v>4</v>
      </c>
      <c r="E8" s="53">
        <v>3002900</v>
      </c>
      <c r="F8" s="53">
        <v>100000</v>
      </c>
      <c r="G8" s="53">
        <v>0</v>
      </c>
      <c r="H8" s="53">
        <v>300000</v>
      </c>
      <c r="I8" s="54">
        <v>3402900</v>
      </c>
    </row>
    <row r="9" spans="1:9">
      <c r="B9" s="55" t="s">
        <v>311</v>
      </c>
      <c r="C9" s="56" t="s">
        <v>309</v>
      </c>
      <c r="D9" s="56" t="s">
        <v>4</v>
      </c>
      <c r="E9" s="56">
        <v>3002900</v>
      </c>
      <c r="F9" s="56">
        <v>100000</v>
      </c>
      <c r="G9" s="56">
        <v>0</v>
      </c>
      <c r="H9" s="56">
        <v>300000</v>
      </c>
      <c r="I9" s="57">
        <v>3402900</v>
      </c>
    </row>
    <row r="10" spans="1:9">
      <c r="B10" s="52" t="s">
        <v>312</v>
      </c>
      <c r="C10" s="53" t="s">
        <v>313</v>
      </c>
      <c r="D10" s="53" t="s">
        <v>4</v>
      </c>
      <c r="E10" s="53">
        <v>2688100</v>
      </c>
      <c r="F10" s="53">
        <v>100000</v>
      </c>
      <c r="G10" s="53">
        <v>0</v>
      </c>
      <c r="H10" s="53">
        <v>300000</v>
      </c>
      <c r="I10" s="54">
        <v>3088100</v>
      </c>
    </row>
    <row r="11" spans="1:9">
      <c r="B11" s="55" t="s">
        <v>314</v>
      </c>
      <c r="C11" s="56" t="s">
        <v>313</v>
      </c>
      <c r="D11" s="56" t="s">
        <v>4</v>
      </c>
      <c r="E11" s="56">
        <v>3002900</v>
      </c>
      <c r="F11" s="56">
        <v>100000</v>
      </c>
      <c r="G11" s="56">
        <v>0</v>
      </c>
      <c r="H11" s="56">
        <v>300000</v>
      </c>
      <c r="I11" s="57">
        <v>3402900</v>
      </c>
    </row>
    <row r="12" spans="1:9">
      <c r="B12" s="46" t="s">
        <v>315</v>
      </c>
      <c r="C12" s="47" t="s">
        <v>316</v>
      </c>
      <c r="D12" s="47" t="s">
        <v>4</v>
      </c>
      <c r="E12" s="47">
        <v>2768100</v>
      </c>
      <c r="F12" s="47">
        <v>100000</v>
      </c>
      <c r="G12" s="47">
        <v>0</v>
      </c>
      <c r="H12" s="47">
        <v>300000</v>
      </c>
      <c r="I12" s="48">
        <v>3168100</v>
      </c>
    </row>
  </sheetData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39"/>
  <sheetViews>
    <sheetView workbookViewId="0"/>
  </sheetViews>
  <sheetFormatPr defaultRowHeight="16.5"/>
  <cols>
    <col min="1" max="1" width="2" style="67" customWidth="1"/>
    <col min="2" max="2" width="10.875" style="67" customWidth="1"/>
    <col min="3" max="3" width="16.25" style="67" customWidth="1"/>
    <col min="4" max="4" width="13.375" style="67" customWidth="1"/>
    <col min="5" max="5" width="11" style="67" customWidth="1"/>
    <col min="6" max="6" width="11" style="67" bestFit="1" customWidth="1"/>
    <col min="7" max="7" width="11.625" style="67" bestFit="1" customWidth="1"/>
    <col min="8" max="8" width="12" style="67" customWidth="1"/>
    <col min="9" max="9" width="9.875" style="67" customWidth="1"/>
    <col min="10" max="16384" width="9" style="67"/>
  </cols>
  <sheetData>
    <row r="1" spans="1:9" ht="20.25">
      <c r="A1" s="63"/>
      <c r="B1" s="64" t="s">
        <v>5</v>
      </c>
      <c r="C1" s="65"/>
      <c r="D1" s="65"/>
      <c r="E1" s="66" t="s">
        <v>6</v>
      </c>
      <c r="F1" s="65"/>
      <c r="G1" s="65"/>
      <c r="H1" s="65"/>
      <c r="I1" s="65"/>
    </row>
    <row r="2" spans="1:9">
      <c r="A2" s="63"/>
      <c r="B2" s="63" t="s">
        <v>7</v>
      </c>
      <c r="C2" s="63"/>
      <c r="D2" s="63"/>
      <c r="E2" s="63"/>
      <c r="F2" s="63"/>
      <c r="G2" s="63"/>
      <c r="H2" s="63"/>
      <c r="I2" s="63" t="s">
        <v>8</v>
      </c>
    </row>
    <row r="3" spans="1:9">
      <c r="A3" s="63"/>
      <c r="B3" s="68" t="s">
        <v>9</v>
      </c>
      <c r="C3" s="68" t="s">
        <v>10</v>
      </c>
      <c r="D3" s="68" t="s">
        <v>11</v>
      </c>
      <c r="E3" s="68" t="s">
        <v>12</v>
      </c>
      <c r="F3" s="68" t="s">
        <v>13</v>
      </c>
      <c r="G3" s="68" t="s">
        <v>14</v>
      </c>
      <c r="H3" s="68" t="s">
        <v>15</v>
      </c>
      <c r="I3" s="68" t="s">
        <v>16</v>
      </c>
    </row>
    <row r="4" spans="1:9">
      <c r="A4" s="63"/>
      <c r="B4" s="69" t="s">
        <v>17</v>
      </c>
      <c r="C4" s="69" t="s">
        <v>18</v>
      </c>
      <c r="D4" s="70">
        <v>22</v>
      </c>
      <c r="E4" s="70">
        <v>8</v>
      </c>
      <c r="F4" s="70">
        <v>10</v>
      </c>
      <c r="G4" s="71">
        <f>D4*600+E4*1100+F4*1500</f>
        <v>37000</v>
      </c>
      <c r="H4" s="72">
        <f>G4*0.2</f>
        <v>7400</v>
      </c>
      <c r="I4" s="69">
        <f>RANK(G4,$G$4:$G$12)</f>
        <v>2</v>
      </c>
    </row>
    <row r="5" spans="1:9">
      <c r="A5" s="63"/>
      <c r="B5" s="69" t="s">
        <v>19</v>
      </c>
      <c r="C5" s="69" t="s">
        <v>20</v>
      </c>
      <c r="D5" s="70">
        <v>18</v>
      </c>
      <c r="E5" s="70">
        <v>5</v>
      </c>
      <c r="F5" s="70">
        <v>5</v>
      </c>
      <c r="G5" s="71">
        <f t="shared" ref="G5:G12" si="0">D5*600+E5*1100+F5*1500</f>
        <v>23800</v>
      </c>
      <c r="H5" s="72">
        <f t="shared" ref="H5:H12" si="1">G5*0.2</f>
        <v>4760</v>
      </c>
      <c r="I5" s="69">
        <f t="shared" ref="I5:I12" si="2">RANK(G5,$G$4:$G$12)</f>
        <v>9</v>
      </c>
    </row>
    <row r="6" spans="1:9">
      <c r="A6" s="63"/>
      <c r="B6" s="69" t="s">
        <v>21</v>
      </c>
      <c r="C6" s="69" t="s">
        <v>22</v>
      </c>
      <c r="D6" s="70">
        <v>15</v>
      </c>
      <c r="E6" s="73">
        <v>3</v>
      </c>
      <c r="F6" s="73">
        <v>10</v>
      </c>
      <c r="G6" s="74">
        <f t="shared" si="0"/>
        <v>27300</v>
      </c>
      <c r="H6" s="72">
        <f t="shared" si="1"/>
        <v>5460</v>
      </c>
      <c r="I6" s="69">
        <f t="shared" si="2"/>
        <v>6</v>
      </c>
    </row>
    <row r="7" spans="1:9">
      <c r="A7" s="63"/>
      <c r="B7" s="69" t="s">
        <v>23</v>
      </c>
      <c r="C7" s="69" t="s">
        <v>22</v>
      </c>
      <c r="D7" s="70">
        <v>10</v>
      </c>
      <c r="E7" s="70">
        <v>10</v>
      </c>
      <c r="F7" s="70">
        <v>6</v>
      </c>
      <c r="G7" s="71">
        <f t="shared" si="0"/>
        <v>26000</v>
      </c>
      <c r="H7" s="72">
        <f t="shared" si="1"/>
        <v>5200</v>
      </c>
      <c r="I7" s="69">
        <f t="shared" si="2"/>
        <v>8</v>
      </c>
    </row>
    <row r="8" spans="1:9">
      <c r="A8" s="63"/>
      <c r="B8" s="69" t="s">
        <v>24</v>
      </c>
      <c r="C8" s="69" t="s">
        <v>25</v>
      </c>
      <c r="D8" s="70">
        <v>20</v>
      </c>
      <c r="E8" s="70">
        <v>7</v>
      </c>
      <c r="F8" s="70">
        <v>5</v>
      </c>
      <c r="G8" s="71">
        <f t="shared" si="0"/>
        <v>27200</v>
      </c>
      <c r="H8" s="72">
        <f t="shared" si="1"/>
        <v>5440</v>
      </c>
      <c r="I8" s="69">
        <f t="shared" si="2"/>
        <v>7</v>
      </c>
    </row>
    <row r="9" spans="1:9">
      <c r="A9" s="63"/>
      <c r="B9" s="69" t="s">
        <v>26</v>
      </c>
      <c r="C9" s="69" t="s">
        <v>27</v>
      </c>
      <c r="D9" s="70">
        <v>22</v>
      </c>
      <c r="E9" s="70">
        <v>11</v>
      </c>
      <c r="F9" s="70">
        <v>4</v>
      </c>
      <c r="G9" s="71">
        <f t="shared" si="0"/>
        <v>31300</v>
      </c>
      <c r="H9" s="72">
        <f t="shared" si="1"/>
        <v>6260</v>
      </c>
      <c r="I9" s="69">
        <f t="shared" si="2"/>
        <v>4</v>
      </c>
    </row>
    <row r="10" spans="1:9">
      <c r="A10" s="63"/>
      <c r="B10" s="69" t="s">
        <v>28</v>
      </c>
      <c r="C10" s="69" t="s">
        <v>29</v>
      </c>
      <c r="D10" s="70">
        <v>30</v>
      </c>
      <c r="E10" s="70">
        <v>13</v>
      </c>
      <c r="F10" s="70">
        <v>5</v>
      </c>
      <c r="G10" s="71">
        <f t="shared" si="0"/>
        <v>39800</v>
      </c>
      <c r="H10" s="72">
        <f t="shared" si="1"/>
        <v>7960</v>
      </c>
      <c r="I10" s="69">
        <f t="shared" si="2"/>
        <v>1</v>
      </c>
    </row>
    <row r="11" spans="1:9">
      <c r="A11" s="63"/>
      <c r="B11" s="69" t="s">
        <v>30</v>
      </c>
      <c r="C11" s="69" t="s">
        <v>31</v>
      </c>
      <c r="D11" s="70">
        <v>15</v>
      </c>
      <c r="E11" s="70">
        <v>8</v>
      </c>
      <c r="F11" s="70">
        <v>12</v>
      </c>
      <c r="G11" s="71">
        <f t="shared" si="0"/>
        <v>35800</v>
      </c>
      <c r="H11" s="72">
        <f t="shared" si="1"/>
        <v>7160</v>
      </c>
      <c r="I11" s="69">
        <f t="shared" si="2"/>
        <v>3</v>
      </c>
    </row>
    <row r="12" spans="1:9">
      <c r="A12" s="63"/>
      <c r="B12" s="69" t="s">
        <v>32</v>
      </c>
      <c r="C12" s="69" t="s">
        <v>29</v>
      </c>
      <c r="D12" s="70">
        <v>10</v>
      </c>
      <c r="E12" s="70">
        <v>9</v>
      </c>
      <c r="F12" s="70">
        <v>8</v>
      </c>
      <c r="G12" s="71">
        <f t="shared" si="0"/>
        <v>27900</v>
      </c>
      <c r="H12" s="72">
        <f t="shared" si="1"/>
        <v>5580</v>
      </c>
      <c r="I12" s="69">
        <f t="shared" si="2"/>
        <v>5</v>
      </c>
    </row>
    <row r="13" spans="1:9">
      <c r="A13" s="63"/>
      <c r="B13" s="63"/>
      <c r="C13" s="63"/>
      <c r="D13" s="63"/>
      <c r="E13" s="63"/>
      <c r="F13" s="63"/>
      <c r="G13" s="63"/>
      <c r="H13" s="63"/>
      <c r="I13" s="63"/>
    </row>
    <row r="14" spans="1:9">
      <c r="A14" s="63"/>
      <c r="B14" s="63"/>
      <c r="C14" s="63"/>
      <c r="D14" s="63"/>
      <c r="E14" s="63"/>
      <c r="F14" s="63"/>
      <c r="G14" s="63"/>
      <c r="H14" s="63"/>
      <c r="I14" s="63"/>
    </row>
    <row r="15" spans="1:9">
      <c r="A15" s="63"/>
      <c r="B15" s="63"/>
      <c r="C15" s="63"/>
      <c r="D15" s="63"/>
      <c r="E15" s="63"/>
      <c r="F15" s="63"/>
      <c r="G15" s="63"/>
      <c r="H15" s="63"/>
      <c r="I15" s="63"/>
    </row>
    <row r="16" spans="1:9">
      <c r="A16" s="63"/>
      <c r="B16" s="64" t="s">
        <v>33</v>
      </c>
      <c r="C16" s="63" t="s">
        <v>34</v>
      </c>
      <c r="D16" s="63"/>
      <c r="E16" s="63"/>
      <c r="F16" s="63"/>
      <c r="G16" s="63"/>
      <c r="H16" s="63"/>
      <c r="I16" s="63"/>
    </row>
    <row r="17" spans="1:9">
      <c r="A17" s="63"/>
      <c r="B17" s="64"/>
      <c r="C17" s="63"/>
      <c r="D17" s="63"/>
      <c r="E17" s="63"/>
      <c r="F17" s="63"/>
      <c r="G17" s="63"/>
      <c r="H17" s="63"/>
      <c r="I17" s="63"/>
    </row>
    <row r="18" spans="1:9">
      <c r="A18" s="63"/>
      <c r="B18" s="75" t="s">
        <v>35</v>
      </c>
      <c r="C18" s="75" t="s">
        <v>36</v>
      </c>
      <c r="D18" s="75" t="s">
        <v>37</v>
      </c>
      <c r="E18" s="75" t="s">
        <v>38</v>
      </c>
      <c r="F18" s="75" t="s">
        <v>39</v>
      </c>
      <c r="G18" s="63"/>
      <c r="H18" s="63"/>
      <c r="I18" s="63"/>
    </row>
    <row r="19" spans="1:9">
      <c r="A19" s="63"/>
      <c r="B19" s="63" t="s">
        <v>40</v>
      </c>
      <c r="C19" s="63" t="s">
        <v>41</v>
      </c>
      <c r="D19" s="63" t="s">
        <v>42</v>
      </c>
      <c r="E19" s="63" t="s">
        <v>43</v>
      </c>
      <c r="F19" s="63" t="s">
        <v>44</v>
      </c>
      <c r="G19" s="63"/>
      <c r="H19" s="63"/>
      <c r="I19" s="63"/>
    </row>
    <row r="20" spans="1:9">
      <c r="A20" s="63"/>
      <c r="B20" s="63" t="s">
        <v>45</v>
      </c>
      <c r="C20" s="63" t="s">
        <v>46</v>
      </c>
      <c r="D20" s="63" t="s">
        <v>47</v>
      </c>
      <c r="E20" s="63" t="s">
        <v>48</v>
      </c>
      <c r="F20" s="63" t="s">
        <v>44</v>
      </c>
      <c r="G20" s="63"/>
      <c r="H20" s="63"/>
      <c r="I20" s="63"/>
    </row>
    <row r="21" spans="1:9">
      <c r="A21" s="63"/>
      <c r="B21" s="63" t="s">
        <v>49</v>
      </c>
      <c r="C21" s="63" t="s">
        <v>50</v>
      </c>
      <c r="D21" s="63" t="s">
        <v>51</v>
      </c>
      <c r="E21" s="63" t="s">
        <v>52</v>
      </c>
      <c r="F21" s="63" t="s">
        <v>53</v>
      </c>
      <c r="G21" s="63"/>
      <c r="H21" s="63"/>
      <c r="I21" s="63"/>
    </row>
    <row r="22" spans="1:9">
      <c r="A22" s="63"/>
      <c r="B22" s="63" t="s">
        <v>54</v>
      </c>
      <c r="C22" s="63" t="s">
        <v>55</v>
      </c>
      <c r="D22" s="63" t="s">
        <v>56</v>
      </c>
      <c r="E22" s="63" t="s">
        <v>57</v>
      </c>
      <c r="F22" s="63" t="s">
        <v>53</v>
      </c>
      <c r="G22" s="63"/>
      <c r="H22" s="63"/>
      <c r="I22" s="63"/>
    </row>
    <row r="23" spans="1:9">
      <c r="A23" s="63"/>
      <c r="B23" s="63" t="s">
        <v>58</v>
      </c>
      <c r="C23" s="63" t="s">
        <v>59</v>
      </c>
      <c r="D23" s="63" t="s">
        <v>60</v>
      </c>
      <c r="E23" s="63" t="s">
        <v>61</v>
      </c>
      <c r="F23" s="63" t="s">
        <v>62</v>
      </c>
      <c r="G23" s="63"/>
      <c r="H23" s="63"/>
      <c r="I23" s="63"/>
    </row>
    <row r="24" spans="1:9">
      <c r="A24" s="63"/>
      <c r="B24" s="63" t="s">
        <v>63</v>
      </c>
      <c r="C24" s="63" t="s">
        <v>64</v>
      </c>
      <c r="D24" s="63" t="s">
        <v>65</v>
      </c>
      <c r="E24" s="63" t="s">
        <v>66</v>
      </c>
      <c r="F24" s="63" t="s">
        <v>67</v>
      </c>
      <c r="G24" s="63"/>
      <c r="H24" s="63"/>
      <c r="I24" s="63"/>
    </row>
    <row r="25" spans="1:9">
      <c r="A25" s="63"/>
      <c r="B25" s="63" t="s">
        <v>68</v>
      </c>
      <c r="C25" s="63" t="s">
        <v>69</v>
      </c>
      <c r="D25" s="63" t="s">
        <v>70</v>
      </c>
      <c r="E25" s="63" t="s">
        <v>71</v>
      </c>
      <c r="F25" s="63" t="s">
        <v>72</v>
      </c>
      <c r="G25" s="63"/>
      <c r="H25" s="63"/>
      <c r="I25" s="63"/>
    </row>
    <row r="26" spans="1:9">
      <c r="A26" s="63"/>
      <c r="B26" s="63" t="s">
        <v>73</v>
      </c>
      <c r="C26" s="63" t="s">
        <v>74</v>
      </c>
      <c r="D26" s="63" t="s">
        <v>75</v>
      </c>
      <c r="E26" s="63" t="s">
        <v>76</v>
      </c>
      <c r="F26" s="63" t="s">
        <v>72</v>
      </c>
      <c r="G26" s="63"/>
      <c r="H26" s="63"/>
      <c r="I26" s="63"/>
    </row>
    <row r="27" spans="1:9">
      <c r="A27" s="63"/>
      <c r="B27" s="63" t="s">
        <v>77</v>
      </c>
      <c r="C27" s="63" t="s">
        <v>78</v>
      </c>
      <c r="D27" s="63" t="s">
        <v>79</v>
      </c>
      <c r="E27" s="63" t="s">
        <v>80</v>
      </c>
      <c r="F27" s="63" t="s">
        <v>81</v>
      </c>
      <c r="G27" s="63"/>
      <c r="H27" s="63"/>
      <c r="I27" s="63"/>
    </row>
    <row r="29" spans="1:9">
      <c r="B29" s="76" t="s">
        <v>82</v>
      </c>
      <c r="C29" s="76" t="s">
        <v>83</v>
      </c>
      <c r="D29" s="76" t="s">
        <v>84</v>
      </c>
    </row>
    <row r="30" spans="1:9">
      <c r="B30" s="76" t="s">
        <v>85</v>
      </c>
      <c r="C30" s="63" t="s">
        <v>53</v>
      </c>
    </row>
    <row r="31" spans="1:9">
      <c r="B31" s="76" t="s">
        <v>85</v>
      </c>
      <c r="C31" s="76" t="s">
        <v>86</v>
      </c>
    </row>
    <row r="32" spans="1:9">
      <c r="B32" s="76" t="s">
        <v>87</v>
      </c>
      <c r="D32" s="67" t="s">
        <v>88</v>
      </c>
    </row>
    <row r="35" spans="2:6">
      <c r="B35" s="75" t="s">
        <v>35</v>
      </c>
      <c r="C35" s="75" t="s">
        <v>36</v>
      </c>
      <c r="D35" s="75" t="s">
        <v>37</v>
      </c>
      <c r="E35" s="75" t="s">
        <v>38</v>
      </c>
      <c r="F35" s="75" t="s">
        <v>39</v>
      </c>
    </row>
    <row r="36" spans="2:6">
      <c r="B36" s="63" t="s">
        <v>49</v>
      </c>
      <c r="C36" s="63" t="s">
        <v>50</v>
      </c>
      <c r="D36" s="63" t="s">
        <v>51</v>
      </c>
      <c r="E36" s="63" t="s">
        <v>52</v>
      </c>
      <c r="F36" s="63" t="s">
        <v>53</v>
      </c>
    </row>
    <row r="37" spans="2:6">
      <c r="B37" s="63" t="s">
        <v>54</v>
      </c>
      <c r="C37" s="63" t="s">
        <v>55</v>
      </c>
      <c r="D37" s="63" t="s">
        <v>56</v>
      </c>
      <c r="E37" s="63" t="s">
        <v>57</v>
      </c>
      <c r="F37" s="63" t="s">
        <v>53</v>
      </c>
    </row>
    <row r="38" spans="2:6">
      <c r="B38" s="63" t="s">
        <v>58</v>
      </c>
      <c r="C38" s="63" t="s">
        <v>59</v>
      </c>
      <c r="D38" s="63" t="s">
        <v>60</v>
      </c>
      <c r="E38" s="63" t="s">
        <v>61</v>
      </c>
      <c r="F38" s="63" t="s">
        <v>62</v>
      </c>
    </row>
    <row r="39" spans="2:6">
      <c r="B39" s="63" t="s">
        <v>77</v>
      </c>
      <c r="C39" s="63" t="s">
        <v>78</v>
      </c>
      <c r="D39" s="63" t="s">
        <v>79</v>
      </c>
      <c r="E39" s="63" t="s">
        <v>80</v>
      </c>
      <c r="F39" s="63" t="s">
        <v>81</v>
      </c>
    </row>
  </sheetData>
  <phoneticPr fontId="3" type="noConversion"/>
  <conditionalFormatting sqref="B4:I12">
    <cfRule type="expression" dxfId="1" priority="1">
      <formula>($G4=MAX($G$4:$G$12))+($G4=MIN($G$4:$G$12))</formula>
    </cfRule>
  </conditionalFormatting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:G10"/>
  <sheetViews>
    <sheetView workbookViewId="0"/>
  </sheetViews>
  <sheetFormatPr defaultRowHeight="16.5"/>
  <cols>
    <col min="1" max="1" width="2.75" style="67" customWidth="1"/>
    <col min="2" max="2" width="10.625" style="67" customWidth="1"/>
    <col min="3" max="4" width="10.75" style="67" customWidth="1"/>
    <col min="5" max="5" width="9" style="67"/>
    <col min="6" max="6" width="12.125" style="67" customWidth="1"/>
    <col min="7" max="7" width="10.875" style="67" customWidth="1"/>
    <col min="8" max="16384" width="9" style="67"/>
  </cols>
  <sheetData>
    <row r="2" spans="2:7">
      <c r="B2" s="67" t="s">
        <v>341</v>
      </c>
    </row>
    <row r="3" spans="2:7">
      <c r="B3" s="81" t="s">
        <v>1</v>
      </c>
      <c r="C3" s="81" t="s">
        <v>330</v>
      </c>
      <c r="D3" s="81" t="s">
        <v>331</v>
      </c>
      <c r="E3" s="81" t="s">
        <v>300</v>
      </c>
      <c r="F3" s="81" t="s">
        <v>332</v>
      </c>
      <c r="G3" s="81" t="s">
        <v>333</v>
      </c>
    </row>
    <row r="4" spans="2:7">
      <c r="B4" s="82" t="s">
        <v>334</v>
      </c>
      <c r="C4" s="83">
        <v>0.25</v>
      </c>
      <c r="D4" s="83">
        <v>0.66666666666666663</v>
      </c>
      <c r="E4" s="84">
        <v>8000</v>
      </c>
      <c r="F4" s="84">
        <v>7000</v>
      </c>
      <c r="G4" s="77">
        <f t="shared" ref="G4:G10" si="0">IF(MINUTE(D4-C4)&gt;=30,HOUR(D4-C4)+1,HOUR(D4-C4))*F4+E4</f>
        <v>78000</v>
      </c>
    </row>
    <row r="5" spans="2:7">
      <c r="B5" s="85" t="s">
        <v>335</v>
      </c>
      <c r="C5" s="86">
        <v>0.5</v>
      </c>
      <c r="D5" s="86">
        <v>0.76597222222222217</v>
      </c>
      <c r="E5" s="87">
        <v>0</v>
      </c>
      <c r="F5" s="87">
        <v>4000</v>
      </c>
      <c r="G5" s="78">
        <f t="shared" si="0"/>
        <v>24000</v>
      </c>
    </row>
    <row r="6" spans="2:7">
      <c r="B6" s="88" t="s">
        <v>336</v>
      </c>
      <c r="C6" s="89">
        <v>0.375</v>
      </c>
      <c r="D6" s="89">
        <v>0.95833333333333337</v>
      </c>
      <c r="E6" s="90">
        <v>8000</v>
      </c>
      <c r="F6" s="90">
        <v>6000</v>
      </c>
      <c r="G6" s="79">
        <f t="shared" si="0"/>
        <v>92000</v>
      </c>
    </row>
    <row r="7" spans="2:7">
      <c r="B7" s="85" t="s">
        <v>337</v>
      </c>
      <c r="C7" s="86">
        <v>0.5</v>
      </c>
      <c r="D7" s="86">
        <v>0.5625</v>
      </c>
      <c r="E7" s="87">
        <v>0</v>
      </c>
      <c r="F7" s="87">
        <v>6000</v>
      </c>
      <c r="G7" s="78">
        <f t="shared" si="0"/>
        <v>12000</v>
      </c>
    </row>
    <row r="8" spans="2:7">
      <c r="B8" s="88" t="s">
        <v>338</v>
      </c>
      <c r="C8" s="89">
        <v>0.27083333333333331</v>
      </c>
      <c r="D8" s="89">
        <v>0.54166666666666663</v>
      </c>
      <c r="E8" s="90">
        <v>4000</v>
      </c>
      <c r="F8" s="90">
        <v>6000</v>
      </c>
      <c r="G8" s="79">
        <f t="shared" si="0"/>
        <v>46000</v>
      </c>
    </row>
    <row r="9" spans="2:7">
      <c r="B9" s="85" t="s">
        <v>339</v>
      </c>
      <c r="C9" s="86">
        <v>0.48958333333333331</v>
      </c>
      <c r="D9" s="86">
        <v>0.79166666666666663</v>
      </c>
      <c r="E9" s="87">
        <v>0</v>
      </c>
      <c r="F9" s="87">
        <v>6000</v>
      </c>
      <c r="G9" s="78">
        <f t="shared" si="0"/>
        <v>42000</v>
      </c>
    </row>
    <row r="10" spans="2:7">
      <c r="B10" s="91" t="s">
        <v>340</v>
      </c>
      <c r="C10" s="92">
        <v>0.71736111111111101</v>
      </c>
      <c r="D10" s="92">
        <v>0.95833333333333337</v>
      </c>
      <c r="E10" s="93">
        <v>4000</v>
      </c>
      <c r="F10" s="93">
        <v>5500</v>
      </c>
      <c r="G10" s="80">
        <f t="shared" si="0"/>
        <v>37000</v>
      </c>
    </row>
  </sheetData>
  <sheetProtection sheet="1" objects="1" scenarios="1" sort="0"/>
  <phoneticPr fontId="3" type="noConversion"/>
  <pageMargins left="0.7" right="0.7" top="0.75" bottom="0.75" header="0.3" footer="0.3"/>
  <pageSetup paperSize="9"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I48"/>
  <sheetViews>
    <sheetView workbookViewId="0"/>
  </sheetViews>
  <sheetFormatPr defaultColWidth="8.25" defaultRowHeight="16.5"/>
  <cols>
    <col min="1" max="1" width="11.625" style="1" customWidth="1"/>
    <col min="2" max="2" width="15.75" style="1" customWidth="1"/>
    <col min="3" max="3" width="10.25" style="1" customWidth="1"/>
    <col min="4" max="4" width="12.875" style="1" customWidth="1"/>
    <col min="5" max="5" width="13.625" style="1" customWidth="1"/>
    <col min="6" max="6" width="13" style="1" customWidth="1"/>
    <col min="7" max="7" width="13.25" style="1" customWidth="1"/>
    <col min="8" max="8" width="13.5" style="1" customWidth="1"/>
    <col min="9" max="9" width="11.125" style="1" customWidth="1"/>
    <col min="10" max="16384" width="8.25" style="1"/>
  </cols>
  <sheetData>
    <row r="1" spans="1:8">
      <c r="A1" s="2" t="s">
        <v>89</v>
      </c>
      <c r="B1" s="1" t="s">
        <v>90</v>
      </c>
    </row>
    <row r="2" spans="1:8">
      <c r="A2" s="5" t="s">
        <v>91</v>
      </c>
      <c r="B2" s="5" t="s">
        <v>92</v>
      </c>
      <c r="D2" s="6" t="s">
        <v>93</v>
      </c>
      <c r="E2" s="6" t="s">
        <v>94</v>
      </c>
      <c r="F2" s="7"/>
    </row>
    <row r="3" spans="1:8">
      <c r="A3" s="5">
        <v>1</v>
      </c>
      <c r="B3" s="8">
        <v>0.03</v>
      </c>
      <c r="D3" s="95" t="s">
        <v>95</v>
      </c>
      <c r="E3" s="95"/>
      <c r="F3" s="95"/>
    </row>
    <row r="4" spans="1:8">
      <c r="A4" s="5">
        <v>10</v>
      </c>
      <c r="B4" s="8">
        <v>0.05</v>
      </c>
      <c r="D4" s="9" t="s">
        <v>96</v>
      </c>
      <c r="E4" s="9" t="s">
        <v>97</v>
      </c>
      <c r="F4" s="9" t="s">
        <v>98</v>
      </c>
    </row>
    <row r="5" spans="1:8">
      <c r="A5" s="5">
        <v>20</v>
      </c>
      <c r="B5" s="8">
        <v>7.0000000000000007E-2</v>
      </c>
      <c r="D5" s="10" t="str">
        <f t="array" ref="D5">INDEX($A$10:$H$18,MATCH(MAX(($D$10:$D$18=D4)*$E$10:$E$18),($D$10:$D$18=D4)*$E$10:$E$18,0),1)</f>
        <v>이승연</v>
      </c>
      <c r="E5" s="10" t="str">
        <f t="array" ref="E5">INDEX($A$10:$H$18,MATCH(MAX(($D$10:$D$18=E4)*$E$10:$E$18),($D$10:$D$18=E4)*$E$10:$E$18,0),1)</f>
        <v>김경수</v>
      </c>
      <c r="F5" s="10" t="str">
        <f t="array" ref="F5">INDEX($A$10:$H$18,MATCH(MAX(($D$10:$D$18=F4)*$E$10:$E$18),($D$10:$D$18=F4)*$E$10:$E$18,0),1)</f>
        <v>지순녀</v>
      </c>
    </row>
    <row r="6" spans="1:8">
      <c r="A6" s="5">
        <v>30</v>
      </c>
      <c r="B6" s="8">
        <v>0.1</v>
      </c>
    </row>
    <row r="7" spans="1:8">
      <c r="G7" s="11"/>
    </row>
    <row r="8" spans="1:8">
      <c r="A8" s="2" t="s">
        <v>99</v>
      </c>
      <c r="B8" s="1" t="s">
        <v>100</v>
      </c>
      <c r="G8" s="12"/>
    </row>
    <row r="9" spans="1:8">
      <c r="A9" s="10" t="s">
        <v>1</v>
      </c>
      <c r="B9" s="10" t="s">
        <v>101</v>
      </c>
      <c r="C9" s="10" t="s">
        <v>102</v>
      </c>
      <c r="D9" s="10" t="s">
        <v>2</v>
      </c>
      <c r="E9" s="10" t="s">
        <v>91</v>
      </c>
      <c r="F9" s="10" t="s">
        <v>3</v>
      </c>
      <c r="G9" s="9" t="s">
        <v>103</v>
      </c>
      <c r="H9" s="9" t="s">
        <v>104</v>
      </c>
    </row>
    <row r="10" spans="1:8">
      <c r="A10" s="10" t="s">
        <v>105</v>
      </c>
      <c r="B10" s="10" t="s">
        <v>106</v>
      </c>
      <c r="C10" s="10" t="s">
        <v>107</v>
      </c>
      <c r="D10" s="10" t="s">
        <v>108</v>
      </c>
      <c r="E10" s="5">
        <v>6</v>
      </c>
      <c r="F10" s="13">
        <v>1200000</v>
      </c>
      <c r="G10" s="13">
        <f>F10+F10*(VLOOKUP(E10,$A$3:$B$6,2)+IF(OR(B10="판매부",C10="1급"),1%))</f>
        <v>1248000</v>
      </c>
      <c r="H10" s="5" t="str">
        <f>bk비고(E10)</f>
        <v>급여동결</v>
      </c>
    </row>
    <row r="11" spans="1:8">
      <c r="A11" s="10" t="s">
        <v>109</v>
      </c>
      <c r="B11" s="10" t="s">
        <v>110</v>
      </c>
      <c r="C11" s="10" t="s">
        <v>111</v>
      </c>
      <c r="D11" s="10" t="s">
        <v>97</v>
      </c>
      <c r="E11" s="5">
        <v>10</v>
      </c>
      <c r="F11" s="13">
        <v>1350000</v>
      </c>
      <c r="G11" s="13">
        <f t="shared" ref="G11:G18" si="0">F11+F11*(VLOOKUP(E11,$A$3:$B$6,2)+IF(OR(B11="판매부",C11="1급"),1%))</f>
        <v>1417500</v>
      </c>
      <c r="H11" s="5" t="str">
        <f t="shared" ref="H11:H18" si="1">bk비고(E11)</f>
        <v>급여인상</v>
      </c>
    </row>
    <row r="12" spans="1:8">
      <c r="A12" s="10" t="s">
        <v>112</v>
      </c>
      <c r="B12" s="10" t="s">
        <v>113</v>
      </c>
      <c r="C12" s="10" t="s">
        <v>114</v>
      </c>
      <c r="D12" s="10" t="s">
        <v>4</v>
      </c>
      <c r="E12" s="5">
        <v>30</v>
      </c>
      <c r="F12" s="13">
        <v>1450000</v>
      </c>
      <c r="G12" s="13">
        <f t="shared" si="0"/>
        <v>1609500</v>
      </c>
      <c r="H12" s="5" t="str">
        <f t="shared" si="1"/>
        <v>승진(급여인상)</v>
      </c>
    </row>
    <row r="13" spans="1:8">
      <c r="A13" s="10" t="s">
        <v>115</v>
      </c>
      <c r="B13" s="10" t="s">
        <v>106</v>
      </c>
      <c r="C13" s="10" t="s">
        <v>111</v>
      </c>
      <c r="D13" s="10" t="s">
        <v>116</v>
      </c>
      <c r="E13" s="5">
        <v>25</v>
      </c>
      <c r="F13" s="13">
        <v>1350000</v>
      </c>
      <c r="G13" s="13">
        <f t="shared" si="0"/>
        <v>1458000</v>
      </c>
      <c r="H13" s="5" t="str">
        <f t="shared" si="1"/>
        <v>승진(급여인상)</v>
      </c>
    </row>
    <row r="14" spans="1:8">
      <c r="A14" s="10" t="s">
        <v>117</v>
      </c>
      <c r="B14" s="10" t="s">
        <v>118</v>
      </c>
      <c r="C14" s="10" t="s">
        <v>111</v>
      </c>
      <c r="D14" s="10" t="s">
        <v>116</v>
      </c>
      <c r="E14" s="5">
        <v>20</v>
      </c>
      <c r="F14" s="13">
        <v>1350000</v>
      </c>
      <c r="G14" s="13">
        <f t="shared" si="0"/>
        <v>1444500</v>
      </c>
      <c r="H14" s="5" t="str">
        <f t="shared" si="1"/>
        <v>급여인상</v>
      </c>
    </row>
    <row r="15" spans="1:8">
      <c r="A15" s="10" t="s">
        <v>119</v>
      </c>
      <c r="B15" s="10" t="s">
        <v>118</v>
      </c>
      <c r="C15" s="10" t="s">
        <v>107</v>
      </c>
      <c r="D15" s="10" t="s">
        <v>108</v>
      </c>
      <c r="E15" s="5">
        <v>18</v>
      </c>
      <c r="F15" s="13">
        <v>1200000</v>
      </c>
      <c r="G15" s="13">
        <f t="shared" si="0"/>
        <v>1260000</v>
      </c>
      <c r="H15" s="5" t="str">
        <f t="shared" si="1"/>
        <v>급여인상</v>
      </c>
    </row>
    <row r="16" spans="1:8">
      <c r="A16" s="10" t="s">
        <v>120</v>
      </c>
      <c r="B16" s="10" t="s">
        <v>110</v>
      </c>
      <c r="C16" s="10" t="s">
        <v>114</v>
      </c>
      <c r="D16" s="10" t="s">
        <v>4</v>
      </c>
      <c r="E16" s="5">
        <v>28</v>
      </c>
      <c r="F16" s="13">
        <v>1450000</v>
      </c>
      <c r="G16" s="13">
        <f t="shared" si="0"/>
        <v>1566000</v>
      </c>
      <c r="H16" s="5" t="str">
        <f t="shared" si="1"/>
        <v>승진(급여인상)</v>
      </c>
    </row>
    <row r="17" spans="1:9">
      <c r="A17" s="10" t="s">
        <v>121</v>
      </c>
      <c r="B17" s="10" t="s">
        <v>106</v>
      </c>
      <c r="C17" s="10" t="s">
        <v>114</v>
      </c>
      <c r="D17" s="10" t="s">
        <v>4</v>
      </c>
      <c r="E17" s="5">
        <v>24</v>
      </c>
      <c r="F17" s="13">
        <v>1450000</v>
      </c>
      <c r="G17" s="13">
        <f t="shared" si="0"/>
        <v>1566000</v>
      </c>
      <c r="H17" s="5" t="str">
        <f t="shared" si="1"/>
        <v>급여인상</v>
      </c>
    </row>
    <row r="18" spans="1:9">
      <c r="A18" s="10" t="s">
        <v>122</v>
      </c>
      <c r="B18" s="10" t="s">
        <v>113</v>
      </c>
      <c r="C18" s="10" t="s">
        <v>107</v>
      </c>
      <c r="D18" s="10" t="s">
        <v>108</v>
      </c>
      <c r="E18" s="5">
        <v>15</v>
      </c>
      <c r="F18" s="13">
        <v>1200000</v>
      </c>
      <c r="G18" s="13">
        <f t="shared" si="0"/>
        <v>1272000</v>
      </c>
      <c r="H18" s="5" t="str">
        <f t="shared" si="1"/>
        <v>급여인상</v>
      </c>
    </row>
    <row r="19" spans="1:9">
      <c r="A19" s="14"/>
      <c r="B19" s="7"/>
      <c r="C19" s="7"/>
      <c r="D19" s="7"/>
      <c r="E19" s="7"/>
      <c r="F19" s="7"/>
      <c r="G19" s="7"/>
      <c r="H19" s="7"/>
      <c r="I19" s="14"/>
    </row>
    <row r="20" spans="1:9">
      <c r="A20" s="15" t="s">
        <v>123</v>
      </c>
      <c r="B20" s="16" t="s">
        <v>124</v>
      </c>
      <c r="C20" s="16"/>
      <c r="D20" s="16"/>
      <c r="E20" s="16"/>
      <c r="F20" s="16"/>
      <c r="G20" s="16" t="s">
        <v>125</v>
      </c>
      <c r="H20" s="17"/>
    </row>
    <row r="21" spans="1:9">
      <c r="A21" s="18" t="s">
        <v>126</v>
      </c>
      <c r="B21" s="18" t="s">
        <v>127</v>
      </c>
      <c r="C21" s="19" t="s">
        <v>128</v>
      </c>
      <c r="D21" s="19" t="s">
        <v>129</v>
      </c>
      <c r="E21" s="19" t="s">
        <v>130</v>
      </c>
      <c r="F21" s="19" t="s">
        <v>131</v>
      </c>
      <c r="G21" s="9" t="s">
        <v>132</v>
      </c>
      <c r="H21" s="9" t="s">
        <v>133</v>
      </c>
    </row>
    <row r="22" spans="1:9">
      <c r="A22" s="5" t="s">
        <v>105</v>
      </c>
      <c r="B22" s="19">
        <v>1</v>
      </c>
      <c r="C22" s="19">
        <v>1</v>
      </c>
      <c r="D22" s="19"/>
      <c r="E22" s="19">
        <v>1</v>
      </c>
      <c r="F22" s="19">
        <v>1</v>
      </c>
      <c r="G22" s="19">
        <f>COUNTBLANK(B22:F22)</f>
        <v>1</v>
      </c>
      <c r="H22" s="10" t="str">
        <f>IF(G22=0,"만점",HLOOKUP(SUMPRODUCT(B22:F22,$B$28:$F$28),$B$31:$E$32,2) &amp; "등급")</f>
        <v>1등급</v>
      </c>
    </row>
    <row r="23" spans="1:9">
      <c r="A23" s="5" t="s">
        <v>112</v>
      </c>
      <c r="B23" s="19"/>
      <c r="C23" s="19">
        <v>1</v>
      </c>
      <c r="D23" s="19">
        <v>1</v>
      </c>
      <c r="E23" s="19">
        <v>1</v>
      </c>
      <c r="F23" s="10"/>
      <c r="G23" s="19">
        <f t="shared" ref="G23:G26" si="2">COUNTBLANK(B23:F23)</f>
        <v>2</v>
      </c>
      <c r="H23" s="10" t="str">
        <f t="shared" ref="H23:H26" si="3">IF(G23=0,"만점",HLOOKUP(SUMPRODUCT(B23:F23,$B$28:$F$28),$B$31:$E$32,2) &amp; "등급")</f>
        <v>3등급</v>
      </c>
    </row>
    <row r="24" spans="1:9">
      <c r="A24" s="5" t="s">
        <v>115</v>
      </c>
      <c r="B24" s="19">
        <v>1</v>
      </c>
      <c r="C24" s="19">
        <v>1</v>
      </c>
      <c r="D24" s="19">
        <v>1</v>
      </c>
      <c r="E24" s="19">
        <v>1</v>
      </c>
      <c r="F24" s="19">
        <v>1</v>
      </c>
      <c r="G24" s="19">
        <f t="shared" si="2"/>
        <v>0</v>
      </c>
      <c r="H24" s="10" t="str">
        <f t="shared" si="3"/>
        <v>만점</v>
      </c>
    </row>
    <row r="25" spans="1:9">
      <c r="A25" s="5" t="s">
        <v>121</v>
      </c>
      <c r="B25" s="19">
        <v>1</v>
      </c>
      <c r="C25" s="19">
        <v>1</v>
      </c>
      <c r="D25" s="19">
        <v>1</v>
      </c>
      <c r="E25" s="19">
        <v>1</v>
      </c>
      <c r="F25" s="19"/>
      <c r="G25" s="19">
        <f t="shared" si="2"/>
        <v>1</v>
      </c>
      <c r="H25" s="10" t="str">
        <f t="shared" si="3"/>
        <v>2등급</v>
      </c>
    </row>
    <row r="26" spans="1:9">
      <c r="A26" s="5" t="s">
        <v>122</v>
      </c>
      <c r="B26" s="19">
        <v>1</v>
      </c>
      <c r="C26" s="19"/>
      <c r="D26" s="19">
        <v>1</v>
      </c>
      <c r="E26" s="19"/>
      <c r="F26" s="19"/>
      <c r="G26" s="19">
        <f t="shared" si="2"/>
        <v>3</v>
      </c>
      <c r="H26" s="10" t="str">
        <f t="shared" si="3"/>
        <v>4등급</v>
      </c>
    </row>
    <row r="27" spans="1:9">
      <c r="A27" s="20"/>
      <c r="B27" s="21"/>
      <c r="C27" s="21"/>
      <c r="D27" s="21"/>
      <c r="E27" s="21"/>
      <c r="F27" s="21"/>
      <c r="G27" s="22"/>
      <c r="H27" s="23"/>
    </row>
    <row r="28" spans="1:9">
      <c r="A28" s="5" t="s">
        <v>134</v>
      </c>
      <c r="B28" s="10">
        <v>15</v>
      </c>
      <c r="C28" s="19">
        <v>15</v>
      </c>
      <c r="D28" s="19">
        <v>20</v>
      </c>
      <c r="E28" s="19">
        <v>20</v>
      </c>
      <c r="F28" s="19">
        <v>30</v>
      </c>
    </row>
    <row r="29" spans="1:9">
      <c r="A29" s="23"/>
      <c r="B29" s="24"/>
      <c r="C29" s="22"/>
      <c r="D29" s="22"/>
      <c r="E29" s="22"/>
      <c r="F29" s="22"/>
    </row>
    <row r="30" spans="1:9">
      <c r="A30" s="25" t="s">
        <v>135</v>
      </c>
    </row>
    <row r="31" spans="1:9">
      <c r="A31" s="10" t="s">
        <v>136</v>
      </c>
      <c r="B31" s="10">
        <v>0</v>
      </c>
      <c r="C31" s="10">
        <v>40</v>
      </c>
      <c r="D31" s="10">
        <v>60</v>
      </c>
      <c r="E31" s="10">
        <v>80</v>
      </c>
    </row>
    <row r="32" spans="1:9">
      <c r="A32" s="10" t="s">
        <v>133</v>
      </c>
      <c r="B32" s="10">
        <v>4</v>
      </c>
      <c r="C32" s="10">
        <v>3</v>
      </c>
      <c r="D32" s="10">
        <v>2</v>
      </c>
      <c r="E32" s="10">
        <v>1</v>
      </c>
    </row>
    <row r="34" spans="1:8">
      <c r="A34" s="25" t="s">
        <v>137</v>
      </c>
      <c r="B34" s="25"/>
      <c r="C34" s="25"/>
      <c r="D34" s="25"/>
      <c r="E34" s="25"/>
    </row>
    <row r="35" spans="1:8">
      <c r="A35" s="26" t="s">
        <v>138</v>
      </c>
      <c r="B35" s="26">
        <v>0</v>
      </c>
      <c r="C35" s="26">
        <v>5000</v>
      </c>
      <c r="D35" s="26">
        <v>15000</v>
      </c>
      <c r="E35" s="26">
        <v>50000</v>
      </c>
    </row>
    <row r="36" spans="1:8">
      <c r="A36" s="26" t="s">
        <v>139</v>
      </c>
      <c r="B36" s="26">
        <v>3.0000000000000001E-3</v>
      </c>
      <c r="C36" s="26">
        <v>5.0000000000000001E-3</v>
      </c>
      <c r="D36" s="26">
        <v>7.0000000000000001E-3</v>
      </c>
      <c r="E36" s="26">
        <v>8.9999999999999993E-3</v>
      </c>
    </row>
    <row r="38" spans="1:8" s="27" customFormat="1">
      <c r="A38" s="25" t="s">
        <v>140</v>
      </c>
      <c r="H38" s="28"/>
    </row>
    <row r="39" spans="1:8" s="27" customFormat="1">
      <c r="A39" s="10" t="s">
        <v>141</v>
      </c>
      <c r="B39" s="10" t="s">
        <v>142</v>
      </c>
      <c r="C39" s="10" t="s">
        <v>143</v>
      </c>
      <c r="D39" s="10" t="s">
        <v>144</v>
      </c>
      <c r="E39" s="10" t="s">
        <v>145</v>
      </c>
      <c r="F39" s="10" t="s">
        <v>146</v>
      </c>
      <c r="G39" s="9" t="s">
        <v>147</v>
      </c>
      <c r="H39" s="24"/>
    </row>
    <row r="40" spans="1:8" s="27" customFormat="1">
      <c r="A40" s="10" t="s">
        <v>148</v>
      </c>
      <c r="B40" s="10" t="s">
        <v>149</v>
      </c>
      <c r="C40" s="29">
        <v>4829</v>
      </c>
      <c r="D40" s="29">
        <v>3420000</v>
      </c>
      <c r="E40" s="29">
        <v>3100000</v>
      </c>
      <c r="F40" s="10">
        <v>8</v>
      </c>
      <c r="G40" s="29">
        <f>ROUNDUP(IF(D40&lt;2500000,D40*HLOOKUP(C40,$B$35:$E$36,2),D40*HLOOKUP(C40,$B$35:$E$36,2)+D40*0.1%),-2)</f>
        <v>13700</v>
      </c>
      <c r="H40" s="24"/>
    </row>
    <row r="41" spans="1:8" s="27" customFormat="1">
      <c r="A41" s="10" t="s">
        <v>148</v>
      </c>
      <c r="B41" s="10" t="s">
        <v>150</v>
      </c>
      <c r="C41" s="29">
        <v>14195</v>
      </c>
      <c r="D41" s="29">
        <v>3090000</v>
      </c>
      <c r="E41" s="29">
        <v>3000000</v>
      </c>
      <c r="F41" s="10">
        <v>5.9</v>
      </c>
      <c r="G41" s="29">
        <f t="shared" ref="G41:G47" si="4">ROUNDUP(IF(D41&lt;2500000,D41*HLOOKUP(C41,$B$35:$E$36,2),D41*HLOOKUP(C41,$B$35:$E$36,2)+D41*0.1%),-2)</f>
        <v>18600</v>
      </c>
      <c r="H41" s="24"/>
    </row>
    <row r="42" spans="1:8" s="27" customFormat="1">
      <c r="A42" s="10" t="s">
        <v>151</v>
      </c>
      <c r="B42" s="10" t="s">
        <v>152</v>
      </c>
      <c r="C42" s="29">
        <v>8130</v>
      </c>
      <c r="D42" s="29">
        <v>2560000</v>
      </c>
      <c r="E42" s="29">
        <v>2400000</v>
      </c>
      <c r="F42" s="10">
        <v>6.5</v>
      </c>
      <c r="G42" s="29">
        <f t="shared" si="4"/>
        <v>15400</v>
      </c>
      <c r="H42" s="24"/>
    </row>
    <row r="43" spans="1:8" s="27" customFormat="1">
      <c r="A43" s="10" t="s">
        <v>148</v>
      </c>
      <c r="B43" s="10" t="s">
        <v>153</v>
      </c>
      <c r="C43" s="29">
        <v>5797</v>
      </c>
      <c r="D43" s="29">
        <v>2540000</v>
      </c>
      <c r="E43" s="29">
        <v>2450000</v>
      </c>
      <c r="F43" s="10">
        <v>6</v>
      </c>
      <c r="G43" s="29">
        <f t="shared" si="4"/>
        <v>15300</v>
      </c>
      <c r="H43" s="24"/>
    </row>
    <row r="44" spans="1:8" s="27" customFormat="1">
      <c r="A44" s="10" t="s">
        <v>148</v>
      </c>
      <c r="B44" s="10" t="s">
        <v>154</v>
      </c>
      <c r="C44" s="29">
        <v>3168</v>
      </c>
      <c r="D44" s="29">
        <v>2290000</v>
      </c>
      <c r="E44" s="29">
        <v>2450000</v>
      </c>
      <c r="F44" s="10">
        <v>4.9000000000000004</v>
      </c>
      <c r="G44" s="29">
        <f t="shared" si="4"/>
        <v>6900</v>
      </c>
      <c r="H44" s="24"/>
    </row>
    <row r="45" spans="1:8" s="27" customFormat="1">
      <c r="A45" s="10" t="s">
        <v>151</v>
      </c>
      <c r="B45" s="10" t="s">
        <v>155</v>
      </c>
      <c r="C45" s="29">
        <v>114054</v>
      </c>
      <c r="D45" s="29">
        <v>2200000</v>
      </c>
      <c r="E45" s="29">
        <v>2350000</v>
      </c>
      <c r="F45" s="10">
        <v>5.4</v>
      </c>
      <c r="G45" s="29">
        <f t="shared" si="4"/>
        <v>19800</v>
      </c>
      <c r="H45" s="24"/>
    </row>
    <row r="46" spans="1:8" s="27" customFormat="1">
      <c r="A46" s="10" t="s">
        <v>148</v>
      </c>
      <c r="B46" s="10" t="s">
        <v>156</v>
      </c>
      <c r="C46" s="29">
        <v>76947</v>
      </c>
      <c r="D46" s="29">
        <v>1990000</v>
      </c>
      <c r="E46" s="29">
        <v>2100000</v>
      </c>
      <c r="F46" s="10">
        <v>6.7</v>
      </c>
      <c r="G46" s="29">
        <f t="shared" si="4"/>
        <v>18000</v>
      </c>
      <c r="H46" s="24"/>
    </row>
    <row r="47" spans="1:8" s="27" customFormat="1">
      <c r="A47" s="10" t="s">
        <v>151</v>
      </c>
      <c r="B47" s="10" t="s">
        <v>157</v>
      </c>
      <c r="C47" s="29">
        <v>15887</v>
      </c>
      <c r="D47" s="29">
        <v>1640000</v>
      </c>
      <c r="E47" s="29">
        <v>1850000</v>
      </c>
      <c r="F47" s="10">
        <v>4.0999999999999996</v>
      </c>
      <c r="G47" s="29">
        <f t="shared" si="4"/>
        <v>11500</v>
      </c>
      <c r="H47" s="24"/>
    </row>
    <row r="48" spans="1:8">
      <c r="H48" s="23"/>
    </row>
  </sheetData>
  <mergeCells count="1">
    <mergeCell ref="D3:F3"/>
  </mergeCells>
  <phoneticPr fontId="3" type="noConversion"/>
  <pageMargins left="0.75" right="0.75" top="1" bottom="1" header="0.5" footer="0.5"/>
  <pageSetup paperSize="9" orientation="portrait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5"/>
  <sheetViews>
    <sheetView workbookViewId="0"/>
  </sheetViews>
  <sheetFormatPr defaultRowHeight="16.5"/>
  <cols>
    <col min="1" max="3" width="10.25" customWidth="1"/>
    <col min="6" max="6" width="10.25" customWidth="1"/>
  </cols>
  <sheetData>
    <row r="1" spans="1:7">
      <c r="A1" t="s">
        <v>158</v>
      </c>
      <c r="B1" t="s">
        <v>229</v>
      </c>
      <c r="C1" t="s">
        <v>159</v>
      </c>
      <c r="D1" t="s">
        <v>230</v>
      </c>
      <c r="E1" t="s">
        <v>231</v>
      </c>
      <c r="F1" t="s">
        <v>232</v>
      </c>
      <c r="G1" t="s">
        <v>233</v>
      </c>
    </row>
    <row r="2" spans="1:7">
      <c r="A2" t="s">
        <v>273</v>
      </c>
      <c r="B2" t="s">
        <v>274</v>
      </c>
      <c r="C2" s="61">
        <v>42448</v>
      </c>
      <c r="D2">
        <v>25300</v>
      </c>
      <c r="E2" t="s">
        <v>244</v>
      </c>
      <c r="F2">
        <v>2002</v>
      </c>
      <c r="G2">
        <v>500</v>
      </c>
    </row>
    <row r="3" spans="1:7">
      <c r="A3" t="s">
        <v>271</v>
      </c>
      <c r="B3" t="s">
        <v>272</v>
      </c>
      <c r="C3" s="61">
        <v>42432</v>
      </c>
      <c r="D3">
        <v>37000</v>
      </c>
      <c r="E3" t="s">
        <v>258</v>
      </c>
      <c r="F3">
        <v>1977</v>
      </c>
      <c r="G3">
        <v>3000</v>
      </c>
    </row>
    <row r="4" spans="1:7">
      <c r="A4" t="s">
        <v>269</v>
      </c>
      <c r="B4" t="s">
        <v>270</v>
      </c>
      <c r="C4" s="61">
        <v>42415</v>
      </c>
      <c r="D4">
        <v>25000</v>
      </c>
      <c r="E4" t="s">
        <v>239</v>
      </c>
      <c r="F4">
        <v>2002</v>
      </c>
      <c r="G4">
        <v>1500</v>
      </c>
    </row>
    <row r="5" spans="1:7">
      <c r="A5" t="s">
        <v>267</v>
      </c>
      <c r="B5" t="s">
        <v>268</v>
      </c>
      <c r="C5" s="61">
        <v>42390</v>
      </c>
      <c r="D5">
        <v>29000</v>
      </c>
      <c r="E5" t="s">
        <v>253</v>
      </c>
      <c r="F5">
        <v>2001</v>
      </c>
      <c r="G5">
        <v>1000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L66"/>
  <sheetViews>
    <sheetView workbookViewId="0"/>
  </sheetViews>
  <sheetFormatPr defaultColWidth="12.875" defaultRowHeight="16.5"/>
  <cols>
    <col min="1" max="1" width="9" style="1" bestFit="1" customWidth="1"/>
    <col min="2" max="2" width="21.375" style="1" bestFit="1" customWidth="1"/>
    <col min="3" max="3" width="11.125" style="1" bestFit="1" customWidth="1"/>
    <col min="4" max="4" width="8.25" style="1" bestFit="1" customWidth="1"/>
    <col min="5" max="5" width="11" style="1" bestFit="1" customWidth="1"/>
    <col min="6" max="6" width="9" style="1" bestFit="1" customWidth="1"/>
    <col min="7" max="7" width="9.25" style="1" customWidth="1"/>
    <col min="8" max="8" width="12.875" style="1"/>
    <col min="9" max="10" width="11.25" style="1" customWidth="1"/>
    <col min="11" max="11" width="15.25" style="1" customWidth="1"/>
    <col min="12" max="12" width="17.375" style="1" bestFit="1" customWidth="1"/>
    <col min="13" max="16384" width="12.875" style="1"/>
  </cols>
  <sheetData>
    <row r="2" spans="1:12">
      <c r="A2" s="41" t="s">
        <v>158</v>
      </c>
      <c r="B2" s="41" t="s">
        <v>229</v>
      </c>
      <c r="C2" s="41" t="s">
        <v>159</v>
      </c>
      <c r="D2" s="41" t="s">
        <v>230</v>
      </c>
      <c r="E2" s="41" t="s">
        <v>231</v>
      </c>
      <c r="F2" s="41" t="s">
        <v>232</v>
      </c>
      <c r="G2" s="41" t="s">
        <v>233</v>
      </c>
    </row>
    <row r="3" spans="1:12">
      <c r="A3" s="42" t="s">
        <v>234</v>
      </c>
      <c r="B3" s="42" t="s">
        <v>235</v>
      </c>
      <c r="C3" s="43">
        <v>42150</v>
      </c>
      <c r="D3" s="44">
        <v>25000</v>
      </c>
      <c r="E3" s="42" t="s">
        <v>236</v>
      </c>
      <c r="F3" s="45">
        <v>1955</v>
      </c>
      <c r="G3" s="44">
        <v>2000</v>
      </c>
      <c r="I3" s="59" t="s">
        <v>158</v>
      </c>
      <c r="J3" t="s">
        <v>318</v>
      </c>
    </row>
    <row r="4" spans="1:12">
      <c r="A4" s="42" t="s">
        <v>237</v>
      </c>
      <c r="B4" s="42" t="s">
        <v>238</v>
      </c>
      <c r="C4" s="43">
        <v>42153</v>
      </c>
      <c r="D4" s="44">
        <v>25300</v>
      </c>
      <c r="E4" s="42" t="s">
        <v>239</v>
      </c>
      <c r="F4" s="45">
        <v>2001</v>
      </c>
      <c r="G4" s="44">
        <v>1000</v>
      </c>
    </row>
    <row r="5" spans="1:12">
      <c r="A5" s="42" t="s">
        <v>240</v>
      </c>
      <c r="B5" s="42" t="s">
        <v>241</v>
      </c>
      <c r="C5" s="43">
        <v>42156</v>
      </c>
      <c r="D5" s="44">
        <v>29500</v>
      </c>
      <c r="E5" s="42" t="s">
        <v>239</v>
      </c>
      <c r="F5" s="45">
        <v>1963</v>
      </c>
      <c r="G5" s="44">
        <v>1000</v>
      </c>
      <c r="I5" s="59" t="s">
        <v>321</v>
      </c>
      <c r="J5" s="59" t="s">
        <v>159</v>
      </c>
      <c r="K5" t="s">
        <v>319</v>
      </c>
      <c r="L5" t="s">
        <v>320</v>
      </c>
    </row>
    <row r="6" spans="1:12">
      <c r="A6" s="42" t="s">
        <v>242</v>
      </c>
      <c r="B6" s="42" t="s">
        <v>243</v>
      </c>
      <c r="C6" s="43">
        <v>42159</v>
      </c>
      <c r="D6" s="44">
        <v>23000</v>
      </c>
      <c r="E6" s="42" t="s">
        <v>244</v>
      </c>
      <c r="F6" s="45">
        <v>1973</v>
      </c>
      <c r="G6" s="44">
        <v>1000</v>
      </c>
      <c r="I6" t="s">
        <v>322</v>
      </c>
      <c r="J6"/>
      <c r="K6" s="62"/>
      <c r="L6" s="60"/>
    </row>
    <row r="7" spans="1:12">
      <c r="A7" s="42" t="s">
        <v>245</v>
      </c>
      <c r="B7" s="42" t="s">
        <v>246</v>
      </c>
      <c r="C7" s="43">
        <v>42162</v>
      </c>
      <c r="D7" s="44">
        <v>25000</v>
      </c>
      <c r="E7" s="42" t="s">
        <v>239</v>
      </c>
      <c r="F7" s="45">
        <v>2002</v>
      </c>
      <c r="G7" s="44">
        <v>1500</v>
      </c>
      <c r="I7"/>
      <c r="J7" s="61" t="s">
        <v>323</v>
      </c>
      <c r="K7" s="62">
        <v>500</v>
      </c>
      <c r="L7" s="60">
        <v>1955</v>
      </c>
    </row>
    <row r="8" spans="1:12">
      <c r="A8" s="42" t="s">
        <v>247</v>
      </c>
      <c r="B8" s="42" t="s">
        <v>248</v>
      </c>
      <c r="C8" s="43">
        <v>42165</v>
      </c>
      <c r="D8" s="44">
        <v>25000</v>
      </c>
      <c r="E8" s="42" t="s">
        <v>236</v>
      </c>
      <c r="F8" s="45">
        <v>1995</v>
      </c>
      <c r="G8" s="44">
        <v>500</v>
      </c>
      <c r="I8"/>
      <c r="J8" s="61" t="s">
        <v>324</v>
      </c>
      <c r="K8" s="62">
        <v>500</v>
      </c>
      <c r="L8" s="60">
        <v>1981</v>
      </c>
    </row>
    <row r="9" spans="1:12">
      <c r="A9" s="42" t="s">
        <v>249</v>
      </c>
      <c r="B9" s="42" t="s">
        <v>250</v>
      </c>
      <c r="C9" s="43">
        <v>42190</v>
      </c>
      <c r="D9" s="44">
        <v>25300</v>
      </c>
      <c r="E9" s="42" t="s">
        <v>236</v>
      </c>
      <c r="F9" s="45">
        <v>2002</v>
      </c>
      <c r="G9" s="44">
        <v>1500</v>
      </c>
      <c r="I9"/>
      <c r="J9" s="61" t="s">
        <v>325</v>
      </c>
      <c r="K9" s="62">
        <v>500</v>
      </c>
      <c r="L9" s="60">
        <v>1953</v>
      </c>
    </row>
    <row r="10" spans="1:12">
      <c r="A10" s="42" t="s">
        <v>251</v>
      </c>
      <c r="B10" s="42" t="s">
        <v>252</v>
      </c>
      <c r="C10" s="43">
        <v>42215</v>
      </c>
      <c r="D10" s="44">
        <v>16500</v>
      </c>
      <c r="E10" s="42" t="s">
        <v>253</v>
      </c>
      <c r="F10" s="45">
        <v>1981</v>
      </c>
      <c r="G10" s="44">
        <v>500</v>
      </c>
      <c r="I10" t="s">
        <v>328</v>
      </c>
      <c r="J10"/>
      <c r="K10" s="62">
        <v>500</v>
      </c>
      <c r="L10" s="60">
        <v>1953</v>
      </c>
    </row>
    <row r="11" spans="1:12">
      <c r="A11" s="42" t="s">
        <v>254</v>
      </c>
      <c r="B11" s="42" t="s">
        <v>255</v>
      </c>
      <c r="C11" s="43">
        <v>42240</v>
      </c>
      <c r="D11" s="44">
        <v>29000</v>
      </c>
      <c r="E11" s="42" t="s">
        <v>239</v>
      </c>
      <c r="F11" s="45">
        <v>1998</v>
      </c>
      <c r="G11" s="44">
        <v>500</v>
      </c>
      <c r="I11" t="s">
        <v>326</v>
      </c>
      <c r="J11"/>
      <c r="K11" s="62"/>
      <c r="L11" s="60"/>
    </row>
    <row r="12" spans="1:12">
      <c r="A12" s="42" t="s">
        <v>256</v>
      </c>
      <c r="B12" s="42" t="s">
        <v>257</v>
      </c>
      <c r="C12" s="43">
        <v>42265</v>
      </c>
      <c r="D12" s="44">
        <v>22000</v>
      </c>
      <c r="E12" s="42" t="s">
        <v>258</v>
      </c>
      <c r="F12" s="45">
        <v>1991</v>
      </c>
      <c r="G12" s="44">
        <v>500</v>
      </c>
      <c r="I12"/>
      <c r="J12" s="61" t="s">
        <v>327</v>
      </c>
      <c r="K12" s="62">
        <v>500</v>
      </c>
      <c r="L12" s="60">
        <v>1977</v>
      </c>
    </row>
    <row r="13" spans="1:12">
      <c r="A13" s="42" t="s">
        <v>259</v>
      </c>
      <c r="B13" s="42" t="s">
        <v>260</v>
      </c>
      <c r="C13" s="43">
        <v>42290</v>
      </c>
      <c r="D13" s="44">
        <v>25000</v>
      </c>
      <c r="E13" s="42" t="s">
        <v>258</v>
      </c>
      <c r="F13" s="45">
        <v>1989</v>
      </c>
      <c r="G13" s="44">
        <v>500</v>
      </c>
      <c r="I13"/>
      <c r="J13" s="61" t="s">
        <v>323</v>
      </c>
      <c r="K13" s="62">
        <v>1000</v>
      </c>
      <c r="L13" s="60">
        <v>1979</v>
      </c>
    </row>
    <row r="14" spans="1:12">
      <c r="A14" s="42" t="s">
        <v>261</v>
      </c>
      <c r="B14" s="42" t="s">
        <v>262</v>
      </c>
      <c r="C14" s="43">
        <v>42315</v>
      </c>
      <c r="D14" s="44">
        <v>25000</v>
      </c>
      <c r="E14" s="42" t="s">
        <v>244</v>
      </c>
      <c r="F14" s="45">
        <v>1991</v>
      </c>
      <c r="G14" s="44">
        <v>500</v>
      </c>
      <c r="I14"/>
      <c r="J14" s="61" t="s">
        <v>324</v>
      </c>
      <c r="K14" s="62">
        <v>1000</v>
      </c>
      <c r="L14" s="60">
        <v>1979</v>
      </c>
    </row>
    <row r="15" spans="1:12">
      <c r="A15" s="42" t="s">
        <v>263</v>
      </c>
      <c r="B15" s="42" t="s">
        <v>264</v>
      </c>
      <c r="C15" s="43">
        <v>42340</v>
      </c>
      <c r="D15" s="44">
        <v>29000</v>
      </c>
      <c r="E15" s="42" t="s">
        <v>244</v>
      </c>
      <c r="F15" s="45">
        <v>1953</v>
      </c>
      <c r="G15" s="44">
        <v>2000</v>
      </c>
      <c r="I15" t="s">
        <v>329</v>
      </c>
      <c r="J15"/>
      <c r="K15" s="62">
        <v>500</v>
      </c>
      <c r="L15" s="60">
        <v>1977</v>
      </c>
    </row>
    <row r="16" spans="1:12">
      <c r="A16" s="42" t="s">
        <v>265</v>
      </c>
      <c r="B16" s="42" t="s">
        <v>266</v>
      </c>
      <c r="C16" s="43">
        <v>42365</v>
      </c>
      <c r="D16" s="44">
        <v>25000</v>
      </c>
      <c r="E16" s="42" t="s">
        <v>253</v>
      </c>
      <c r="F16" s="45">
        <v>1993</v>
      </c>
      <c r="G16" s="44">
        <v>500</v>
      </c>
      <c r="I16" t="s">
        <v>317</v>
      </c>
      <c r="J16"/>
      <c r="K16" s="62">
        <v>500</v>
      </c>
      <c r="L16" s="60">
        <v>1953</v>
      </c>
    </row>
    <row r="17" spans="1:11">
      <c r="A17" s="42" t="s">
        <v>267</v>
      </c>
      <c r="B17" s="42" t="s">
        <v>268</v>
      </c>
      <c r="C17" s="43">
        <v>42390</v>
      </c>
      <c r="D17" s="44">
        <v>29000</v>
      </c>
      <c r="E17" s="42" t="s">
        <v>253</v>
      </c>
      <c r="F17" s="45">
        <v>2001</v>
      </c>
      <c r="G17" s="44">
        <v>1000</v>
      </c>
      <c r="I17"/>
      <c r="J17"/>
      <c r="K17"/>
    </row>
    <row r="18" spans="1:11">
      <c r="A18" s="42" t="s">
        <v>269</v>
      </c>
      <c r="B18" s="42" t="s">
        <v>270</v>
      </c>
      <c r="C18" s="43">
        <v>42415</v>
      </c>
      <c r="D18" s="44">
        <v>25000</v>
      </c>
      <c r="E18" s="42" t="s">
        <v>239</v>
      </c>
      <c r="F18" s="45">
        <v>2002</v>
      </c>
      <c r="G18" s="44">
        <v>1500</v>
      </c>
      <c r="I18"/>
      <c r="J18"/>
      <c r="K18"/>
    </row>
    <row r="19" spans="1:11">
      <c r="A19" s="42" t="s">
        <v>271</v>
      </c>
      <c r="B19" s="42" t="s">
        <v>272</v>
      </c>
      <c r="C19" s="43">
        <v>42432</v>
      </c>
      <c r="D19" s="44">
        <v>37000</v>
      </c>
      <c r="E19" s="42" t="s">
        <v>258</v>
      </c>
      <c r="F19" s="45">
        <v>1977</v>
      </c>
      <c r="G19" s="44">
        <v>3000</v>
      </c>
      <c r="I19"/>
      <c r="J19"/>
      <c r="K19"/>
    </row>
    <row r="20" spans="1:11">
      <c r="A20" s="42" t="s">
        <v>273</v>
      </c>
      <c r="B20" s="42" t="s">
        <v>274</v>
      </c>
      <c r="C20" s="43">
        <v>42448</v>
      </c>
      <c r="D20" s="44">
        <v>25300</v>
      </c>
      <c r="E20" s="42" t="s">
        <v>244</v>
      </c>
      <c r="F20" s="45">
        <v>2002</v>
      </c>
      <c r="G20" s="44">
        <v>500</v>
      </c>
      <c r="I20"/>
      <c r="J20"/>
      <c r="K20"/>
    </row>
    <row r="21" spans="1:11">
      <c r="A21" s="42" t="s">
        <v>275</v>
      </c>
      <c r="B21" s="42" t="s">
        <v>276</v>
      </c>
      <c r="C21" s="43">
        <v>42464</v>
      </c>
      <c r="D21" s="44">
        <v>16500</v>
      </c>
      <c r="E21" s="42" t="s">
        <v>239</v>
      </c>
      <c r="F21" s="45">
        <v>2001</v>
      </c>
      <c r="G21" s="44">
        <v>1000</v>
      </c>
      <c r="I21"/>
      <c r="J21"/>
      <c r="K21"/>
    </row>
    <row r="22" spans="1:11">
      <c r="A22" s="42" t="s">
        <v>277</v>
      </c>
      <c r="B22" s="42" t="s">
        <v>278</v>
      </c>
      <c r="C22" s="43">
        <v>42480</v>
      </c>
      <c r="D22" s="44">
        <v>19800</v>
      </c>
      <c r="E22" s="42" t="s">
        <v>258</v>
      </c>
      <c r="F22" s="45">
        <v>1979</v>
      </c>
      <c r="G22" s="44">
        <v>1000</v>
      </c>
      <c r="I22"/>
      <c r="J22"/>
      <c r="K22"/>
    </row>
    <row r="23" spans="1:11">
      <c r="A23" s="42" t="s">
        <v>279</v>
      </c>
      <c r="B23" s="42" t="s">
        <v>280</v>
      </c>
      <c r="C23" s="43">
        <v>42496</v>
      </c>
      <c r="D23" s="44">
        <v>22000</v>
      </c>
      <c r="E23" s="42" t="s">
        <v>239</v>
      </c>
      <c r="F23" s="45">
        <v>2002</v>
      </c>
      <c r="G23" s="44">
        <v>1500</v>
      </c>
      <c r="I23"/>
      <c r="J23"/>
      <c r="K23"/>
    </row>
    <row r="24" spans="1:11">
      <c r="A24" s="42" t="s">
        <v>281</v>
      </c>
      <c r="B24" s="42" t="s">
        <v>282</v>
      </c>
      <c r="C24" s="43">
        <v>42512</v>
      </c>
      <c r="D24" s="44">
        <v>25300</v>
      </c>
      <c r="E24" s="42" t="s">
        <v>258</v>
      </c>
      <c r="F24" s="45">
        <v>2001</v>
      </c>
      <c r="G24" s="44">
        <v>1500</v>
      </c>
      <c r="I24"/>
      <c r="J24"/>
      <c r="K24"/>
    </row>
    <row r="25" spans="1:11">
      <c r="A25" s="42" t="s">
        <v>283</v>
      </c>
      <c r="B25" s="42" t="s">
        <v>284</v>
      </c>
      <c r="C25" s="43">
        <v>42528</v>
      </c>
      <c r="D25" s="44">
        <v>49000</v>
      </c>
      <c r="E25" s="42" t="s">
        <v>253</v>
      </c>
      <c r="F25" s="45">
        <v>2001</v>
      </c>
      <c r="G25" s="44">
        <v>3000</v>
      </c>
      <c r="I25"/>
      <c r="J25"/>
      <c r="K25"/>
    </row>
    <row r="26" spans="1:11">
      <c r="A26" s="42" t="s">
        <v>285</v>
      </c>
      <c r="B26" s="42" t="s">
        <v>286</v>
      </c>
      <c r="C26" s="43">
        <v>42544</v>
      </c>
      <c r="D26" s="44">
        <v>27500</v>
      </c>
      <c r="E26" s="42" t="s">
        <v>236</v>
      </c>
      <c r="F26" s="45">
        <v>2001</v>
      </c>
      <c r="G26" s="44">
        <v>1500</v>
      </c>
      <c r="I26"/>
      <c r="J26"/>
      <c r="K26"/>
    </row>
    <row r="27" spans="1:11">
      <c r="A27" s="42" t="s">
        <v>287</v>
      </c>
      <c r="B27" s="42" t="s">
        <v>288</v>
      </c>
      <c r="C27" s="43">
        <v>42560</v>
      </c>
      <c r="D27" s="44">
        <v>19980</v>
      </c>
      <c r="E27" s="42" t="s">
        <v>239</v>
      </c>
      <c r="F27" s="45">
        <v>1979</v>
      </c>
      <c r="G27" s="44">
        <v>1000</v>
      </c>
      <c r="I27"/>
      <c r="J27"/>
      <c r="K27"/>
    </row>
    <row r="28" spans="1:11">
      <c r="A28" s="42" t="s">
        <v>289</v>
      </c>
      <c r="B28" s="42" t="s">
        <v>290</v>
      </c>
      <c r="C28" s="43">
        <v>42576</v>
      </c>
      <c r="D28" s="44">
        <v>25000</v>
      </c>
      <c r="E28" s="42" t="s">
        <v>244</v>
      </c>
      <c r="F28" s="45">
        <v>1996</v>
      </c>
      <c r="G28" s="44">
        <v>1000</v>
      </c>
      <c r="I28"/>
      <c r="J28"/>
      <c r="K28"/>
    </row>
    <row r="29" spans="1:11">
      <c r="A29" s="42" t="s">
        <v>291</v>
      </c>
      <c r="B29" s="42" t="s">
        <v>292</v>
      </c>
      <c r="C29" s="43">
        <v>42592</v>
      </c>
      <c r="D29" s="44">
        <v>25300</v>
      </c>
      <c r="E29" s="42" t="s">
        <v>236</v>
      </c>
      <c r="F29" s="45">
        <v>2001</v>
      </c>
      <c r="G29" s="44">
        <v>1500</v>
      </c>
      <c r="I29"/>
      <c r="J29"/>
      <c r="K29"/>
    </row>
    <row r="30" spans="1:11">
      <c r="A30" s="42" t="s">
        <v>293</v>
      </c>
      <c r="B30" s="42" t="s">
        <v>294</v>
      </c>
      <c r="C30" s="43">
        <v>42608</v>
      </c>
      <c r="D30" s="44">
        <v>25300</v>
      </c>
      <c r="E30" s="42" t="s">
        <v>239</v>
      </c>
      <c r="F30" s="45">
        <v>2001</v>
      </c>
      <c r="G30" s="44">
        <v>1000</v>
      </c>
      <c r="I30"/>
      <c r="J30"/>
      <c r="K30"/>
    </row>
    <row r="31" spans="1:11">
      <c r="A31" s="42" t="s">
        <v>295</v>
      </c>
      <c r="B31" s="42" t="s">
        <v>296</v>
      </c>
      <c r="C31" s="43">
        <v>42149</v>
      </c>
      <c r="D31" s="44">
        <v>25000</v>
      </c>
      <c r="E31" s="42" t="s">
        <v>236</v>
      </c>
      <c r="F31" s="45">
        <v>2002</v>
      </c>
      <c r="G31" s="44">
        <v>2000</v>
      </c>
      <c r="I31"/>
      <c r="J31"/>
      <c r="K31"/>
    </row>
    <row r="32" spans="1:11">
      <c r="A32" s="42" t="s">
        <v>297</v>
      </c>
      <c r="B32" s="42" t="s">
        <v>298</v>
      </c>
      <c r="C32" s="43">
        <v>42165</v>
      </c>
      <c r="D32" s="44">
        <v>24000</v>
      </c>
      <c r="E32" s="42" t="s">
        <v>253</v>
      </c>
      <c r="F32" s="45">
        <v>1997</v>
      </c>
      <c r="G32" s="44">
        <v>1000</v>
      </c>
      <c r="I32"/>
      <c r="J32"/>
      <c r="K32"/>
    </row>
    <row r="33" spans="1:11">
      <c r="A33"/>
      <c r="B33"/>
      <c r="I33"/>
      <c r="J33"/>
      <c r="K33"/>
    </row>
    <row r="34" spans="1:11">
      <c r="A34"/>
      <c r="B34"/>
      <c r="I34"/>
      <c r="J34"/>
      <c r="K34"/>
    </row>
    <row r="35" spans="1:11">
      <c r="A35"/>
      <c r="B35"/>
      <c r="I35"/>
      <c r="J35"/>
      <c r="K35"/>
    </row>
    <row r="36" spans="1:11">
      <c r="I36"/>
    </row>
    <row r="37" spans="1:11">
      <c r="I37"/>
    </row>
    <row r="38" spans="1:11">
      <c r="I38"/>
    </row>
    <row r="39" spans="1:11">
      <c r="I39"/>
    </row>
    <row r="40" spans="1:11">
      <c r="I40"/>
    </row>
    <row r="41" spans="1:11">
      <c r="I41"/>
    </row>
    <row r="42" spans="1:11">
      <c r="I42"/>
    </row>
    <row r="43" spans="1:11">
      <c r="I43"/>
    </row>
    <row r="44" spans="1:11">
      <c r="I44"/>
    </row>
    <row r="45" spans="1:11">
      <c r="I45"/>
    </row>
    <row r="46" spans="1:11">
      <c r="I46"/>
    </row>
    <row r="47" spans="1:11">
      <c r="I47"/>
    </row>
    <row r="48" spans="1:11">
      <c r="I48"/>
    </row>
    <row r="49" spans="9:9">
      <c r="I49"/>
    </row>
    <row r="50" spans="9:9">
      <c r="I50"/>
    </row>
    <row r="51" spans="9:9">
      <c r="I51"/>
    </row>
    <row r="52" spans="9:9">
      <c r="I52"/>
    </row>
    <row r="53" spans="9:9">
      <c r="I53"/>
    </row>
    <row r="54" spans="9:9">
      <c r="I54"/>
    </row>
    <row r="55" spans="9:9">
      <c r="I55"/>
    </row>
    <row r="56" spans="9:9">
      <c r="I56"/>
    </row>
    <row r="57" spans="9:9">
      <c r="I57"/>
    </row>
    <row r="58" spans="9:9">
      <c r="I58"/>
    </row>
    <row r="59" spans="9:9">
      <c r="I59"/>
    </row>
    <row r="60" spans="9:9">
      <c r="I60"/>
    </row>
    <row r="61" spans="9:9">
      <c r="I61"/>
    </row>
    <row r="62" spans="9:9">
      <c r="I62"/>
    </row>
    <row r="63" spans="9:9">
      <c r="I63"/>
    </row>
    <row r="64" spans="9:9">
      <c r="I64"/>
    </row>
    <row r="65" spans="9:9">
      <c r="I65"/>
    </row>
    <row r="66" spans="9:9">
      <c r="I66"/>
    </row>
  </sheetData>
  <phoneticPr fontId="3" type="noConversion"/>
  <pageMargins left="0.75" right="0.75" top="1" bottom="1" header="0.5" footer="0.5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L14"/>
  <sheetViews>
    <sheetView workbookViewId="0"/>
  </sheetViews>
  <sheetFormatPr defaultRowHeight="16.5"/>
  <cols>
    <col min="1" max="1" width="2" style="1" customWidth="1"/>
    <col min="2" max="2" width="9" style="1"/>
    <col min="3" max="5" width="9.125" style="1" customWidth="1"/>
    <col min="6" max="6" width="9" style="1"/>
    <col min="7" max="7" width="3.5" style="1" customWidth="1"/>
    <col min="8" max="16384" width="9" style="1"/>
  </cols>
  <sheetData>
    <row r="1" spans="2:12">
      <c r="B1" s="96" t="s">
        <v>160</v>
      </c>
      <c r="C1" s="96"/>
      <c r="D1" s="96"/>
      <c r="E1" s="96"/>
      <c r="F1" s="96"/>
      <c r="H1" s="96" t="s">
        <v>161</v>
      </c>
      <c r="I1" s="96"/>
      <c r="J1" s="96"/>
      <c r="K1" s="96"/>
      <c r="L1" s="96"/>
    </row>
    <row r="2" spans="2:12">
      <c r="B2" s="3" t="s">
        <v>162</v>
      </c>
      <c r="C2" s="3" t="s">
        <v>163</v>
      </c>
      <c r="D2" s="3" t="s">
        <v>164</v>
      </c>
      <c r="E2" s="3" t="s">
        <v>165</v>
      </c>
      <c r="F2" s="3" t="s">
        <v>166</v>
      </c>
      <c r="H2" s="3" t="s">
        <v>162</v>
      </c>
      <c r="I2" s="3" t="s">
        <v>163</v>
      </c>
      <c r="J2" s="3" t="s">
        <v>164</v>
      </c>
      <c r="K2" s="3" t="s">
        <v>165</v>
      </c>
      <c r="L2" s="3" t="s">
        <v>166</v>
      </c>
    </row>
    <row r="3" spans="2:12">
      <c r="B3" s="30" t="s">
        <v>167</v>
      </c>
      <c r="C3" s="31">
        <v>9</v>
      </c>
      <c r="D3" s="31">
        <v>15</v>
      </c>
      <c r="E3" s="31">
        <v>950</v>
      </c>
      <c r="F3" s="31">
        <f>D3*E3</f>
        <v>14250</v>
      </c>
      <c r="H3" s="30" t="s">
        <v>168</v>
      </c>
      <c r="I3" s="31">
        <v>20</v>
      </c>
      <c r="J3" s="31">
        <v>18</v>
      </c>
      <c r="K3" s="31">
        <v>560</v>
      </c>
      <c r="L3" s="31">
        <f>J3*K3</f>
        <v>10080</v>
      </c>
    </row>
    <row r="4" spans="2:12">
      <c r="B4" s="30" t="s">
        <v>169</v>
      </c>
      <c r="C4" s="31">
        <v>5</v>
      </c>
      <c r="D4" s="31">
        <v>10</v>
      </c>
      <c r="E4" s="31">
        <v>1400</v>
      </c>
      <c r="F4" s="31">
        <f>D4*E4</f>
        <v>14000</v>
      </c>
      <c r="H4" s="30" t="s">
        <v>170</v>
      </c>
      <c r="I4" s="31">
        <v>32</v>
      </c>
      <c r="J4" s="31">
        <v>35</v>
      </c>
      <c r="K4" s="31">
        <v>340</v>
      </c>
      <c r="L4" s="31">
        <f t="shared" ref="L4:L6" si="0">J4*K4</f>
        <v>11900</v>
      </c>
    </row>
    <row r="5" spans="2:12">
      <c r="B5" s="30" t="s">
        <v>168</v>
      </c>
      <c r="C5" s="31">
        <v>11</v>
      </c>
      <c r="D5" s="31">
        <v>15</v>
      </c>
      <c r="E5" s="31">
        <v>950</v>
      </c>
      <c r="F5" s="31">
        <f>D5*E5</f>
        <v>14250</v>
      </c>
      <c r="H5" s="30" t="s">
        <v>167</v>
      </c>
      <c r="I5" s="31">
        <v>10</v>
      </c>
      <c r="J5" s="31">
        <v>15</v>
      </c>
      <c r="K5" s="31">
        <v>950</v>
      </c>
      <c r="L5" s="31">
        <f t="shared" si="0"/>
        <v>14250</v>
      </c>
    </row>
    <row r="6" spans="2:12">
      <c r="B6" s="30" t="s">
        <v>170</v>
      </c>
      <c r="C6" s="31">
        <v>14</v>
      </c>
      <c r="D6" s="31">
        <v>14</v>
      </c>
      <c r="E6" s="31">
        <v>340</v>
      </c>
      <c r="F6" s="31">
        <f>D6*E6</f>
        <v>4760</v>
      </c>
      <c r="H6" s="30" t="s">
        <v>169</v>
      </c>
      <c r="I6" s="31">
        <v>12</v>
      </c>
      <c r="J6" s="31">
        <v>20</v>
      </c>
      <c r="K6" s="31">
        <v>1400</v>
      </c>
      <c r="L6" s="31">
        <f t="shared" si="0"/>
        <v>28000</v>
      </c>
    </row>
    <row r="9" spans="2:12">
      <c r="B9" s="97" t="s">
        <v>171</v>
      </c>
      <c r="C9" s="97"/>
      <c r="D9" s="97"/>
      <c r="E9" s="32"/>
    </row>
    <row r="10" spans="2:12">
      <c r="B10" s="3" t="s">
        <v>162</v>
      </c>
      <c r="C10" s="3" t="s">
        <v>164</v>
      </c>
      <c r="D10" s="3" t="s">
        <v>166</v>
      </c>
      <c r="E10" s="32"/>
    </row>
    <row r="11" spans="2:12">
      <c r="B11" s="30" t="s">
        <v>167</v>
      </c>
      <c r="C11" s="33">
        <v>15</v>
      </c>
      <c r="D11" s="33">
        <v>14250</v>
      </c>
      <c r="E11" s="34"/>
    </row>
    <row r="12" spans="2:12">
      <c r="B12" s="30" t="s">
        <v>169</v>
      </c>
      <c r="C12" s="33">
        <v>10</v>
      </c>
      <c r="D12" s="33">
        <v>14000</v>
      </c>
      <c r="E12" s="34"/>
    </row>
    <row r="13" spans="2:12">
      <c r="B13" s="30" t="s">
        <v>168</v>
      </c>
      <c r="C13" s="33">
        <v>15</v>
      </c>
      <c r="D13" s="33">
        <v>10080</v>
      </c>
      <c r="E13" s="34"/>
    </row>
    <row r="14" spans="2:12">
      <c r="B14" s="30" t="s">
        <v>170</v>
      </c>
      <c r="C14" s="33">
        <v>14</v>
      </c>
      <c r="D14" s="33">
        <v>4760</v>
      </c>
      <c r="E14" s="34"/>
    </row>
  </sheetData>
  <dataConsolidate function="min" topLabels="1">
    <dataRefs count="2">
      <dataRef ref="B2:F6" sheet="분석작업-2"/>
      <dataRef ref="H2:L6" sheet="분석작업-2"/>
    </dataRefs>
  </dataConsolidate>
  <mergeCells count="3">
    <mergeCell ref="B1:F1"/>
    <mergeCell ref="H1:L1"/>
    <mergeCell ref="B9:D9"/>
  </mergeCells>
  <phoneticPr fontId="3" type="noConversion"/>
  <pageMargins left="0.75" right="0.75" top="1" bottom="1" header="0.5" footer="0.5"/>
  <headerFooter alignWithMargins="0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B1:K13"/>
  <sheetViews>
    <sheetView workbookViewId="0"/>
  </sheetViews>
  <sheetFormatPr defaultRowHeight="16.5"/>
  <cols>
    <col min="1" max="1" width="2" style="1" customWidth="1"/>
    <col min="2" max="3" width="9" style="1"/>
    <col min="4" max="4" width="11" style="1" bestFit="1" customWidth="1"/>
    <col min="5" max="5" width="13" style="1" bestFit="1" customWidth="1"/>
    <col min="6" max="6" width="9" style="1"/>
    <col min="7" max="9" width="11" style="1" bestFit="1" customWidth="1"/>
    <col min="10" max="16384" width="9" style="1"/>
  </cols>
  <sheetData>
    <row r="1" spans="2:11" ht="20.25">
      <c r="B1" s="98" t="s">
        <v>172</v>
      </c>
      <c r="C1" s="98"/>
      <c r="D1" s="98"/>
      <c r="E1" s="98"/>
      <c r="F1" s="98"/>
      <c r="G1" s="98"/>
      <c r="H1" s="98"/>
      <c r="I1" s="98"/>
      <c r="J1" s="98"/>
      <c r="K1" s="98"/>
    </row>
    <row r="2" spans="2:11">
      <c r="I2" s="4"/>
      <c r="J2" s="35"/>
    </row>
    <row r="3" spans="2:11">
      <c r="B3" s="10" t="s">
        <v>173</v>
      </c>
      <c r="C3" s="10" t="s">
        <v>174</v>
      </c>
      <c r="D3" s="10" t="s">
        <v>175</v>
      </c>
      <c r="E3" s="10" t="s">
        <v>176</v>
      </c>
      <c r="F3" s="10" t="s">
        <v>177</v>
      </c>
      <c r="G3" s="10" t="s">
        <v>178</v>
      </c>
      <c r="H3" s="10" t="s">
        <v>179</v>
      </c>
      <c r="I3" s="10" t="s">
        <v>180</v>
      </c>
      <c r="J3" s="10" t="s">
        <v>181</v>
      </c>
      <c r="K3" s="10" t="s">
        <v>182</v>
      </c>
    </row>
    <row r="4" spans="2:11">
      <c r="B4" s="10" t="s">
        <v>183</v>
      </c>
      <c r="C4" s="10" t="s">
        <v>184</v>
      </c>
      <c r="D4" s="10" t="s">
        <v>185</v>
      </c>
      <c r="E4" s="36">
        <v>950000</v>
      </c>
      <c r="F4" s="10">
        <v>20</v>
      </c>
      <c r="G4" s="10">
        <v>190</v>
      </c>
      <c r="H4" s="10">
        <v>80</v>
      </c>
      <c r="I4" s="37">
        <v>2</v>
      </c>
      <c r="J4" s="37">
        <f t="shared" ref="J4:J13" si="0">SUM(G4:I4)</f>
        <v>272</v>
      </c>
      <c r="K4" s="37" t="s">
        <v>186</v>
      </c>
    </row>
    <row r="5" spans="2:11">
      <c r="B5" s="10" t="s">
        <v>187</v>
      </c>
      <c r="C5" s="10" t="s">
        <v>188</v>
      </c>
      <c r="D5" s="10" t="s">
        <v>189</v>
      </c>
      <c r="E5" s="36">
        <v>950000</v>
      </c>
      <c r="F5" s="10">
        <v>45</v>
      </c>
      <c r="G5" s="10">
        <v>190</v>
      </c>
      <c r="H5" s="10">
        <v>70</v>
      </c>
      <c r="I5" s="37">
        <v>4.5</v>
      </c>
      <c r="J5" s="37">
        <f t="shared" si="0"/>
        <v>264.5</v>
      </c>
      <c r="K5" s="37" t="s">
        <v>186</v>
      </c>
    </row>
    <row r="6" spans="2:11">
      <c r="B6" s="10" t="s">
        <v>190</v>
      </c>
      <c r="C6" s="10" t="s">
        <v>191</v>
      </c>
      <c r="D6" s="10" t="s">
        <v>192</v>
      </c>
      <c r="E6" s="36">
        <v>1300000</v>
      </c>
      <c r="F6" s="10">
        <v>60</v>
      </c>
      <c r="G6" s="10">
        <v>260</v>
      </c>
      <c r="H6" s="10">
        <v>50</v>
      </c>
      <c r="I6" s="37">
        <v>6</v>
      </c>
      <c r="J6" s="37">
        <f t="shared" si="0"/>
        <v>316</v>
      </c>
      <c r="K6" s="37" t="s">
        <v>193</v>
      </c>
    </row>
    <row r="7" spans="2:11">
      <c r="B7" s="10" t="s">
        <v>194</v>
      </c>
      <c r="C7" s="10" t="s">
        <v>195</v>
      </c>
      <c r="D7" s="10" t="s">
        <v>185</v>
      </c>
      <c r="E7" s="36">
        <v>900000</v>
      </c>
      <c r="F7" s="10">
        <v>50</v>
      </c>
      <c r="G7" s="10">
        <v>180</v>
      </c>
      <c r="H7" s="10">
        <v>65</v>
      </c>
      <c r="I7" s="37">
        <v>5</v>
      </c>
      <c r="J7" s="37">
        <f t="shared" si="0"/>
        <v>250</v>
      </c>
      <c r="K7" s="37" t="s">
        <v>186</v>
      </c>
    </row>
    <row r="8" spans="2:11">
      <c r="B8" s="10" t="s">
        <v>196</v>
      </c>
      <c r="C8" s="10" t="s">
        <v>197</v>
      </c>
      <c r="D8" s="10" t="s">
        <v>189</v>
      </c>
      <c r="E8" s="36">
        <v>775000</v>
      </c>
      <c r="F8" s="10">
        <v>43</v>
      </c>
      <c r="G8" s="10">
        <v>155</v>
      </c>
      <c r="H8" s="10">
        <v>85</v>
      </c>
      <c r="I8" s="37">
        <v>4.3</v>
      </c>
      <c r="J8" s="37">
        <f t="shared" si="0"/>
        <v>244.3</v>
      </c>
      <c r="K8" s="37" t="s">
        <v>186</v>
      </c>
    </row>
    <row r="9" spans="2:11">
      <c r="B9" s="10" t="s">
        <v>198</v>
      </c>
      <c r="C9" s="10" t="s">
        <v>199</v>
      </c>
      <c r="D9" s="10" t="s">
        <v>189</v>
      </c>
      <c r="E9" s="36">
        <v>755000</v>
      </c>
      <c r="F9" s="10">
        <v>35</v>
      </c>
      <c r="G9" s="10">
        <v>151</v>
      </c>
      <c r="H9" s="10">
        <v>75</v>
      </c>
      <c r="I9" s="37">
        <v>3.5</v>
      </c>
      <c r="J9" s="37">
        <f t="shared" si="0"/>
        <v>229.5</v>
      </c>
      <c r="K9" s="37" t="s">
        <v>186</v>
      </c>
    </row>
    <row r="10" spans="2:11">
      <c r="B10" s="10" t="s">
        <v>200</v>
      </c>
      <c r="C10" s="10" t="s">
        <v>201</v>
      </c>
      <c r="D10" s="10" t="s">
        <v>185</v>
      </c>
      <c r="E10" s="36">
        <v>805000</v>
      </c>
      <c r="F10" s="10">
        <v>25</v>
      </c>
      <c r="G10" s="10">
        <v>161</v>
      </c>
      <c r="H10" s="10">
        <v>25</v>
      </c>
      <c r="I10" s="37">
        <v>2.5</v>
      </c>
      <c r="J10" s="37">
        <f t="shared" si="0"/>
        <v>188.5</v>
      </c>
      <c r="K10" s="37" t="s">
        <v>202</v>
      </c>
    </row>
    <row r="11" spans="2:11">
      <c r="B11" s="10" t="s">
        <v>203</v>
      </c>
      <c r="C11" s="10" t="s">
        <v>204</v>
      </c>
      <c r="D11" s="10" t="s">
        <v>192</v>
      </c>
      <c r="E11" s="36">
        <v>500000</v>
      </c>
      <c r="F11" s="10">
        <v>30</v>
      </c>
      <c r="G11" s="10">
        <v>100</v>
      </c>
      <c r="H11" s="10">
        <v>35</v>
      </c>
      <c r="I11" s="37">
        <v>3</v>
      </c>
      <c r="J11" s="37">
        <f t="shared" si="0"/>
        <v>138</v>
      </c>
      <c r="K11" s="37" t="s">
        <v>202</v>
      </c>
    </row>
    <row r="12" spans="2:11">
      <c r="B12" s="10" t="s">
        <v>205</v>
      </c>
      <c r="C12" s="10" t="s">
        <v>206</v>
      </c>
      <c r="D12" s="10" t="s">
        <v>192</v>
      </c>
      <c r="E12" s="36">
        <v>1250000</v>
      </c>
      <c r="F12" s="10">
        <v>40</v>
      </c>
      <c r="G12" s="10">
        <v>250</v>
      </c>
      <c r="H12" s="10">
        <v>85</v>
      </c>
      <c r="I12" s="37">
        <v>4</v>
      </c>
      <c r="J12" s="37">
        <f t="shared" si="0"/>
        <v>339</v>
      </c>
      <c r="K12" s="37" t="s">
        <v>193</v>
      </c>
    </row>
    <row r="13" spans="2:11">
      <c r="B13" s="10" t="s">
        <v>207</v>
      </c>
      <c r="C13" s="10" t="s">
        <v>208</v>
      </c>
      <c r="D13" s="10" t="s">
        <v>189</v>
      </c>
      <c r="E13" s="36">
        <v>1000000</v>
      </c>
      <c r="F13" s="10">
        <v>45</v>
      </c>
      <c r="G13" s="10">
        <v>200</v>
      </c>
      <c r="H13" s="10">
        <v>98</v>
      </c>
      <c r="I13" s="37">
        <v>4.5</v>
      </c>
      <c r="J13" s="37">
        <f t="shared" si="0"/>
        <v>302.5</v>
      </c>
      <c r="K13" s="37" t="s">
        <v>193</v>
      </c>
    </row>
  </sheetData>
  <mergeCells count="1">
    <mergeCell ref="B1:K1"/>
  </mergeCells>
  <phoneticPr fontId="3" type="noConversion"/>
  <pageMargins left="0.75" right="0.75" top="1" bottom="1" header="0.5" footer="0.5"/>
  <headerFooter alignWithMargins="0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L23"/>
  <sheetViews>
    <sheetView tabSelected="1" workbookViewId="0">
      <selection activeCell="M24" sqref="M24"/>
    </sheetView>
  </sheetViews>
  <sheetFormatPr defaultRowHeight="16.5"/>
  <cols>
    <col min="1" max="11" width="9" style="1"/>
    <col min="12" max="12" width="13.125" style="1" customWidth="1"/>
    <col min="13" max="16384" width="9" style="1"/>
  </cols>
  <sheetData>
    <row r="1" spans="1:12" ht="19.5">
      <c r="A1" s="38" t="s">
        <v>209</v>
      </c>
      <c r="J1" s="99" t="s">
        <v>210</v>
      </c>
      <c r="K1" s="99"/>
      <c r="L1" s="39">
        <v>43334</v>
      </c>
    </row>
    <row r="3" spans="1:12">
      <c r="A3" s="40" t="s">
        <v>211</v>
      </c>
      <c r="B3" s="40" t="s">
        <v>342</v>
      </c>
      <c r="C3" s="40" t="s">
        <v>343</v>
      </c>
      <c r="D3" s="40" t="s">
        <v>212</v>
      </c>
      <c r="E3" s="40" t="s">
        <v>213</v>
      </c>
      <c r="F3" s="40" t="s">
        <v>214</v>
      </c>
      <c r="G3" s="40" t="s">
        <v>215</v>
      </c>
      <c r="J3" s="40" t="s">
        <v>212</v>
      </c>
      <c r="K3" s="40" t="s">
        <v>213</v>
      </c>
      <c r="L3" s="40" t="s">
        <v>216</v>
      </c>
    </row>
    <row r="4" spans="1:12">
      <c r="A4" s="1" t="s">
        <v>217</v>
      </c>
      <c r="B4" s="94">
        <v>0.38055555555555554</v>
      </c>
      <c r="C4" s="1" t="s">
        <v>345</v>
      </c>
      <c r="D4" s="1" t="s">
        <v>218</v>
      </c>
      <c r="E4" s="1" t="s">
        <v>219</v>
      </c>
      <c r="F4" s="14">
        <v>2</v>
      </c>
      <c r="G4" s="1">
        <v>24000</v>
      </c>
      <c r="J4" s="1" t="s">
        <v>220</v>
      </c>
      <c r="K4" s="1" t="s">
        <v>221</v>
      </c>
      <c r="L4" s="1">
        <v>18000</v>
      </c>
    </row>
    <row r="5" spans="1:12">
      <c r="A5" s="1" t="s">
        <v>222</v>
      </c>
      <c r="B5" s="94">
        <v>0.49305555555555558</v>
      </c>
      <c r="C5" s="1" t="s">
        <v>345</v>
      </c>
      <c r="D5" s="1" t="s">
        <v>223</v>
      </c>
      <c r="E5" s="1" t="s">
        <v>224</v>
      </c>
      <c r="F5" s="14">
        <v>1</v>
      </c>
      <c r="G5" s="1">
        <v>12000</v>
      </c>
      <c r="J5" s="1" t="s">
        <v>220</v>
      </c>
      <c r="K5" s="1" t="s">
        <v>225</v>
      </c>
      <c r="L5" s="1">
        <v>15000</v>
      </c>
    </row>
    <row r="6" spans="1:12">
      <c r="A6" s="58" t="s">
        <v>346</v>
      </c>
      <c r="B6" s="94">
        <v>0.67222222222222217</v>
      </c>
      <c r="C6" s="1" t="s">
        <v>344</v>
      </c>
      <c r="D6" s="14" t="s">
        <v>218</v>
      </c>
      <c r="E6" s="1" t="s">
        <v>219</v>
      </c>
      <c r="F6" s="1">
        <v>1</v>
      </c>
      <c r="G6" s="1">
        <v>12000</v>
      </c>
      <c r="J6" s="1" t="s">
        <v>220</v>
      </c>
      <c r="K6" s="1" t="s">
        <v>226</v>
      </c>
      <c r="L6" s="1">
        <v>12000</v>
      </c>
    </row>
    <row r="7" spans="1:12">
      <c r="B7" s="94"/>
      <c r="D7" s="14"/>
      <c r="J7" s="1" t="s">
        <v>227</v>
      </c>
      <c r="K7" s="1" t="s">
        <v>221</v>
      </c>
      <c r="L7" s="1">
        <v>15000</v>
      </c>
    </row>
    <row r="8" spans="1:12">
      <c r="D8" s="14"/>
      <c r="J8" s="1" t="s">
        <v>227</v>
      </c>
      <c r="K8" s="1" t="s">
        <v>225</v>
      </c>
      <c r="L8" s="1">
        <v>12000</v>
      </c>
    </row>
    <row r="9" spans="1:12">
      <c r="D9" s="14"/>
      <c r="J9" s="1" t="s">
        <v>227</v>
      </c>
      <c r="K9" s="1" t="s">
        <v>226</v>
      </c>
      <c r="L9" s="1">
        <v>10000</v>
      </c>
    </row>
    <row r="10" spans="1:12">
      <c r="D10" s="14"/>
      <c r="J10" s="1" t="s">
        <v>228</v>
      </c>
      <c r="K10" s="1" t="s">
        <v>225</v>
      </c>
      <c r="L10" s="1">
        <v>8000</v>
      </c>
    </row>
    <row r="11" spans="1:12">
      <c r="D11" s="14"/>
      <c r="J11" s="1" t="s">
        <v>228</v>
      </c>
      <c r="K11" s="1" t="s">
        <v>226</v>
      </c>
      <c r="L11" s="1">
        <v>6000</v>
      </c>
    </row>
    <row r="12" spans="1:12">
      <c r="D12" s="14"/>
    </row>
    <row r="13" spans="1:12">
      <c r="D13" s="14"/>
    </row>
    <row r="14" spans="1:12">
      <c r="D14" s="14"/>
    </row>
    <row r="15" spans="1:12">
      <c r="D15" s="14"/>
    </row>
    <row r="16" spans="1:12">
      <c r="D16" s="14"/>
    </row>
    <row r="17" spans="4:4">
      <c r="D17" s="14"/>
    </row>
    <row r="18" spans="4:4">
      <c r="D18" s="14"/>
    </row>
    <row r="19" spans="4:4">
      <c r="D19" s="14"/>
    </row>
    <row r="20" spans="4:4">
      <c r="D20" s="14"/>
    </row>
    <row r="21" spans="4:4">
      <c r="D21" s="14"/>
    </row>
    <row r="22" spans="4:4">
      <c r="D22" s="14"/>
    </row>
    <row r="23" spans="4:4">
      <c r="D23" s="14"/>
    </row>
  </sheetData>
  <mergeCells count="1">
    <mergeCell ref="J1:K1"/>
  </mergeCells>
  <phoneticPr fontId="3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r:id="rId5">
            <anchor moveWithCells="1">
              <from>
                <xdr:col>7</xdr:col>
                <xdr:colOff>171450</xdr:colOff>
                <xdr:row>2</xdr:row>
                <xdr:rowOff>0</xdr:rowOff>
              </from>
              <to>
                <xdr:col>7</xdr:col>
                <xdr:colOff>571500</xdr:colOff>
                <xdr:row>9</xdr:row>
                <xdr:rowOff>57150</xdr:rowOff>
              </to>
            </anchor>
          </controlPr>
        </control>
      </mc:Choice>
      <mc:Fallback>
        <control shapeId="3073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9</vt:i4>
      </vt:variant>
      <vt:variant>
        <vt:lpstr>이름이 지정된 범위</vt:lpstr>
      </vt:variant>
      <vt:variant>
        <vt:i4>4</vt:i4>
      </vt:variant>
    </vt:vector>
  </HeadingPairs>
  <TitlesOfParts>
    <vt:vector size="13" baseType="lpstr">
      <vt:lpstr>기본작업-1</vt:lpstr>
      <vt:lpstr>기본작업-2</vt:lpstr>
      <vt:lpstr>기본작업-3</vt:lpstr>
      <vt:lpstr>계산작업</vt:lpstr>
      <vt:lpstr>2016년1사분기</vt:lpstr>
      <vt:lpstr>분석작업-1</vt:lpstr>
      <vt:lpstr>분석작업-2</vt:lpstr>
      <vt:lpstr>기타작업-1</vt:lpstr>
      <vt:lpstr>기타작업-2</vt:lpstr>
      <vt:lpstr>'기본작업-2'!Criteria</vt:lpstr>
      <vt:lpstr>'기본작업-2'!Extract</vt:lpstr>
      <vt:lpstr>기준</vt:lpstr>
      <vt:lpstr>요금내역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김우경</dc:creator>
  <cp:lastModifiedBy>김우경</cp:lastModifiedBy>
  <dcterms:created xsi:type="dcterms:W3CDTF">2017-08-29T08:05:29Z</dcterms:created>
  <dcterms:modified xsi:type="dcterms:W3CDTF">2018-08-29T06:14:35Z</dcterms:modified>
</cp:coreProperties>
</file>