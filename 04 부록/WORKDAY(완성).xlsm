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4" r:id="rId1"/>
    <sheet name="기출" sheetId="5" r:id="rId2"/>
  </sheets>
  <calcPr calcId="145621"/>
</workbook>
</file>

<file path=xl/calcChain.xml><?xml version="1.0" encoding="utf-8"?>
<calcChain xmlns="http://schemas.openxmlformats.org/spreadsheetml/2006/main">
  <c r="C13" i="5" l="1"/>
  <c r="C12" i="5"/>
  <c r="C11" i="5"/>
  <c r="C10" i="5"/>
  <c r="C9" i="5"/>
  <c r="C8" i="5"/>
  <c r="C7" i="5"/>
  <c r="C6" i="5"/>
  <c r="C5" i="5"/>
  <c r="C4" i="5"/>
  <c r="D5" i="4"/>
  <c r="D6" i="4"/>
  <c r="D7" i="4"/>
  <c r="D8" i="4"/>
  <c r="D9" i="4"/>
  <c r="D4" i="4"/>
</calcChain>
</file>

<file path=xl/sharedStrings.xml><?xml version="1.0" encoding="utf-8"?>
<sst xmlns="http://schemas.openxmlformats.org/spreadsheetml/2006/main" count="22" uniqueCount="21">
  <si>
    <t>여름 휴가 일정</t>
    <phoneticPr fontId="2" type="noConversion"/>
  </si>
  <si>
    <t>근무 마지막 날</t>
    <phoneticPr fontId="2" type="noConversion"/>
  </si>
  <si>
    <t>휴가일수</t>
    <phoneticPr fontId="2" type="noConversion"/>
  </si>
  <si>
    <t>휴가 마지막날</t>
    <phoneticPr fontId="2" type="noConversion"/>
  </si>
  <si>
    <t>휴일날짜</t>
    <phoneticPr fontId="2" type="noConversion"/>
  </si>
  <si>
    <t>[표1] 수선일</t>
    <phoneticPr fontId="6" type="noConversion"/>
  </si>
  <si>
    <t>[표2] 공휴일</t>
    <phoneticPr fontId="6" type="noConversion"/>
  </si>
  <si>
    <t>판매일</t>
    <phoneticPr fontId="6" type="noConversion"/>
  </si>
  <si>
    <t>수선일</t>
    <phoneticPr fontId="6" type="noConversion"/>
  </si>
  <si>
    <t>공휴일</t>
    <phoneticPr fontId="6" type="noConversion"/>
  </si>
  <si>
    <t>날짜</t>
    <phoneticPr fontId="6" type="noConversion"/>
  </si>
  <si>
    <t>설날</t>
    <phoneticPr fontId="6" type="noConversion"/>
  </si>
  <si>
    <t>삼일절</t>
    <phoneticPr fontId="6" type="noConversion"/>
  </si>
  <si>
    <t>석가탄신일</t>
    <phoneticPr fontId="6" type="noConversion"/>
  </si>
  <si>
    <t>현충일</t>
    <phoneticPr fontId="6" type="noConversion"/>
  </si>
  <si>
    <t>광복절</t>
    <phoneticPr fontId="6" type="noConversion"/>
  </si>
  <si>
    <t>추석</t>
    <phoneticPr fontId="6" type="noConversion"/>
  </si>
  <si>
    <t>국군의 날</t>
    <phoneticPr fontId="6" type="noConversion"/>
  </si>
  <si>
    <t>개천절</t>
    <phoneticPr fontId="6" type="noConversion"/>
  </si>
  <si>
    <t>크리스마스</t>
    <phoneticPr fontId="6" type="noConversion"/>
  </si>
  <si>
    <t>2019-09-31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</si>
</sst>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mm&quot;월&quot;\ dd&quot;일&quot;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0" borderId="0" xfId="1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14" fontId="4" fillId="0" borderId="3" xfId="1" quotePrefix="1" applyNumberFormat="1" applyFont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  <xf numFmtId="14" fontId="4" fillId="0" borderId="4" xfId="1" applyNumberFormat="1" applyFont="1" applyBorder="1">
      <alignment vertical="center"/>
    </xf>
    <xf numFmtId="14" fontId="4" fillId="0" borderId="5" xfId="1" applyNumberFormat="1" applyFont="1" applyBorder="1">
      <alignment vertical="center"/>
    </xf>
    <xf numFmtId="14" fontId="4" fillId="0" borderId="7" xfId="1" applyNumberFormat="1" applyFont="1" applyBorder="1" applyAlignment="1">
      <alignment horizontal="center" vertical="center"/>
    </xf>
    <xf numFmtId="0" fontId="4" fillId="0" borderId="6" xfId="2" applyNumberFormat="1" applyFont="1" applyBorder="1" applyAlignment="1">
      <alignment horizontal="center" vertical="center"/>
    </xf>
    <xf numFmtId="0" fontId="4" fillId="0" borderId="9" xfId="2" applyNumberFormat="1" applyFont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0" borderId="11" xfId="2" applyNumberFormat="1" applyFont="1" applyBorder="1" applyAlignment="1">
      <alignment horizontal="center" vertical="center"/>
    </xf>
    <xf numFmtId="14" fontId="4" fillId="0" borderId="11" xfId="2" applyNumberFormat="1" applyFont="1" applyBorder="1" applyAlignment="1">
      <alignment horizontal="center" vertical="center"/>
    </xf>
    <xf numFmtId="14" fontId="4" fillId="0" borderId="12" xfId="2" applyNumberFormat="1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76" fontId="0" fillId="0" borderId="6" xfId="0" applyNumberFormat="1" applyBorder="1">
      <alignment vertical="center"/>
    </xf>
    <xf numFmtId="0" fontId="0" fillId="0" borderId="6" xfId="0" applyBorder="1">
      <alignment vertical="center"/>
    </xf>
    <xf numFmtId="0" fontId="3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tabSelected="1" workbookViewId="0">
      <selection activeCell="C22" sqref="C22"/>
    </sheetView>
  </sheetViews>
  <sheetFormatPr defaultRowHeight="16.5"/>
  <cols>
    <col min="1" max="1" width="14.375" style="1" bestFit="1" customWidth="1"/>
    <col min="2" max="2" width="10.625" style="1" customWidth="1"/>
    <col min="3" max="3" width="11.125" style="1" bestFit="1" customWidth="1"/>
    <col min="4" max="4" width="14.625" style="1" customWidth="1"/>
    <col min="5" max="16384" width="9" style="1"/>
  </cols>
  <sheetData>
    <row r="1" spans="1:4">
      <c r="A1" s="21" t="s">
        <v>0</v>
      </c>
      <c r="B1" s="21"/>
      <c r="C1" s="21"/>
      <c r="D1" s="21"/>
    </row>
    <row r="2" spans="1:4" ht="17.25" thickBot="1"/>
    <row r="3" spans="1:4">
      <c r="A3" s="2" t="s">
        <v>1</v>
      </c>
      <c r="B3" s="5" t="s">
        <v>2</v>
      </c>
      <c r="C3" s="11" t="s">
        <v>4</v>
      </c>
      <c r="D3" s="3" t="s">
        <v>3</v>
      </c>
    </row>
    <row r="4" spans="1:4">
      <c r="A4" s="4">
        <v>43689</v>
      </c>
      <c r="B4" s="9">
        <v>7</v>
      </c>
      <c r="C4" s="13">
        <v>43692</v>
      </c>
      <c r="D4" s="6">
        <f>WORKDAY(A4,B4,C4)</f>
        <v>43699</v>
      </c>
    </row>
    <row r="5" spans="1:4">
      <c r="A5" s="4">
        <v>43801</v>
      </c>
      <c r="B5" s="9">
        <v>8</v>
      </c>
      <c r="C5" s="12"/>
      <c r="D5" s="6">
        <f t="shared" ref="D5:D9" si="0">WORKDAY(A5,B5,C5)</f>
        <v>43811</v>
      </c>
    </row>
    <row r="6" spans="1:4">
      <c r="A6" s="4">
        <v>43620</v>
      </c>
      <c r="B6" s="9">
        <v>7</v>
      </c>
      <c r="C6" s="13">
        <v>43622</v>
      </c>
      <c r="D6" s="6">
        <f t="shared" si="0"/>
        <v>43630</v>
      </c>
    </row>
    <row r="7" spans="1:4">
      <c r="A7" s="4">
        <v>43700</v>
      </c>
      <c r="B7" s="9">
        <v>5</v>
      </c>
      <c r="C7" s="12"/>
      <c r="D7" s="6">
        <f t="shared" si="0"/>
        <v>43707</v>
      </c>
    </row>
    <row r="8" spans="1:4">
      <c r="A8" s="4">
        <v>43637</v>
      </c>
      <c r="B8" s="9">
        <v>3</v>
      </c>
      <c r="C8" s="12"/>
      <c r="D8" s="6">
        <f t="shared" si="0"/>
        <v>43642</v>
      </c>
    </row>
    <row r="9" spans="1:4" ht="17.25" thickBot="1">
      <c r="A9" s="8" t="s">
        <v>20</v>
      </c>
      <c r="B9" s="10">
        <v>7</v>
      </c>
      <c r="C9" s="14">
        <v>43739</v>
      </c>
      <c r="D9" s="7" t="e">
        <f t="shared" si="0"/>
        <v>#VALUE!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13"/>
  <sheetViews>
    <sheetView workbookViewId="0"/>
  </sheetViews>
  <sheetFormatPr defaultRowHeight="16.5"/>
  <cols>
    <col min="1" max="1" width="2.875" customWidth="1"/>
    <col min="2" max="2" width="12.125" bestFit="1" customWidth="1"/>
    <col min="3" max="3" width="22.875" bestFit="1" customWidth="1"/>
    <col min="4" max="4" width="1.875" customWidth="1"/>
    <col min="5" max="5" width="10.625" customWidth="1"/>
    <col min="6" max="6" width="10" customWidth="1"/>
  </cols>
  <sheetData>
    <row r="2" spans="2:6">
      <c r="B2" t="s">
        <v>5</v>
      </c>
      <c r="E2" t="s">
        <v>6</v>
      </c>
    </row>
    <row r="3" spans="2:6">
      <c r="B3" s="15" t="s">
        <v>7</v>
      </c>
      <c r="C3" s="16" t="s">
        <v>8</v>
      </c>
      <c r="E3" s="17" t="s">
        <v>9</v>
      </c>
      <c r="F3" s="17" t="s">
        <v>10</v>
      </c>
    </row>
    <row r="4" spans="2:6">
      <c r="B4" s="18">
        <v>40925</v>
      </c>
      <c r="C4" s="18" t="str">
        <f>TEXT(WORKDAY(B4,3,$F$4:$F$13),"yyyy년 m월 d일 aaaa")</f>
        <v>2012년 1월 20일 금요일</v>
      </c>
      <c r="E4" s="19" t="s">
        <v>11</v>
      </c>
      <c r="F4" s="19">
        <v>40931</v>
      </c>
    </row>
    <row r="5" spans="2:6">
      <c r="B5" s="18">
        <v>40933</v>
      </c>
      <c r="C5" s="18" t="str">
        <f t="shared" ref="C5:C13" si="0">TEXT(WORKDAY(B5,3,$F$4:$F$13),"yyyy년 m월 d일 aaaa")</f>
        <v>2012년 1월 30일 월요일</v>
      </c>
      <c r="E5" s="20" t="s">
        <v>11</v>
      </c>
      <c r="F5" s="19">
        <v>40932</v>
      </c>
    </row>
    <row r="6" spans="2:6">
      <c r="B6" s="18">
        <v>40942</v>
      </c>
      <c r="C6" s="18" t="str">
        <f t="shared" si="0"/>
        <v>2012년 2월 8일 수요일</v>
      </c>
      <c r="E6" s="20" t="s">
        <v>12</v>
      </c>
      <c r="F6" s="19">
        <v>40969</v>
      </c>
    </row>
    <row r="7" spans="2:6">
      <c r="B7" s="18">
        <v>40980</v>
      </c>
      <c r="C7" s="18" t="str">
        <f t="shared" si="0"/>
        <v>2012년 3월 15일 목요일</v>
      </c>
      <c r="E7" s="20" t="s">
        <v>13</v>
      </c>
      <c r="F7" s="19">
        <v>41057</v>
      </c>
    </row>
    <row r="8" spans="2:6">
      <c r="B8" s="18">
        <v>40991</v>
      </c>
      <c r="C8" s="18" t="str">
        <f t="shared" si="0"/>
        <v>2012년 3월 28일 수요일</v>
      </c>
      <c r="E8" s="20" t="s">
        <v>14</v>
      </c>
      <c r="F8" s="19">
        <v>41066</v>
      </c>
    </row>
    <row r="9" spans="2:6">
      <c r="B9" s="18">
        <v>40998</v>
      </c>
      <c r="C9" s="18" t="str">
        <f t="shared" si="0"/>
        <v>2012년 4월 4일 수요일</v>
      </c>
      <c r="E9" s="20" t="s">
        <v>15</v>
      </c>
      <c r="F9" s="19">
        <v>41136</v>
      </c>
    </row>
    <row r="10" spans="2:6">
      <c r="B10" s="18">
        <v>41020</v>
      </c>
      <c r="C10" s="18" t="str">
        <f t="shared" si="0"/>
        <v>2012년 4월 25일 수요일</v>
      </c>
      <c r="E10" s="20" t="s">
        <v>16</v>
      </c>
      <c r="F10" s="19">
        <v>41182</v>
      </c>
    </row>
    <row r="11" spans="2:6">
      <c r="B11" s="18">
        <v>41030</v>
      </c>
      <c r="C11" s="18" t="str">
        <f t="shared" si="0"/>
        <v>2012년 5월 4일 금요일</v>
      </c>
      <c r="E11" s="20" t="s">
        <v>17</v>
      </c>
      <c r="F11" s="19">
        <v>41183</v>
      </c>
    </row>
    <row r="12" spans="2:6">
      <c r="B12" s="18">
        <v>41046</v>
      </c>
      <c r="C12" s="18" t="str">
        <f t="shared" si="0"/>
        <v>2012년 5월 22일 화요일</v>
      </c>
      <c r="E12" s="20" t="s">
        <v>18</v>
      </c>
      <c r="F12" s="19">
        <v>41185</v>
      </c>
    </row>
    <row r="13" spans="2:6">
      <c r="B13" s="18">
        <v>41049</v>
      </c>
      <c r="C13" s="18" t="str">
        <f t="shared" si="0"/>
        <v>2012년 5월 23일 수요일</v>
      </c>
      <c r="E13" s="20" t="s">
        <v>19</v>
      </c>
      <c r="F13" s="19">
        <v>41633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2011-06-14T12:02:39Z</dcterms:created>
  <dcterms:modified xsi:type="dcterms:W3CDTF">2019-09-06T09:49:58Z</dcterms:modified>
</cp:coreProperties>
</file>