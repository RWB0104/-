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8" i="2"/>
  <c r="D7"/>
  <c r="D6"/>
  <c r="D5"/>
  <c r="D4"/>
  <c r="D3"/>
  <c r="D7" i="1"/>
  <c r="D6"/>
  <c r="D5"/>
  <c r="D4"/>
  <c r="D3"/>
</calcChain>
</file>

<file path=xl/sharedStrings.xml><?xml version="1.0" encoding="utf-8"?>
<sst xmlns="http://schemas.openxmlformats.org/spreadsheetml/2006/main" count="42" uniqueCount="30">
  <si>
    <t>초과 수당 지급</t>
    <phoneticPr fontId="3" type="noConversion"/>
  </si>
  <si>
    <t>품명</t>
    <phoneticPr fontId="3" type="noConversion"/>
  </si>
  <si>
    <t>직위</t>
    <phoneticPr fontId="3" type="noConversion"/>
  </si>
  <si>
    <t>초과수당</t>
    <phoneticPr fontId="3" type="noConversion"/>
  </si>
  <si>
    <t>김신락</t>
    <phoneticPr fontId="3" type="noConversion"/>
  </si>
  <si>
    <t>과장</t>
    <phoneticPr fontId="3" type="noConversion"/>
  </si>
  <si>
    <t>홍길동</t>
    <phoneticPr fontId="3" type="noConversion"/>
  </si>
  <si>
    <t>부장</t>
    <phoneticPr fontId="3" type="noConversion"/>
  </si>
  <si>
    <t>김천만</t>
    <phoneticPr fontId="3" type="noConversion"/>
  </si>
  <si>
    <t>신선해</t>
    <phoneticPr fontId="3" type="noConversion"/>
  </si>
  <si>
    <t>대리</t>
    <phoneticPr fontId="3" type="noConversion"/>
  </si>
  <si>
    <t>막막해</t>
    <phoneticPr fontId="3" type="noConversion"/>
  </si>
  <si>
    <t>사원</t>
    <phoneticPr fontId="3" type="noConversion"/>
  </si>
  <si>
    <t>직위별 지급 기준</t>
    <phoneticPr fontId="3" type="noConversion"/>
  </si>
  <si>
    <t>상여금</t>
    <phoneticPr fontId="3" type="noConversion"/>
  </si>
  <si>
    <t>소속</t>
    <phoneticPr fontId="3" type="noConversion"/>
  </si>
  <si>
    <t>채용형태</t>
    <phoneticPr fontId="3" type="noConversion"/>
  </si>
  <si>
    <t>보조경비</t>
    <phoneticPr fontId="3" type="noConversion"/>
  </si>
  <si>
    <t>서울1팀</t>
    <phoneticPr fontId="3" type="noConversion"/>
  </si>
  <si>
    <t>계약직</t>
    <phoneticPr fontId="3" type="noConversion"/>
  </si>
  <si>
    <t>서울2팀</t>
    <phoneticPr fontId="3" type="noConversion"/>
  </si>
  <si>
    <t>정규직</t>
    <phoneticPr fontId="3" type="noConversion"/>
  </si>
  <si>
    <t>인천1팀</t>
    <phoneticPr fontId="3" type="noConversion"/>
  </si>
  <si>
    <t>인천2팀</t>
    <phoneticPr fontId="3" type="noConversion"/>
  </si>
  <si>
    <t>과천1팀</t>
    <phoneticPr fontId="3" type="noConversion"/>
  </si>
  <si>
    <t>과천2팀</t>
    <phoneticPr fontId="3" type="noConversion"/>
  </si>
  <si>
    <t>지역</t>
    <phoneticPr fontId="3" type="noConversion"/>
  </si>
  <si>
    <t>과천</t>
    <phoneticPr fontId="3" type="noConversion"/>
  </si>
  <si>
    <t>서울</t>
    <phoneticPr fontId="3" type="noConversion"/>
  </si>
  <si>
    <t>인천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</si>
</sst>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41" fontId="6" fillId="0" borderId="2" xfId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1" fontId="6" fillId="3" borderId="4" xfId="1" applyFont="1" applyFill="1" applyBorder="1" applyAlignment="1">
      <alignment horizontal="center" vertical="center"/>
    </xf>
    <xf numFmtId="41" fontId="6" fillId="3" borderId="5" xfId="1" applyFont="1" applyFill="1" applyBorder="1" applyAlignment="1">
      <alignment horizontal="center" vertical="center"/>
    </xf>
    <xf numFmtId="41" fontId="6" fillId="3" borderId="6" xfId="1" applyFont="1" applyFill="1" applyBorder="1" applyAlignment="1">
      <alignment horizontal="center" vertical="center"/>
    </xf>
    <xf numFmtId="41" fontId="6" fillId="4" borderId="7" xfId="1" applyFont="1" applyFill="1" applyBorder="1" applyAlignment="1">
      <alignment horizontal="center" vertical="center"/>
    </xf>
    <xf numFmtId="41" fontId="6" fillId="0" borderId="2" xfId="1" applyFont="1" applyBorder="1">
      <alignment vertical="center"/>
    </xf>
    <xf numFmtId="41" fontId="6" fillId="0" borderId="8" xfId="1" applyFont="1" applyBorder="1">
      <alignment vertical="center"/>
    </xf>
    <xf numFmtId="41" fontId="6" fillId="4" borderId="9" xfId="1" applyFont="1" applyFill="1" applyBorder="1" applyAlignment="1">
      <alignment horizontal="center" vertical="center"/>
    </xf>
    <xf numFmtId="41" fontId="6" fillId="0" borderId="10" xfId="1" applyFont="1" applyBorder="1">
      <alignment vertical="center"/>
    </xf>
    <xf numFmtId="41" fontId="6" fillId="0" borderId="11" xfId="1" applyFont="1" applyBorder="1">
      <alignment vertical="center"/>
    </xf>
    <xf numFmtId="0" fontId="6" fillId="0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41" fontId="6" fillId="0" borderId="2" xfId="0" applyNumberFormat="1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wrapText="1"/>
    </xf>
    <xf numFmtId="41" fontId="6" fillId="0" borderId="2" xfId="1" applyFont="1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4"/>
  <sheetViews>
    <sheetView tabSelected="1" workbookViewId="0"/>
  </sheetViews>
  <sheetFormatPr defaultRowHeight="16.5"/>
  <cols>
    <col min="1" max="1" width="2.25" customWidth="1"/>
    <col min="3" max="3" width="11.125" bestFit="1" customWidth="1"/>
    <col min="4" max="4" width="9.5" bestFit="1" customWidth="1"/>
  </cols>
  <sheetData>
    <row r="1" spans="1:4">
      <c r="A1" s="1"/>
      <c r="B1" s="2" t="s">
        <v>0</v>
      </c>
      <c r="C1" s="2"/>
      <c r="D1" s="2"/>
    </row>
    <row r="2" spans="1:4">
      <c r="A2" s="1"/>
      <c r="B2" s="3" t="s">
        <v>1</v>
      </c>
      <c r="C2" s="3" t="s">
        <v>2</v>
      </c>
      <c r="D2" s="3" t="s">
        <v>3</v>
      </c>
    </row>
    <row r="3" spans="1:4">
      <c r="A3" s="1"/>
      <c r="B3" s="4" t="s">
        <v>4</v>
      </c>
      <c r="C3" s="4" t="s">
        <v>5</v>
      </c>
      <c r="D3" s="5">
        <f>LOOKUP(C3,$B$11:$B$14,$D$11:$D$14)</f>
        <v>5500</v>
      </c>
    </row>
    <row r="4" spans="1:4">
      <c r="A4" s="1"/>
      <c r="B4" s="4" t="s">
        <v>6</v>
      </c>
      <c r="C4" s="4" t="s">
        <v>7</v>
      </c>
      <c r="D4" s="5">
        <f>LOOKUP(C4,$B$11:$B$14,$D$11:$D$14)</f>
        <v>6000</v>
      </c>
    </row>
    <row r="5" spans="1:4">
      <c r="A5" s="1"/>
      <c r="B5" s="4" t="s">
        <v>8</v>
      </c>
      <c r="C5" s="4" t="s">
        <v>5</v>
      </c>
      <c r="D5" s="5">
        <f>LOOKUP(C5,$B$11:$B$14,$D$11:$D$14)</f>
        <v>5500</v>
      </c>
    </row>
    <row r="6" spans="1:4">
      <c r="A6" s="1"/>
      <c r="B6" s="4" t="s">
        <v>9</v>
      </c>
      <c r="C6" s="4" t="s">
        <v>10</v>
      </c>
      <c r="D6" s="5">
        <f>LOOKUP(C6,$B$11:$B$14,$D$11:$D$14)</f>
        <v>4500</v>
      </c>
    </row>
    <row r="7" spans="1:4">
      <c r="A7" s="1"/>
      <c r="B7" s="4" t="s">
        <v>11</v>
      </c>
      <c r="C7" s="4" t="s">
        <v>12</v>
      </c>
      <c r="D7" s="5">
        <f>LOOKUP(C7,$B$11:$B$14,$D$11:$D$14)</f>
        <v>3500</v>
      </c>
    </row>
    <row r="8" spans="1:4">
      <c r="A8" s="1"/>
      <c r="B8" s="1"/>
      <c r="C8" s="1"/>
      <c r="D8" s="1"/>
    </row>
    <row r="9" spans="1:4" ht="17.25" thickBot="1">
      <c r="A9" s="1"/>
      <c r="B9" s="6" t="s">
        <v>13</v>
      </c>
      <c r="C9" s="6"/>
      <c r="D9" s="6"/>
    </row>
    <row r="10" spans="1:4">
      <c r="A10" s="1"/>
      <c r="B10" s="7" t="s">
        <v>2</v>
      </c>
      <c r="C10" s="8" t="s">
        <v>14</v>
      </c>
      <c r="D10" s="9" t="s">
        <v>3</v>
      </c>
    </row>
    <row r="11" spans="1:4">
      <c r="A11" s="1"/>
      <c r="B11" s="10" t="s">
        <v>5</v>
      </c>
      <c r="C11" s="11">
        <v>650000</v>
      </c>
      <c r="D11" s="12">
        <v>5500</v>
      </c>
    </row>
    <row r="12" spans="1:4">
      <c r="A12" s="1"/>
      <c r="B12" s="10" t="s">
        <v>10</v>
      </c>
      <c r="C12" s="11">
        <v>600000</v>
      </c>
      <c r="D12" s="12">
        <v>4500</v>
      </c>
    </row>
    <row r="13" spans="1:4">
      <c r="A13" s="1"/>
      <c r="B13" s="10" t="s">
        <v>7</v>
      </c>
      <c r="C13" s="11">
        <v>700000</v>
      </c>
      <c r="D13" s="12">
        <v>6000</v>
      </c>
    </row>
    <row r="14" spans="1:4" ht="17.25" thickBot="1">
      <c r="A14" s="1"/>
      <c r="B14" s="13" t="s">
        <v>12</v>
      </c>
      <c r="C14" s="14">
        <v>500000</v>
      </c>
      <c r="D14" s="15">
        <v>3500</v>
      </c>
    </row>
  </sheetData>
  <mergeCells count="2">
    <mergeCell ref="B1:D1"/>
    <mergeCell ref="B9:D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3"/>
  <sheetViews>
    <sheetView workbookViewId="0"/>
  </sheetViews>
  <sheetFormatPr defaultRowHeight="16.5"/>
  <cols>
    <col min="1" max="1" width="2" customWidth="1"/>
    <col min="2" max="2" width="7.875" customWidth="1"/>
    <col min="3" max="3" width="9.125" customWidth="1"/>
    <col min="4" max="4" width="9" customWidth="1"/>
  </cols>
  <sheetData>
    <row r="1" spans="1:4">
      <c r="A1" s="1"/>
      <c r="B1" s="1"/>
      <c r="C1" s="1"/>
      <c r="D1" s="1"/>
    </row>
    <row r="2" spans="1:4">
      <c r="A2" s="1"/>
      <c r="B2" s="16" t="s">
        <v>15</v>
      </c>
      <c r="C2" s="16" t="s">
        <v>16</v>
      </c>
      <c r="D2" s="17" t="s">
        <v>17</v>
      </c>
    </row>
    <row r="3" spans="1:4">
      <c r="A3" s="1"/>
      <c r="B3" s="4" t="s">
        <v>18</v>
      </c>
      <c r="C3" s="4" t="s">
        <v>19</v>
      </c>
      <c r="D3" s="18">
        <f t="shared" ref="D3:D8" si="0">LOOKUP(LEFT(B3,2),$B$11:$B$13,$C$11:$C$13)</f>
        <v>500000</v>
      </c>
    </row>
    <row r="4" spans="1:4">
      <c r="A4" s="1"/>
      <c r="B4" s="4" t="s">
        <v>20</v>
      </c>
      <c r="C4" s="4" t="s">
        <v>21</v>
      </c>
      <c r="D4" s="18">
        <f t="shared" si="0"/>
        <v>500000</v>
      </c>
    </row>
    <row r="5" spans="1:4">
      <c r="A5" s="1"/>
      <c r="B5" s="4" t="s">
        <v>22</v>
      </c>
      <c r="C5" s="4" t="s">
        <v>19</v>
      </c>
      <c r="D5" s="18">
        <f t="shared" si="0"/>
        <v>350000</v>
      </c>
    </row>
    <row r="6" spans="1:4">
      <c r="A6" s="1"/>
      <c r="B6" s="4" t="s">
        <v>23</v>
      </c>
      <c r="C6" s="4" t="s">
        <v>21</v>
      </c>
      <c r="D6" s="18">
        <f t="shared" si="0"/>
        <v>350000</v>
      </c>
    </row>
    <row r="7" spans="1:4">
      <c r="A7" s="1"/>
      <c r="B7" s="4" t="s">
        <v>24</v>
      </c>
      <c r="C7" s="4" t="s">
        <v>19</v>
      </c>
      <c r="D7" s="18">
        <f t="shared" si="0"/>
        <v>270000</v>
      </c>
    </row>
    <row r="8" spans="1:4">
      <c r="A8" s="1"/>
      <c r="B8" s="4" t="s">
        <v>25</v>
      </c>
      <c r="C8" s="4" t="s">
        <v>21</v>
      </c>
      <c r="D8" s="18">
        <f t="shared" si="0"/>
        <v>270000</v>
      </c>
    </row>
    <row r="9" spans="1:4">
      <c r="A9" s="1"/>
      <c r="B9" s="1"/>
      <c r="C9" s="1"/>
      <c r="D9" s="1"/>
    </row>
    <row r="10" spans="1:4">
      <c r="A10" s="1"/>
      <c r="B10" s="19" t="s">
        <v>26</v>
      </c>
      <c r="C10" s="20" t="s">
        <v>17</v>
      </c>
      <c r="D10" s="1"/>
    </row>
    <row r="11" spans="1:4">
      <c r="A11" s="1"/>
      <c r="B11" s="19" t="s">
        <v>27</v>
      </c>
      <c r="C11" s="21">
        <v>270000</v>
      </c>
      <c r="D11" s="1"/>
    </row>
    <row r="12" spans="1:4">
      <c r="A12" s="1"/>
      <c r="B12" s="19" t="s">
        <v>28</v>
      </c>
      <c r="C12" s="21">
        <v>500000</v>
      </c>
      <c r="D12" s="1"/>
    </row>
    <row r="13" spans="1:4">
      <c r="A13" s="1"/>
      <c r="B13" s="19" t="s">
        <v>29</v>
      </c>
      <c r="C13" s="21">
        <v>350000</v>
      </c>
      <c r="D13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2011-07-03T12:55:03Z</dcterms:modified>
</cp:coreProperties>
</file>