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7" i="2"/>
  <c r="E6"/>
  <c r="E5"/>
  <c r="E4"/>
  <c r="E3"/>
  <c r="E7" i="1"/>
  <c r="E6"/>
  <c r="E5"/>
  <c r="E4"/>
  <c r="E3"/>
</calcChain>
</file>

<file path=xl/sharedStrings.xml><?xml version="1.0" encoding="utf-8"?>
<sst xmlns="http://schemas.openxmlformats.org/spreadsheetml/2006/main" count="20" uniqueCount="17">
  <si>
    <t>만기 저축액 계산</t>
    <phoneticPr fontId="3" type="noConversion"/>
  </si>
  <si>
    <t>이율</t>
    <phoneticPr fontId="3" type="noConversion"/>
  </si>
  <si>
    <t>기간(년)</t>
    <phoneticPr fontId="3" type="noConversion"/>
  </si>
  <si>
    <t>매월 저축액</t>
    <phoneticPr fontId="3" type="noConversion"/>
  </si>
  <si>
    <t>만기금액</t>
    <phoneticPr fontId="3" type="noConversion"/>
  </si>
  <si>
    <t>사원번호</t>
  </si>
  <si>
    <t>직위</t>
  </si>
  <si>
    <t>TN-012</t>
  </si>
  <si>
    <t>과장</t>
  </si>
  <si>
    <t>TN-011</t>
  </si>
  <si>
    <t>TN-010</t>
  </si>
  <si>
    <t>TN-014</t>
  </si>
  <si>
    <t>TN-015</t>
  </si>
  <si>
    <t>대리</t>
  </si>
  <si>
    <t>만기 지급액 계산</t>
    <phoneticPr fontId="3" type="noConversion"/>
  </si>
  <si>
    <t>월불입액</t>
    <phoneticPr fontId="3" type="noConversion"/>
  </si>
  <si>
    <t>만기지급액</t>
    <phoneticPr fontId="3" type="noConversion"/>
  </si>
</sst>
</file>

<file path=xl/styles.xml><?xml version="1.0" encoding="utf-8"?>
<styleSheet xmlns="http://schemas.openxmlformats.org/spreadsheetml/2006/main">
  <numFmts count="4">
    <numFmt numFmtId="6" formatCode="&quot;₩&quot;#,##0;[Red]\-&quot;₩&quot;#,##0"/>
    <numFmt numFmtId="41" formatCode="_-* #,##0_-;\-* #,##0_-;_-* &quot;-&quot;_-;_-@_-"/>
    <numFmt numFmtId="176" formatCode="0.0%"/>
    <numFmt numFmtId="177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76" fontId="6" fillId="0" borderId="2" xfId="0" applyNumberFormat="1" applyFont="1" applyBorder="1">
      <alignment vertical="center"/>
    </xf>
    <xf numFmtId="41" fontId="6" fillId="0" borderId="2" xfId="1" applyFont="1" applyBorder="1">
      <alignment vertical="center"/>
    </xf>
    <xf numFmtId="177" fontId="6" fillId="0" borderId="2" xfId="1" applyNumberFormat="1" applyFont="1" applyBorder="1">
      <alignment vertical="center"/>
    </xf>
    <xf numFmtId="6" fontId="6" fillId="0" borderId="2" xfId="0" applyNumberFormat="1" applyFont="1" applyBorder="1">
      <alignment vertical="center"/>
    </xf>
    <xf numFmtId="0" fontId="6" fillId="0" borderId="2" xfId="0" quotePrefix="1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2" xfId="0" applyNumberFormat="1" applyFont="1" applyBorder="1" applyAlignment="1">
      <alignment horizontal="center" vertical="center"/>
    </xf>
    <xf numFmtId="0" fontId="6" fillId="0" borderId="2" xfId="0" quotePrefix="1" applyNumberFormat="1" applyFont="1" applyBorder="1" applyAlignment="1">
      <alignment horizontal="center" vertical="center"/>
    </xf>
    <xf numFmtId="177" fontId="6" fillId="0" borderId="2" xfId="0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7"/>
  <sheetViews>
    <sheetView tabSelected="1" workbookViewId="0"/>
  </sheetViews>
  <sheetFormatPr defaultRowHeight="16.5"/>
  <cols>
    <col min="1" max="1" width="3.375" customWidth="1"/>
    <col min="2" max="2" width="5.875" bestFit="1" customWidth="1"/>
    <col min="3" max="3" width="7.25" customWidth="1"/>
    <col min="4" max="4" width="10.625" customWidth="1"/>
    <col min="5" max="5" width="11.875" customWidth="1"/>
  </cols>
  <sheetData>
    <row r="1" spans="1:5">
      <c r="A1" s="1"/>
      <c r="B1" s="2" t="s">
        <v>0</v>
      </c>
      <c r="C1" s="2"/>
      <c r="D1" s="2"/>
      <c r="E1" s="2"/>
    </row>
    <row r="2" spans="1:5">
      <c r="A2" s="1"/>
      <c r="B2" s="3" t="s">
        <v>1</v>
      </c>
      <c r="C2" s="3" t="s">
        <v>2</v>
      </c>
      <c r="D2" s="3" t="s">
        <v>3</v>
      </c>
      <c r="E2" s="3" t="s">
        <v>4</v>
      </c>
    </row>
    <row r="3" spans="1:5">
      <c r="A3" s="1"/>
      <c r="B3" s="4">
        <v>0.06</v>
      </c>
      <c r="C3" s="5">
        <v>1</v>
      </c>
      <c r="D3" s="6">
        <v>-100000</v>
      </c>
      <c r="E3" s="7">
        <f>FV(B3/12,C3*12,D3)</f>
        <v>1233556.2372899521</v>
      </c>
    </row>
    <row r="4" spans="1:5">
      <c r="A4" s="1"/>
      <c r="B4" s="4">
        <v>0.06</v>
      </c>
      <c r="C4" s="5">
        <v>2</v>
      </c>
      <c r="D4" s="6">
        <v>-100000</v>
      </c>
      <c r="E4" s="7">
        <f>FV(B4/12,C4*12,D4)</f>
        <v>2543195.5241077552</v>
      </c>
    </row>
    <row r="5" spans="1:5">
      <c r="A5" s="1"/>
      <c r="B5" s="4">
        <v>0.06</v>
      </c>
      <c r="C5" s="5">
        <v>3</v>
      </c>
      <c r="D5" s="6">
        <v>-100000</v>
      </c>
      <c r="E5" s="7">
        <f>FV(B5/12,C5*12,D5)</f>
        <v>3933610.4964682539</v>
      </c>
    </row>
    <row r="6" spans="1:5">
      <c r="A6" s="1"/>
      <c r="B6" s="4">
        <v>0.06</v>
      </c>
      <c r="C6" s="5">
        <v>4</v>
      </c>
      <c r="D6" s="6">
        <v>-100000</v>
      </c>
      <c r="E6" s="7">
        <f>FV(B6/12,C6*12,D6)</f>
        <v>5409783.2219075887</v>
      </c>
    </row>
    <row r="7" spans="1:5">
      <c r="A7" s="1"/>
      <c r="B7" s="4">
        <v>0.06</v>
      </c>
      <c r="C7" s="5">
        <v>5</v>
      </c>
      <c r="D7" s="6">
        <v>-100000</v>
      </c>
      <c r="E7" s="7">
        <f>FV(B7/12,C7*12,D7)</f>
        <v>6977003.0509860748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7"/>
  <sheetViews>
    <sheetView workbookViewId="0"/>
  </sheetViews>
  <sheetFormatPr defaultRowHeight="16.5"/>
  <cols>
    <col min="1" max="1" width="3.375" customWidth="1"/>
    <col min="2" max="2" width="9" customWidth="1"/>
    <col min="3" max="3" width="5.5" customWidth="1"/>
    <col min="4" max="4" width="8.625" customWidth="1"/>
    <col min="5" max="5" width="11" customWidth="1"/>
  </cols>
  <sheetData>
    <row r="1" spans="1:5">
      <c r="A1" s="1"/>
      <c r="B1" s="2" t="s">
        <v>14</v>
      </c>
      <c r="C1" s="2"/>
      <c r="D1" s="2"/>
      <c r="E1" s="2"/>
    </row>
    <row r="2" spans="1:5">
      <c r="A2" s="1"/>
      <c r="B2" s="8" t="s">
        <v>5</v>
      </c>
      <c r="C2" s="8" t="s">
        <v>6</v>
      </c>
      <c r="D2" s="9" t="s">
        <v>15</v>
      </c>
      <c r="E2" s="3" t="s">
        <v>16</v>
      </c>
    </row>
    <row r="3" spans="1:5">
      <c r="A3" s="1"/>
      <c r="B3" s="10" t="s">
        <v>7</v>
      </c>
      <c r="C3" s="11" t="s">
        <v>8</v>
      </c>
      <c r="D3" s="12">
        <v>112000</v>
      </c>
      <c r="E3" s="12">
        <f>ROUNDUP(FV(4%/12,5*12,-D3,,1),-2)</f>
        <v>7450300</v>
      </c>
    </row>
    <row r="4" spans="1:5">
      <c r="A4" s="1"/>
      <c r="B4" s="10" t="s">
        <v>9</v>
      </c>
      <c r="C4" s="11" t="s">
        <v>8</v>
      </c>
      <c r="D4" s="12">
        <v>81300</v>
      </c>
      <c r="E4" s="12">
        <f>ROUNDUP(FV(4%/12,5*12,-D4,,1),-2)</f>
        <v>5408100</v>
      </c>
    </row>
    <row r="5" spans="1:5">
      <c r="A5" s="1"/>
      <c r="B5" s="10" t="s">
        <v>10</v>
      </c>
      <c r="C5" s="11" t="s">
        <v>8</v>
      </c>
      <c r="D5" s="12">
        <v>113600</v>
      </c>
      <c r="E5" s="12">
        <f>ROUNDUP(FV(4%/12,5*12,-D5,,1),-2)</f>
        <v>7556700</v>
      </c>
    </row>
    <row r="6" spans="1:5">
      <c r="A6" s="1"/>
      <c r="B6" s="10" t="s">
        <v>11</v>
      </c>
      <c r="C6" s="11" t="s">
        <v>8</v>
      </c>
      <c r="D6" s="12">
        <v>112000</v>
      </c>
      <c r="E6" s="12">
        <f>ROUNDUP(FV(4%/12,5*12,-D6,,1),-2)</f>
        <v>7450300</v>
      </c>
    </row>
    <row r="7" spans="1:5">
      <c r="A7" s="1"/>
      <c r="B7" s="10" t="s">
        <v>12</v>
      </c>
      <c r="C7" s="11" t="s">
        <v>13</v>
      </c>
      <c r="D7" s="12">
        <v>73500</v>
      </c>
      <c r="E7" s="12">
        <f>ROUNDUP(FV(4%/12,5*12,-D7,,1),-2)</f>
        <v>4889300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2011-07-03T12:45:45Z</dcterms:modified>
</cp:coreProperties>
</file>