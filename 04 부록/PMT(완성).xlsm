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9" i="2"/>
  <c r="F8"/>
  <c r="F7"/>
  <c r="F6"/>
  <c r="F5"/>
  <c r="F4"/>
  <c r="F3"/>
  <c r="E8" i="1"/>
  <c r="E7"/>
  <c r="E6"/>
  <c r="E5"/>
  <c r="E4"/>
  <c r="E3"/>
</calcChain>
</file>

<file path=xl/sharedStrings.xml><?xml version="1.0" encoding="utf-8"?>
<sst xmlns="http://schemas.openxmlformats.org/spreadsheetml/2006/main" count="27" uniqueCount="22">
  <si>
    <t>기간에 따른 대출 원리금계산</t>
    <phoneticPr fontId="3" type="noConversion"/>
  </si>
  <si>
    <t>이율</t>
    <phoneticPr fontId="3" type="noConversion"/>
  </si>
  <si>
    <t>대출 기간(월)</t>
    <phoneticPr fontId="3" type="noConversion"/>
  </si>
  <si>
    <t>금액</t>
    <phoneticPr fontId="3" type="noConversion"/>
  </si>
  <si>
    <t>납입금액</t>
    <phoneticPr fontId="3" type="noConversion"/>
  </si>
  <si>
    <t>성명</t>
    <phoneticPr fontId="3" type="noConversion"/>
  </si>
  <si>
    <t>직업</t>
    <phoneticPr fontId="3" type="noConversion"/>
  </si>
  <si>
    <t>대출기간</t>
    <phoneticPr fontId="3" type="noConversion"/>
  </si>
  <si>
    <t>대출금액</t>
    <phoneticPr fontId="3" type="noConversion"/>
  </si>
  <si>
    <t>월상환액</t>
    <phoneticPr fontId="3" type="noConversion"/>
  </si>
  <si>
    <t>고광섭</t>
    <phoneticPr fontId="3" type="noConversion"/>
  </si>
  <si>
    <t>자영업</t>
    <phoneticPr fontId="3" type="noConversion"/>
  </si>
  <si>
    <t>권창영</t>
    <phoneticPr fontId="3" type="noConversion"/>
  </si>
  <si>
    <t>회사원</t>
    <phoneticPr fontId="3" type="noConversion"/>
  </si>
  <si>
    <t>김동진</t>
    <phoneticPr fontId="3" type="noConversion"/>
  </si>
  <si>
    <t>공무원</t>
    <phoneticPr fontId="3" type="noConversion"/>
  </si>
  <si>
    <t>김병준</t>
    <phoneticPr fontId="3" type="noConversion"/>
  </si>
  <si>
    <t>의사</t>
    <phoneticPr fontId="3" type="noConversion"/>
  </si>
  <si>
    <t>김영희</t>
    <phoneticPr fontId="3" type="noConversion"/>
  </si>
  <si>
    <t>김은조</t>
    <phoneticPr fontId="3" type="noConversion"/>
  </si>
  <si>
    <t>마동탁</t>
    <phoneticPr fontId="3" type="noConversion"/>
  </si>
  <si>
    <t>[표1]</t>
    <phoneticPr fontId="3" type="noConversion"/>
  </si>
</sst>
</file>

<file path=xl/styles.xml><?xml version="1.0" encoding="utf-8"?>
<styleSheet xmlns="http://schemas.openxmlformats.org/spreadsheetml/2006/main">
  <numFmts count="4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176" fontId="6" fillId="0" borderId="1" xfId="0" applyNumberFormat="1" applyFont="1" applyBorder="1">
      <alignment vertical="center"/>
    </xf>
    <xf numFmtId="41" fontId="6" fillId="0" borderId="1" xfId="1" applyFont="1" applyBorder="1" applyAlignment="1">
      <alignment horizontal="center" vertical="center"/>
    </xf>
    <xf numFmtId="41" fontId="6" fillId="0" borderId="1" xfId="1" applyFont="1" applyBorder="1">
      <alignment vertical="center"/>
    </xf>
    <xf numFmtId="6" fontId="6" fillId="0" borderId="1" xfId="0" applyNumberFormat="1" applyFont="1" applyBorder="1">
      <alignment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42" fontId="4" fillId="0" borderId="1" xfId="2" applyFont="1" applyBorder="1">
      <alignment vertical="center"/>
    </xf>
    <xf numFmtId="6" fontId="4" fillId="0" borderId="1" xfId="0" applyNumberFormat="1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42" fontId="4" fillId="0" borderId="0" xfId="2" applyFont="1" applyBorder="1">
      <alignment vertical="center"/>
    </xf>
    <xf numFmtId="6" fontId="4" fillId="0" borderId="0" xfId="0" applyNumberFormat="1" applyFont="1" applyBorder="1">
      <alignment vertical="center"/>
    </xf>
    <xf numFmtId="0" fontId="4" fillId="0" borderId="0" xfId="0" applyFont="1" applyBorder="1" applyAlignment="1">
      <alignment horizontal="left" vertical="center"/>
    </xf>
    <xf numFmtId="176" fontId="4" fillId="0" borderId="1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8"/>
  <sheetViews>
    <sheetView tabSelected="1" workbookViewId="0">
      <selection activeCell="H13" sqref="H13"/>
    </sheetView>
  </sheetViews>
  <sheetFormatPr defaultRowHeight="16.5"/>
  <cols>
    <col min="1" max="1" width="3.375" customWidth="1"/>
    <col min="2" max="2" width="5.875" bestFit="1" customWidth="1"/>
    <col min="3" max="3" width="11.5" customWidth="1"/>
    <col min="4" max="4" width="10.25" customWidth="1"/>
    <col min="5" max="5" width="9.5" customWidth="1"/>
  </cols>
  <sheetData>
    <row r="1" spans="1:5">
      <c r="A1" s="1"/>
      <c r="B1" s="20" t="s">
        <v>0</v>
      </c>
      <c r="C1" s="20"/>
      <c r="D1" s="20"/>
      <c r="E1" s="20"/>
    </row>
    <row r="2" spans="1:5">
      <c r="A2" s="1"/>
      <c r="B2" s="2" t="s">
        <v>1</v>
      </c>
      <c r="C2" s="2" t="s">
        <v>2</v>
      </c>
      <c r="D2" s="2" t="s">
        <v>3</v>
      </c>
      <c r="E2" s="2" t="s">
        <v>4</v>
      </c>
    </row>
    <row r="3" spans="1:5">
      <c r="A3" s="1"/>
      <c r="B3" s="3">
        <v>0.06</v>
      </c>
      <c r="C3" s="4">
        <v>6</v>
      </c>
      <c r="D3" s="5">
        <v>-10000000</v>
      </c>
      <c r="E3" s="6">
        <f t="shared" ref="E3:E8" si="0">PMT(B3/12,C3,D3)</f>
        <v>1695954.5564411276</v>
      </c>
    </row>
    <row r="4" spans="1:5">
      <c r="A4" s="1"/>
      <c r="B4" s="3">
        <v>0.06</v>
      </c>
      <c r="C4" s="4">
        <v>12</v>
      </c>
      <c r="D4" s="5">
        <v>-10000000</v>
      </c>
      <c r="E4" s="6">
        <f t="shared" si="0"/>
        <v>860664.29707083246</v>
      </c>
    </row>
    <row r="5" spans="1:5">
      <c r="A5" s="1"/>
      <c r="B5" s="3">
        <v>0.06</v>
      </c>
      <c r="C5" s="4">
        <v>18</v>
      </c>
      <c r="D5" s="5">
        <v>-10000000</v>
      </c>
      <c r="E5" s="6">
        <f t="shared" si="0"/>
        <v>582317.30529689533</v>
      </c>
    </row>
    <row r="6" spans="1:5">
      <c r="A6" s="1"/>
      <c r="B6" s="3">
        <v>0.06</v>
      </c>
      <c r="C6" s="4">
        <v>24</v>
      </c>
      <c r="D6" s="5">
        <v>-10000000</v>
      </c>
      <c r="E6" s="6">
        <f t="shared" si="0"/>
        <v>443206.10252758133</v>
      </c>
    </row>
    <row r="7" spans="1:5">
      <c r="A7" s="1"/>
      <c r="B7" s="3">
        <v>0.06</v>
      </c>
      <c r="C7" s="4">
        <v>30</v>
      </c>
      <c r="D7" s="5">
        <v>-10000000</v>
      </c>
      <c r="E7" s="6">
        <f t="shared" si="0"/>
        <v>359789.18413829041</v>
      </c>
    </row>
    <row r="8" spans="1:5">
      <c r="A8" s="1"/>
      <c r="B8" s="3">
        <v>0.06</v>
      </c>
      <c r="C8" s="4">
        <v>36</v>
      </c>
      <c r="D8" s="5">
        <v>-10000000</v>
      </c>
      <c r="E8" s="6">
        <f t="shared" si="0"/>
        <v>304219.37451555976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3"/>
  <sheetViews>
    <sheetView workbookViewId="0"/>
  </sheetViews>
  <sheetFormatPr defaultRowHeight="16.5"/>
  <cols>
    <col min="1" max="1" width="3.375" customWidth="1"/>
    <col min="2" max="2" width="9.25" bestFit="1" customWidth="1"/>
    <col min="3" max="3" width="7.125" bestFit="1" customWidth="1"/>
    <col min="4" max="4" width="9" bestFit="1" customWidth="1"/>
    <col min="5" max="5" width="13.5" bestFit="1" customWidth="1"/>
    <col min="6" max="6" width="9.25" bestFit="1" customWidth="1"/>
    <col min="7" max="7" width="8.75" customWidth="1"/>
  </cols>
  <sheetData>
    <row r="1" spans="1:7">
      <c r="A1" s="7"/>
      <c r="B1" s="7"/>
      <c r="C1" s="7"/>
      <c r="D1" s="7"/>
      <c r="E1" s="7"/>
      <c r="F1" s="7"/>
      <c r="G1" s="7"/>
    </row>
    <row r="2" spans="1:7">
      <c r="A2" s="7"/>
      <c r="B2" s="8" t="s">
        <v>5</v>
      </c>
      <c r="C2" s="9" t="s">
        <v>6</v>
      </c>
      <c r="D2" s="9" t="s">
        <v>7</v>
      </c>
      <c r="E2" s="9" t="s">
        <v>8</v>
      </c>
      <c r="F2" s="10" t="s">
        <v>9</v>
      </c>
      <c r="G2" s="7"/>
    </row>
    <row r="3" spans="1:7">
      <c r="A3" s="7"/>
      <c r="B3" s="9" t="s">
        <v>10</v>
      </c>
      <c r="C3" s="9" t="s">
        <v>11</v>
      </c>
      <c r="D3" s="11">
        <v>3</v>
      </c>
      <c r="E3" s="12">
        <v>5000000</v>
      </c>
      <c r="F3" s="13">
        <f t="shared" ref="F3:F9" si="0">PMT(HLOOKUP(D3,$C$12:$G$13,2)/12,D3*12,-E3)</f>
        <v>150979.50902155117</v>
      </c>
      <c r="G3" s="7"/>
    </row>
    <row r="4" spans="1:7">
      <c r="A4" s="7"/>
      <c r="B4" s="9" t="s">
        <v>12</v>
      </c>
      <c r="C4" s="9" t="s">
        <v>13</v>
      </c>
      <c r="D4" s="11">
        <v>2</v>
      </c>
      <c r="E4" s="12">
        <v>7000000</v>
      </c>
      <c r="F4" s="13">
        <f t="shared" si="0"/>
        <v>310244.27176930691</v>
      </c>
      <c r="G4" s="7"/>
    </row>
    <row r="5" spans="1:7">
      <c r="A5" s="7"/>
      <c r="B5" s="9" t="s">
        <v>14</v>
      </c>
      <c r="C5" s="9" t="s">
        <v>15</v>
      </c>
      <c r="D5" s="11">
        <v>2</v>
      </c>
      <c r="E5" s="12">
        <v>5500000</v>
      </c>
      <c r="F5" s="13">
        <f t="shared" si="0"/>
        <v>243763.35639016976</v>
      </c>
      <c r="G5" s="7"/>
    </row>
    <row r="6" spans="1:7">
      <c r="A6" s="7"/>
      <c r="B6" s="9" t="s">
        <v>16</v>
      </c>
      <c r="C6" s="9" t="s">
        <v>17</v>
      </c>
      <c r="D6" s="11">
        <v>4</v>
      </c>
      <c r="E6" s="12">
        <v>2000000</v>
      </c>
      <c r="F6" s="13">
        <f t="shared" si="0"/>
        <v>46058.587141292868</v>
      </c>
      <c r="G6" s="7"/>
    </row>
    <row r="7" spans="1:7">
      <c r="A7" s="7"/>
      <c r="B7" s="9" t="s">
        <v>18</v>
      </c>
      <c r="C7" s="9" t="s">
        <v>11</v>
      </c>
      <c r="D7" s="11">
        <v>1</v>
      </c>
      <c r="E7" s="12">
        <v>5000000</v>
      </c>
      <c r="F7" s="13">
        <f t="shared" si="0"/>
        <v>431482.08480141155</v>
      </c>
      <c r="G7" s="7"/>
    </row>
    <row r="8" spans="1:7">
      <c r="A8" s="7"/>
      <c r="B8" s="9" t="s">
        <v>19</v>
      </c>
      <c r="C8" s="9" t="s">
        <v>17</v>
      </c>
      <c r="D8" s="11">
        <v>2</v>
      </c>
      <c r="E8" s="12">
        <v>10000000</v>
      </c>
      <c r="F8" s="13">
        <f t="shared" si="0"/>
        <v>443206.10252758133</v>
      </c>
      <c r="G8" s="7"/>
    </row>
    <row r="9" spans="1:7">
      <c r="A9" s="7"/>
      <c r="B9" s="9" t="s">
        <v>20</v>
      </c>
      <c r="C9" s="9" t="s">
        <v>11</v>
      </c>
      <c r="D9" s="11">
        <v>1</v>
      </c>
      <c r="E9" s="12">
        <v>2000000</v>
      </c>
      <c r="F9" s="13">
        <f t="shared" si="0"/>
        <v>172592.83392056462</v>
      </c>
      <c r="G9" s="7"/>
    </row>
    <row r="10" spans="1:7">
      <c r="A10" s="7"/>
      <c r="B10" s="14"/>
      <c r="C10" s="14"/>
      <c r="D10" s="15"/>
      <c r="E10" s="16"/>
      <c r="F10" s="17"/>
      <c r="G10" s="7"/>
    </row>
    <row r="11" spans="1:7">
      <c r="A11" s="15"/>
      <c r="B11" s="18" t="s">
        <v>21</v>
      </c>
      <c r="C11" s="14"/>
      <c r="D11" s="14"/>
      <c r="E11" s="15"/>
      <c r="F11" s="15"/>
      <c r="G11" s="15"/>
    </row>
    <row r="12" spans="1:7">
      <c r="A12" s="7"/>
      <c r="B12" s="9" t="s">
        <v>7</v>
      </c>
      <c r="C12" s="9">
        <v>1</v>
      </c>
      <c r="D12" s="9">
        <v>2</v>
      </c>
      <c r="E12" s="9">
        <v>3</v>
      </c>
      <c r="F12" s="9">
        <v>4</v>
      </c>
      <c r="G12" s="9">
        <v>5</v>
      </c>
    </row>
    <row r="13" spans="1:7">
      <c r="A13" s="7"/>
      <c r="B13" s="9" t="s">
        <v>1</v>
      </c>
      <c r="C13" s="19">
        <v>6.5000000000000002E-2</v>
      </c>
      <c r="D13" s="19">
        <v>0.06</v>
      </c>
      <c r="E13" s="19">
        <v>5.5E-2</v>
      </c>
      <c r="F13" s="19">
        <v>0.05</v>
      </c>
      <c r="G13" s="19">
        <v>4.4999999999999998E-2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2011-09-05T10:50:18Z</dcterms:modified>
</cp:coreProperties>
</file>