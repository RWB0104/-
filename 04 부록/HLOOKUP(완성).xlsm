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12" i="2"/>
  <c r="E11"/>
  <c r="E10"/>
  <c r="E9"/>
  <c r="E8"/>
  <c r="D7" i="1"/>
  <c r="D6"/>
  <c r="D5"/>
  <c r="D4"/>
  <c r="D3"/>
</calcChain>
</file>

<file path=xl/sharedStrings.xml><?xml version="1.0" encoding="utf-8"?>
<sst xmlns="http://schemas.openxmlformats.org/spreadsheetml/2006/main" count="40" uniqueCount="30">
  <si>
    <t>상여급 지급</t>
    <phoneticPr fontId="3" type="noConversion"/>
  </si>
  <si>
    <t>이름</t>
    <phoneticPr fontId="3" type="noConversion"/>
  </si>
  <si>
    <t>직위</t>
    <phoneticPr fontId="3" type="noConversion"/>
  </si>
  <si>
    <t>상여금</t>
    <phoneticPr fontId="3" type="noConversion"/>
  </si>
  <si>
    <t>김신락</t>
    <phoneticPr fontId="3" type="noConversion"/>
  </si>
  <si>
    <t>사원</t>
    <phoneticPr fontId="3" type="noConversion"/>
  </si>
  <si>
    <t>홍길동</t>
    <phoneticPr fontId="3" type="noConversion"/>
  </si>
  <si>
    <t>부장</t>
    <phoneticPr fontId="3" type="noConversion"/>
  </si>
  <si>
    <t>김천만</t>
    <phoneticPr fontId="3" type="noConversion"/>
  </si>
  <si>
    <t>과장</t>
    <phoneticPr fontId="3" type="noConversion"/>
  </si>
  <si>
    <t>신선해</t>
    <phoneticPr fontId="3" type="noConversion"/>
  </si>
  <si>
    <t>대리</t>
    <phoneticPr fontId="3" type="noConversion"/>
  </si>
  <si>
    <t>막막해</t>
    <phoneticPr fontId="3" type="noConversion"/>
  </si>
  <si>
    <t>직위별 지급 기준</t>
    <phoneticPr fontId="3" type="noConversion"/>
  </si>
  <si>
    <t>초과수당</t>
    <phoneticPr fontId="3" type="noConversion"/>
  </si>
  <si>
    <t>홍길동</t>
  </si>
  <si>
    <t>정하영</t>
  </si>
  <si>
    <t>이도현</t>
  </si>
  <si>
    <t>정현석</t>
  </si>
  <si>
    <t>이지영</t>
  </si>
  <si>
    <t>일별야근수당</t>
    <phoneticPr fontId="3" type="noConversion"/>
  </si>
  <si>
    <t>구분(야근일수)</t>
    <phoneticPr fontId="3" type="noConversion"/>
  </si>
  <si>
    <t>수당</t>
    <phoneticPr fontId="3" type="noConversion"/>
  </si>
  <si>
    <t>사원별 수당 현황</t>
    <phoneticPr fontId="3" type="noConversion"/>
  </si>
  <si>
    <t>부서</t>
    <phoneticPr fontId="3" type="noConversion"/>
  </si>
  <si>
    <t>야근일수</t>
    <phoneticPr fontId="3" type="noConversion"/>
  </si>
  <si>
    <t>총무부</t>
    <phoneticPr fontId="3" type="noConversion"/>
  </si>
  <si>
    <t>인사부</t>
    <phoneticPr fontId="3" type="noConversion"/>
  </si>
  <si>
    <t>영업부</t>
    <phoneticPr fontId="3" type="noConversion"/>
  </si>
  <si>
    <t>총무부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</si>
</sst>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1" fontId="6" fillId="0" borderId="4" xfId="1" applyFont="1" applyFill="1" applyBorder="1" applyAlignment="1">
      <alignment horizontal="center" vertical="center"/>
    </xf>
    <xf numFmtId="41" fontId="6" fillId="3" borderId="5" xfId="1" applyFont="1" applyFill="1" applyBorder="1" applyAlignment="1">
      <alignment horizontal="center" vertical="center"/>
    </xf>
    <xf numFmtId="41" fontId="6" fillId="3" borderId="6" xfId="1" applyFont="1" applyFill="1" applyBorder="1" applyAlignment="1">
      <alignment horizontal="center" vertical="center"/>
    </xf>
    <xf numFmtId="41" fontId="6" fillId="0" borderId="7" xfId="1" applyFont="1" applyFill="1" applyBorder="1" applyAlignment="1">
      <alignment horizontal="center" vertical="center"/>
    </xf>
    <xf numFmtId="41" fontId="6" fillId="0" borderId="2" xfId="1" applyFont="1" applyFill="1" applyBorder="1">
      <alignment vertical="center"/>
    </xf>
    <xf numFmtId="41" fontId="6" fillId="0" borderId="8" xfId="1" applyFont="1" applyFill="1" applyBorder="1">
      <alignment vertical="center"/>
    </xf>
    <xf numFmtId="41" fontId="6" fillId="0" borderId="9" xfId="1" applyFont="1" applyFill="1" applyBorder="1" applyAlignment="1">
      <alignment horizontal="center" vertical="center"/>
    </xf>
    <xf numFmtId="41" fontId="6" fillId="0" borderId="10" xfId="1" applyFont="1" applyFill="1" applyBorder="1">
      <alignment vertical="center"/>
    </xf>
    <xf numFmtId="41" fontId="6" fillId="0" borderId="11" xfId="1" applyFont="1" applyFill="1" applyBorder="1">
      <alignment vertical="center"/>
    </xf>
    <xf numFmtId="0" fontId="5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41" fontId="4" fillId="0" borderId="2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tabSelected="1" workbookViewId="0"/>
  </sheetViews>
  <sheetFormatPr defaultRowHeight="16.5"/>
  <sheetData>
    <row r="1" spans="1:5">
      <c r="A1" s="1"/>
      <c r="B1" s="2" t="s">
        <v>0</v>
      </c>
      <c r="C1" s="2"/>
      <c r="D1" s="2"/>
      <c r="E1" s="1"/>
    </row>
    <row r="2" spans="1:5">
      <c r="A2" s="1"/>
      <c r="B2" s="3" t="s">
        <v>1</v>
      </c>
      <c r="C2" s="3" t="s">
        <v>2</v>
      </c>
      <c r="D2" s="3" t="s">
        <v>3</v>
      </c>
      <c r="E2" s="1"/>
    </row>
    <row r="3" spans="1:5">
      <c r="A3" s="1"/>
      <c r="B3" s="4" t="s">
        <v>4</v>
      </c>
      <c r="C3" s="4" t="s">
        <v>5</v>
      </c>
      <c r="D3" s="4">
        <f>HLOOKUP(C3,$B$10:$E$12,2,FALSE)</f>
        <v>500000</v>
      </c>
      <c r="E3" s="1"/>
    </row>
    <row r="4" spans="1:5">
      <c r="A4" s="1"/>
      <c r="B4" s="4" t="s">
        <v>6</v>
      </c>
      <c r="C4" s="4" t="s">
        <v>7</v>
      </c>
      <c r="D4" s="4">
        <f>HLOOKUP(C4,$B$10:$E$12,2,FALSE)</f>
        <v>700000</v>
      </c>
      <c r="E4" s="1"/>
    </row>
    <row r="5" spans="1:5">
      <c r="A5" s="1"/>
      <c r="B5" s="4" t="s">
        <v>8</v>
      </c>
      <c r="C5" s="4" t="s">
        <v>9</v>
      </c>
      <c r="D5" s="4">
        <f>HLOOKUP(C5,$B$10:$E$12,2,FALSE)</f>
        <v>650000</v>
      </c>
      <c r="E5" s="1"/>
    </row>
    <row r="6" spans="1:5">
      <c r="A6" s="1"/>
      <c r="B6" s="4" t="s">
        <v>10</v>
      </c>
      <c r="C6" s="4" t="s">
        <v>11</v>
      </c>
      <c r="D6" s="4">
        <f>HLOOKUP(C6,$B$10:$E$12,2,FALSE)</f>
        <v>600000</v>
      </c>
      <c r="E6" s="1"/>
    </row>
    <row r="7" spans="1:5">
      <c r="A7" s="1"/>
      <c r="B7" s="4" t="s">
        <v>12</v>
      </c>
      <c r="C7" s="4" t="s">
        <v>5</v>
      </c>
      <c r="D7" s="4">
        <f>HLOOKUP(C7,$B$10:$E$12,2,FALSE)</f>
        <v>500000</v>
      </c>
      <c r="E7" s="1"/>
    </row>
    <row r="8" spans="1:5">
      <c r="A8" s="1"/>
      <c r="B8" s="1"/>
      <c r="C8" s="1"/>
      <c r="D8" s="1"/>
      <c r="E8" s="1"/>
    </row>
    <row r="9" spans="1:5" ht="17.25" thickBot="1">
      <c r="A9" s="5" t="s">
        <v>13</v>
      </c>
      <c r="B9" s="5"/>
      <c r="C9" s="5"/>
      <c r="D9" s="5"/>
      <c r="E9" s="5"/>
    </row>
    <row r="10" spans="1:5">
      <c r="A10" s="6" t="s">
        <v>2</v>
      </c>
      <c r="B10" s="7" t="s">
        <v>5</v>
      </c>
      <c r="C10" s="7" t="s">
        <v>11</v>
      </c>
      <c r="D10" s="7" t="s">
        <v>9</v>
      </c>
      <c r="E10" s="8" t="s">
        <v>7</v>
      </c>
    </row>
    <row r="11" spans="1:5">
      <c r="A11" s="9" t="s">
        <v>3</v>
      </c>
      <c r="B11" s="10">
        <v>500000</v>
      </c>
      <c r="C11" s="10">
        <v>600000</v>
      </c>
      <c r="D11" s="10">
        <v>650000</v>
      </c>
      <c r="E11" s="11">
        <v>700000</v>
      </c>
    </row>
    <row r="12" spans="1:5" ht="17.25" thickBot="1">
      <c r="A12" s="12" t="s">
        <v>14</v>
      </c>
      <c r="B12" s="13">
        <v>3500</v>
      </c>
      <c r="C12" s="13">
        <v>4500</v>
      </c>
      <c r="D12" s="13">
        <v>5500</v>
      </c>
      <c r="E12" s="14">
        <v>6000</v>
      </c>
    </row>
  </sheetData>
  <mergeCells count="2">
    <mergeCell ref="B1:D1"/>
    <mergeCell ref="A9:E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2"/>
  <sheetViews>
    <sheetView workbookViewId="0"/>
  </sheetViews>
  <sheetFormatPr defaultRowHeight="16.5"/>
  <cols>
    <col min="1" max="1" width="2" customWidth="1"/>
    <col min="2" max="2" width="15" customWidth="1"/>
    <col min="3" max="3" width="7.375" bestFit="1" customWidth="1"/>
    <col min="4" max="4" width="9.25" bestFit="1" customWidth="1"/>
    <col min="5" max="5" width="11.125" bestFit="1" customWidth="1"/>
    <col min="6" max="6" width="7.37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5" t="s">
        <v>20</v>
      </c>
      <c r="C2" s="1"/>
      <c r="D2" s="1"/>
      <c r="E2" s="1"/>
      <c r="F2" s="1"/>
    </row>
    <row r="3" spans="1:6">
      <c r="A3" s="1"/>
      <c r="B3" s="16" t="s">
        <v>21</v>
      </c>
      <c r="C3" s="16">
        <v>1</v>
      </c>
      <c r="D3" s="16">
        <v>5</v>
      </c>
      <c r="E3" s="16">
        <v>15</v>
      </c>
      <c r="F3" s="16">
        <v>25</v>
      </c>
    </row>
    <row r="4" spans="1:6">
      <c r="A4" s="1"/>
      <c r="B4" s="16" t="s">
        <v>22</v>
      </c>
      <c r="C4" s="17">
        <v>5000</v>
      </c>
      <c r="D4" s="17">
        <v>10000</v>
      </c>
      <c r="E4" s="17">
        <v>15000</v>
      </c>
      <c r="F4" s="17">
        <v>20000</v>
      </c>
    </row>
    <row r="5" spans="1:6">
      <c r="A5" s="1"/>
      <c r="B5" s="1"/>
      <c r="C5" s="1"/>
      <c r="D5" s="1"/>
      <c r="E5" s="1"/>
      <c r="F5" s="1"/>
    </row>
    <row r="6" spans="1:6">
      <c r="A6" s="1"/>
      <c r="B6" s="15" t="s">
        <v>23</v>
      </c>
      <c r="C6" s="1"/>
      <c r="D6" s="1"/>
      <c r="E6" s="1"/>
      <c r="F6" s="1"/>
    </row>
    <row r="7" spans="1:6">
      <c r="A7" s="1"/>
      <c r="B7" s="18" t="s">
        <v>1</v>
      </c>
      <c r="C7" s="18" t="s">
        <v>24</v>
      </c>
      <c r="D7" s="18" t="s">
        <v>25</v>
      </c>
      <c r="E7" s="19" t="s">
        <v>22</v>
      </c>
      <c r="F7" s="1"/>
    </row>
    <row r="8" spans="1:6">
      <c r="A8" s="1"/>
      <c r="B8" s="16" t="s">
        <v>15</v>
      </c>
      <c r="C8" s="16" t="s">
        <v>26</v>
      </c>
      <c r="D8" s="16">
        <v>10</v>
      </c>
      <c r="E8" s="20">
        <f>D8*HLOOKUP(D8,$C$3:$F$4,2)</f>
        <v>100000</v>
      </c>
      <c r="F8" s="1"/>
    </row>
    <row r="9" spans="1:6">
      <c r="A9" s="1"/>
      <c r="B9" s="16" t="s">
        <v>16</v>
      </c>
      <c r="C9" s="16" t="s">
        <v>27</v>
      </c>
      <c r="D9" s="16">
        <v>3</v>
      </c>
      <c r="E9" s="20">
        <f>D9*HLOOKUP(D9,$C$3:$F$4,2)</f>
        <v>15000</v>
      </c>
      <c r="F9" s="1"/>
    </row>
    <row r="10" spans="1:6">
      <c r="A10" s="1"/>
      <c r="B10" s="16" t="s">
        <v>17</v>
      </c>
      <c r="C10" s="16" t="s">
        <v>28</v>
      </c>
      <c r="D10" s="16">
        <v>2</v>
      </c>
      <c r="E10" s="20">
        <f>D10*HLOOKUP(D10,$C$3:$F$4,2)</f>
        <v>10000</v>
      </c>
      <c r="F10" s="1"/>
    </row>
    <row r="11" spans="1:6">
      <c r="A11" s="1"/>
      <c r="B11" s="16" t="s">
        <v>18</v>
      </c>
      <c r="C11" s="16" t="s">
        <v>29</v>
      </c>
      <c r="D11" s="16">
        <v>5</v>
      </c>
      <c r="E11" s="20">
        <f>D11*HLOOKUP(D11,$C$3:$F$4,2)</f>
        <v>50000</v>
      </c>
      <c r="F11" s="1"/>
    </row>
    <row r="12" spans="1:6">
      <c r="A12" s="1"/>
      <c r="B12" s="16" t="s">
        <v>19</v>
      </c>
      <c r="C12" s="16" t="s">
        <v>27</v>
      </c>
      <c r="D12" s="16">
        <v>10</v>
      </c>
      <c r="E12" s="20">
        <f>D12*HLOOKUP(D12,$C$3:$F$4,2)</f>
        <v>100000</v>
      </c>
      <c r="F1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2011-07-03T12:47:26Z</dcterms:modified>
</cp:coreProperties>
</file>