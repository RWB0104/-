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H9" i="2"/>
  <c r="H8"/>
  <c r="H7"/>
  <c r="H6"/>
  <c r="H5"/>
  <c r="H4"/>
  <c r="H3"/>
  <c r="D6" i="1"/>
  <c r="D5"/>
  <c r="D4"/>
  <c r="D3"/>
</calcChain>
</file>

<file path=xl/sharedStrings.xml><?xml version="1.0" encoding="utf-8"?>
<sst xmlns="http://schemas.openxmlformats.org/spreadsheetml/2006/main" count="32" uniqueCount="32">
  <si>
    <t>OR 진리표</t>
    <phoneticPr fontId="3" type="noConversion"/>
  </si>
  <si>
    <t>A</t>
    <phoneticPr fontId="3" type="noConversion"/>
  </si>
  <si>
    <t>B</t>
    <phoneticPr fontId="3" type="noConversion"/>
  </si>
  <si>
    <t>X</t>
    <phoneticPr fontId="3" type="noConversion"/>
  </si>
  <si>
    <t>정화선</t>
  </si>
  <si>
    <t>박세람</t>
  </si>
  <si>
    <t>추영임</t>
  </si>
  <si>
    <t>김우승</t>
  </si>
  <si>
    <t>인수연</t>
  </si>
  <si>
    <t>정유진</t>
  </si>
  <si>
    <t>김지연</t>
  </si>
  <si>
    <t>성명</t>
    <phoneticPr fontId="3" type="noConversion"/>
  </si>
  <si>
    <t>결제</t>
    <phoneticPr fontId="3" type="noConversion"/>
  </si>
  <si>
    <t>도소매</t>
    <phoneticPr fontId="3" type="noConversion"/>
  </si>
  <si>
    <t>포인트</t>
    <phoneticPr fontId="3" type="noConversion"/>
  </si>
  <si>
    <t>정가</t>
    <phoneticPr fontId="3" type="noConversion"/>
  </si>
  <si>
    <t>수량</t>
    <phoneticPr fontId="3" type="noConversion"/>
  </si>
  <si>
    <t>할인액</t>
    <phoneticPr fontId="3" type="noConversion"/>
  </si>
  <si>
    <t>현금</t>
    <phoneticPr fontId="3" type="noConversion"/>
  </si>
  <si>
    <t>소매</t>
    <phoneticPr fontId="3" type="noConversion"/>
  </si>
  <si>
    <t>신용</t>
    <phoneticPr fontId="3" type="noConversion"/>
  </si>
  <si>
    <t>도매</t>
    <phoneticPr fontId="3" type="noConversion"/>
  </si>
  <si>
    <t>세금</t>
    <phoneticPr fontId="3" type="noConversion"/>
  </si>
  <si>
    <t>도매</t>
    <phoneticPr fontId="3" type="noConversion"/>
  </si>
  <si>
    <t>현금</t>
    <phoneticPr fontId="3" type="noConversion"/>
  </si>
  <si>
    <t>도매</t>
    <phoneticPr fontId="3" type="noConversion"/>
  </si>
  <si>
    <t>신용</t>
    <phoneticPr fontId="3" type="noConversion"/>
  </si>
  <si>
    <t>도매</t>
    <phoneticPr fontId="3" type="noConversion"/>
  </si>
  <si>
    <t>세금</t>
    <phoneticPr fontId="3" type="noConversion"/>
  </si>
  <si>
    <t>소매</t>
    <phoneticPr fontId="3" type="noConversion"/>
  </si>
  <si>
    <t>제휴</t>
    <phoneticPr fontId="3" type="noConversion"/>
  </si>
  <si>
    <t>소매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</si>
</sst>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>
      <alignment vertical="center"/>
    </xf>
    <xf numFmtId="41" fontId="5" fillId="0" borderId="2" xfId="1" applyFont="1" applyBorder="1" applyAlignment="1">
      <alignment horizontal="center" vertical="center"/>
    </xf>
    <xf numFmtId="41" fontId="5" fillId="0" borderId="2" xfId="1" applyFont="1" applyBorder="1">
      <alignment vertical="center"/>
    </xf>
    <xf numFmtId="41" fontId="5" fillId="0" borderId="2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D6"/>
  <sheetViews>
    <sheetView tabSelected="1" workbookViewId="0"/>
  </sheetViews>
  <sheetFormatPr defaultRowHeight="16.5"/>
  <cols>
    <col min="1" max="1" width="1.75" customWidth="1"/>
    <col min="2" max="4" width="8.875" customWidth="1"/>
  </cols>
  <sheetData>
    <row r="1" spans="2:4">
      <c r="B1" s="9" t="s">
        <v>0</v>
      </c>
      <c r="C1" s="9"/>
      <c r="D1" s="9"/>
    </row>
    <row r="2" spans="2:4">
      <c r="B2" s="10" t="s">
        <v>1</v>
      </c>
      <c r="C2" s="10" t="s">
        <v>2</v>
      </c>
      <c r="D2" s="10" t="s">
        <v>3</v>
      </c>
    </row>
    <row r="3" spans="2:4">
      <c r="B3" s="1" t="b">
        <v>0</v>
      </c>
      <c r="C3" s="1" t="b">
        <v>0</v>
      </c>
      <c r="D3" s="1" t="b">
        <f>OR(B3:C3)</f>
        <v>0</v>
      </c>
    </row>
    <row r="4" spans="2:4">
      <c r="B4" s="1" t="b">
        <v>1</v>
      </c>
      <c r="C4" s="1" t="b">
        <v>0</v>
      </c>
      <c r="D4" s="1" t="b">
        <f>OR(B4:C4)</f>
        <v>1</v>
      </c>
    </row>
    <row r="5" spans="2:4">
      <c r="B5" s="1" t="b">
        <v>0</v>
      </c>
      <c r="C5" s="1" t="b">
        <v>1</v>
      </c>
      <c r="D5" s="1" t="b">
        <f>OR(B5:C5)</f>
        <v>1</v>
      </c>
    </row>
    <row r="6" spans="2:4">
      <c r="B6" s="1" t="b">
        <v>1</v>
      </c>
      <c r="C6" s="1" t="b">
        <v>1</v>
      </c>
      <c r="D6" s="1" t="b">
        <f>OR(B6:C6)</f>
        <v>1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H9"/>
  <sheetViews>
    <sheetView workbookViewId="0"/>
  </sheetViews>
  <sheetFormatPr defaultRowHeight="16.5"/>
  <cols>
    <col min="1" max="1" width="3.375" customWidth="1"/>
    <col min="2" max="2" width="7.375" bestFit="1" customWidth="1"/>
    <col min="3" max="3" width="5.5" bestFit="1" customWidth="1"/>
    <col min="4" max="4" width="7.375" bestFit="1" customWidth="1"/>
    <col min="5" max="5" width="11.125" bestFit="1" customWidth="1"/>
    <col min="6" max="6" width="10" bestFit="1" customWidth="1"/>
    <col min="7" max="7" width="6" bestFit="1" customWidth="1"/>
    <col min="8" max="8" width="11.125" customWidth="1"/>
  </cols>
  <sheetData>
    <row r="1" spans="1:8">
      <c r="A1" s="2"/>
      <c r="B1" s="2"/>
      <c r="C1" s="2"/>
      <c r="D1" s="2"/>
      <c r="E1" s="2"/>
      <c r="F1" s="2"/>
      <c r="G1" s="2"/>
      <c r="H1" s="2"/>
    </row>
    <row r="2" spans="1:8">
      <c r="A2" s="2"/>
      <c r="B2" s="3" t="s">
        <v>11</v>
      </c>
      <c r="C2" s="3" t="s">
        <v>12</v>
      </c>
      <c r="D2" s="3" t="s">
        <v>13</v>
      </c>
      <c r="E2" s="3" t="s">
        <v>14</v>
      </c>
      <c r="F2" s="3" t="s">
        <v>15</v>
      </c>
      <c r="G2" s="3" t="s">
        <v>16</v>
      </c>
      <c r="H2" s="4" t="s">
        <v>17</v>
      </c>
    </row>
    <row r="3" spans="1:8">
      <c r="A3" s="2"/>
      <c r="B3" s="5" t="s">
        <v>4</v>
      </c>
      <c r="C3" s="3" t="s">
        <v>18</v>
      </c>
      <c r="D3" s="3" t="s">
        <v>19</v>
      </c>
      <c r="E3" s="6">
        <v>30000</v>
      </c>
      <c r="F3" s="7">
        <v>12480</v>
      </c>
      <c r="G3" s="7">
        <v>15</v>
      </c>
      <c r="H3" s="8">
        <f t="shared" ref="H3:H9" si="0">MIN(F3*G3*IF(OR(C3="제휴",C3="현금"),30%,10%),E3)</f>
        <v>30000</v>
      </c>
    </row>
    <row r="4" spans="1:8">
      <c r="A4" s="2"/>
      <c r="B4" s="5" t="s">
        <v>5</v>
      </c>
      <c r="C4" s="3" t="s">
        <v>20</v>
      </c>
      <c r="D4" s="3" t="s">
        <v>21</v>
      </c>
      <c r="E4" s="6">
        <v>50000</v>
      </c>
      <c r="F4" s="7">
        <v>7040</v>
      </c>
      <c r="G4" s="7">
        <v>6</v>
      </c>
      <c r="H4" s="8">
        <f t="shared" si="0"/>
        <v>4224</v>
      </c>
    </row>
    <row r="5" spans="1:8">
      <c r="A5" s="2"/>
      <c r="B5" s="5" t="s">
        <v>6</v>
      </c>
      <c r="C5" s="3" t="s">
        <v>22</v>
      </c>
      <c r="D5" s="3" t="s">
        <v>23</v>
      </c>
      <c r="E5" s="6">
        <v>12000</v>
      </c>
      <c r="F5" s="7">
        <v>19520</v>
      </c>
      <c r="G5" s="7">
        <v>18</v>
      </c>
      <c r="H5" s="8">
        <f t="shared" si="0"/>
        <v>12000</v>
      </c>
    </row>
    <row r="6" spans="1:8">
      <c r="A6" s="2"/>
      <c r="B6" s="5" t="s">
        <v>7</v>
      </c>
      <c r="C6" s="3" t="s">
        <v>24</v>
      </c>
      <c r="D6" s="3" t="s">
        <v>25</v>
      </c>
      <c r="E6" s="6">
        <v>500000</v>
      </c>
      <c r="F6" s="7">
        <v>30400</v>
      </c>
      <c r="G6" s="7">
        <v>26</v>
      </c>
      <c r="H6" s="8">
        <f t="shared" si="0"/>
        <v>237120</v>
      </c>
    </row>
    <row r="7" spans="1:8">
      <c r="A7" s="2"/>
      <c r="B7" s="5" t="s">
        <v>8</v>
      </c>
      <c r="C7" s="3" t="s">
        <v>26</v>
      </c>
      <c r="D7" s="3" t="s">
        <v>27</v>
      </c>
      <c r="E7" s="6">
        <v>0</v>
      </c>
      <c r="F7" s="7">
        <v>4160</v>
      </c>
      <c r="G7" s="7">
        <v>6</v>
      </c>
      <c r="H7" s="8">
        <f t="shared" si="0"/>
        <v>0</v>
      </c>
    </row>
    <row r="8" spans="1:8">
      <c r="A8" s="2"/>
      <c r="B8" s="5" t="s">
        <v>9</v>
      </c>
      <c r="C8" s="3" t="s">
        <v>28</v>
      </c>
      <c r="D8" s="3" t="s">
        <v>29</v>
      </c>
      <c r="E8" s="6">
        <v>350000</v>
      </c>
      <c r="F8" s="7">
        <v>26560</v>
      </c>
      <c r="G8" s="7">
        <v>70</v>
      </c>
      <c r="H8" s="8">
        <f t="shared" si="0"/>
        <v>185920</v>
      </c>
    </row>
    <row r="9" spans="1:8">
      <c r="A9" s="2"/>
      <c r="B9" s="5" t="s">
        <v>10</v>
      </c>
      <c r="C9" s="3" t="s">
        <v>30</v>
      </c>
      <c r="D9" s="3" t="s">
        <v>31</v>
      </c>
      <c r="E9" s="6">
        <v>4200</v>
      </c>
      <c r="F9" s="7">
        <v>26240</v>
      </c>
      <c r="G9" s="7">
        <v>57</v>
      </c>
      <c r="H9" s="8">
        <f t="shared" si="0"/>
        <v>4200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2011-07-04T04:25:52Z</dcterms:modified>
</cp:coreProperties>
</file>