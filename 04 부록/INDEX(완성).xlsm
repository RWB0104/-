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C7" i="2"/>
  <c r="C6"/>
  <c r="C5"/>
  <c r="C4"/>
  <c r="C3"/>
  <c r="E7" i="1"/>
  <c r="E6"/>
  <c r="E5"/>
  <c r="E4"/>
  <c r="E3"/>
</calcChain>
</file>

<file path=xl/sharedStrings.xml><?xml version="1.0" encoding="utf-8"?>
<sst xmlns="http://schemas.openxmlformats.org/spreadsheetml/2006/main" count="38" uniqueCount="34">
  <si>
    <t>급여 지급</t>
    <phoneticPr fontId="3" type="noConversion"/>
  </si>
  <si>
    <t>성명</t>
    <phoneticPr fontId="3" type="noConversion"/>
  </si>
  <si>
    <t>직급</t>
    <phoneticPr fontId="3" type="noConversion"/>
  </si>
  <si>
    <t>호봉</t>
    <phoneticPr fontId="3" type="noConversion"/>
  </si>
  <si>
    <t>급여</t>
    <phoneticPr fontId="3" type="noConversion"/>
  </si>
  <si>
    <t>김신락</t>
    <phoneticPr fontId="3" type="noConversion"/>
  </si>
  <si>
    <t>홍길동</t>
    <phoneticPr fontId="3" type="noConversion"/>
  </si>
  <si>
    <t>김천만</t>
    <phoneticPr fontId="3" type="noConversion"/>
  </si>
  <si>
    <t>신선해</t>
    <phoneticPr fontId="3" type="noConversion"/>
  </si>
  <si>
    <t>막막해</t>
    <phoneticPr fontId="3" type="noConversion"/>
  </si>
  <si>
    <t>급여 기준표</t>
    <phoneticPr fontId="3" type="noConversion"/>
  </si>
  <si>
    <t>구분</t>
    <phoneticPr fontId="3" type="noConversion"/>
  </si>
  <si>
    <t>1호봉</t>
    <phoneticPr fontId="3" type="noConversion"/>
  </si>
  <si>
    <t>2호봉</t>
    <phoneticPr fontId="3" type="noConversion"/>
  </si>
  <si>
    <t>3호봉</t>
    <phoneticPr fontId="3" type="noConversion"/>
  </si>
  <si>
    <t>1급</t>
    <phoneticPr fontId="3" type="noConversion"/>
  </si>
  <si>
    <t>2급</t>
    <phoneticPr fontId="3" type="noConversion"/>
  </si>
  <si>
    <t>3급</t>
    <phoneticPr fontId="3" type="noConversion"/>
  </si>
  <si>
    <t>4급</t>
    <phoneticPr fontId="3" type="noConversion"/>
  </si>
  <si>
    <t>5급</t>
    <phoneticPr fontId="3" type="noConversion"/>
  </si>
  <si>
    <t>매장번호</t>
  </si>
  <si>
    <t>매장명</t>
  </si>
  <si>
    <t>갤러리아</t>
  </si>
  <si>
    <t>롯데잠실</t>
  </si>
  <si>
    <t>명동 신세계</t>
  </si>
  <si>
    <t>매장구분</t>
  </si>
  <si>
    <t>매장구분</t>
    <phoneticPr fontId="3" type="noConversion"/>
  </si>
  <si>
    <t>[참조1]</t>
    <phoneticPr fontId="3" type="noConversion"/>
  </si>
  <si>
    <t>[참조2]</t>
    <phoneticPr fontId="3" type="noConversion"/>
  </si>
  <si>
    <t>구분코드</t>
    <phoneticPr fontId="3" type="noConversion"/>
  </si>
  <si>
    <t>백화점</t>
    <phoneticPr fontId="3" type="noConversion"/>
  </si>
  <si>
    <t>마트직영점</t>
    <phoneticPr fontId="3" type="noConversion"/>
  </si>
  <si>
    <t>쇼핑몰</t>
    <phoneticPr fontId="3" type="noConversion"/>
  </si>
  <si>
    <t>대리점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</si>
</sst>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2"/>
      <color indexed="8"/>
      <name val="굴림"/>
      <family val="3"/>
      <charset val="129"/>
    </font>
    <font>
      <sz val="10"/>
      <color indexed="8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7" fillId="0" borderId="0"/>
    <xf numFmtId="0" fontId="7" fillId="0" borderId="0"/>
  </cellStyleXfs>
  <cellXfs count="29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1" fontId="6" fillId="0" borderId="2" xfId="1" applyFont="1" applyBorder="1" applyAlignment="1">
      <alignment horizontal="center" vertical="center"/>
    </xf>
    <xf numFmtId="41" fontId="6" fillId="0" borderId="2" xfId="1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41" fontId="6" fillId="3" borderId="4" xfId="1" applyFont="1" applyFill="1" applyBorder="1" applyAlignment="1">
      <alignment horizontal="center" vertical="center"/>
    </xf>
    <xf numFmtId="41" fontId="6" fillId="3" borderId="5" xfId="1" applyFont="1" applyFill="1" applyBorder="1" applyAlignment="1">
      <alignment horizontal="center" vertical="center"/>
    </xf>
    <xf numFmtId="41" fontId="6" fillId="3" borderId="6" xfId="1" applyFont="1" applyFill="1" applyBorder="1" applyAlignment="1">
      <alignment horizontal="center" vertical="center"/>
    </xf>
    <xf numFmtId="41" fontId="6" fillId="3" borderId="7" xfId="1" applyFont="1" applyFill="1" applyBorder="1" applyAlignment="1">
      <alignment horizontal="center" vertical="center"/>
    </xf>
    <xf numFmtId="41" fontId="6" fillId="0" borderId="8" xfId="1" applyFont="1" applyBorder="1">
      <alignment vertical="center"/>
    </xf>
    <xf numFmtId="41" fontId="6" fillId="3" borderId="9" xfId="1" applyFont="1" applyFill="1" applyBorder="1" applyAlignment="1">
      <alignment horizontal="center" vertical="center"/>
    </xf>
    <xf numFmtId="41" fontId="6" fillId="0" borderId="10" xfId="1" applyFont="1" applyFill="1" applyBorder="1">
      <alignment vertical="center"/>
    </xf>
    <xf numFmtId="41" fontId="6" fillId="0" borderId="10" xfId="1" applyFont="1" applyBorder="1">
      <alignment vertical="center"/>
    </xf>
    <xf numFmtId="41" fontId="6" fillId="0" borderId="11" xfId="1" applyFont="1" applyBorder="1">
      <alignment vertical="center"/>
    </xf>
    <xf numFmtId="0" fontId="4" fillId="0" borderId="0" xfId="0" applyFont="1" applyAlignment="1">
      <alignment vertical="center"/>
    </xf>
    <xf numFmtId="0" fontId="8" fillId="0" borderId="2" xfId="2" applyFont="1" applyFill="1" applyBorder="1" applyAlignment="1">
      <alignment horizontal="center" vertical="center"/>
    </xf>
    <xf numFmtId="0" fontId="9" fillId="2" borderId="2" xfId="2" applyFont="1" applyFill="1" applyBorder="1" applyAlignment="1">
      <alignment horizontal="center" vertical="center"/>
    </xf>
    <xf numFmtId="0" fontId="8" fillId="0" borderId="2" xfId="2" applyFont="1" applyFill="1" applyBorder="1" applyAlignment="1">
      <alignment horizontal="centerContinuous" vertical="center"/>
    </xf>
    <xf numFmtId="0" fontId="6" fillId="0" borderId="2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8" fillId="0" borderId="2" xfId="2" applyNumberFormat="1" applyFont="1" applyFill="1" applyBorder="1" applyAlignment="1">
      <alignment horizontal="center" vertical="center"/>
    </xf>
    <xf numFmtId="0" fontId="8" fillId="0" borderId="2" xfId="2" applyNumberFormat="1" applyFont="1" applyFill="1" applyBorder="1" applyAlignment="1">
      <alignment vertical="center"/>
    </xf>
    <xf numFmtId="0" fontId="8" fillId="0" borderId="2" xfId="2" applyFont="1" applyFill="1" applyBorder="1" applyAlignment="1">
      <alignment vertical="center"/>
    </xf>
    <xf numFmtId="0" fontId="6" fillId="0" borderId="2" xfId="0" applyFont="1" applyBorder="1" applyAlignment="1">
      <alignment vertical="center"/>
    </xf>
    <xf numFmtId="0" fontId="8" fillId="0" borderId="2" xfId="3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_판매일보" xfId="2"/>
    <cellStyle name="표준_Sheet5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E15"/>
  <sheetViews>
    <sheetView tabSelected="1" workbookViewId="0"/>
  </sheetViews>
  <sheetFormatPr defaultRowHeight="16.5"/>
  <cols>
    <col min="1" max="1" width="2.25" customWidth="1"/>
    <col min="3" max="3" width="8" bestFit="1" customWidth="1"/>
    <col min="4" max="4" width="8.375" bestFit="1" customWidth="1"/>
    <col min="5" max="5" width="8" bestFit="1" customWidth="1"/>
  </cols>
  <sheetData>
    <row r="1" spans="1:5">
      <c r="A1" s="1"/>
      <c r="B1" s="2" t="s">
        <v>0</v>
      </c>
      <c r="C1" s="2"/>
      <c r="D1" s="2"/>
      <c r="E1" s="2"/>
    </row>
    <row r="2" spans="1:5">
      <c r="A2" s="1"/>
      <c r="B2" s="3" t="s">
        <v>1</v>
      </c>
      <c r="C2" s="3" t="s">
        <v>2</v>
      </c>
      <c r="D2" s="3" t="s">
        <v>3</v>
      </c>
      <c r="E2" s="3" t="s">
        <v>4</v>
      </c>
    </row>
    <row r="3" spans="1:5">
      <c r="A3" s="1"/>
      <c r="B3" s="4" t="s">
        <v>5</v>
      </c>
      <c r="C3" s="4">
        <v>2</v>
      </c>
      <c r="D3" s="5">
        <v>2</v>
      </c>
      <c r="E3" s="6">
        <f>INDEX($C$11:$E$15,C3,D3)</f>
        <v>620000</v>
      </c>
    </row>
    <row r="4" spans="1:5">
      <c r="A4" s="1"/>
      <c r="B4" s="4" t="s">
        <v>6</v>
      </c>
      <c r="C4" s="4">
        <v>3</v>
      </c>
      <c r="D4" s="5">
        <v>3</v>
      </c>
      <c r="E4" s="6">
        <f>INDEX($C$11:$E$15,C4,D4)</f>
        <v>750000</v>
      </c>
    </row>
    <row r="5" spans="1:5">
      <c r="A5" s="1"/>
      <c r="B5" s="4" t="s">
        <v>7</v>
      </c>
      <c r="C5" s="4">
        <v>4</v>
      </c>
      <c r="D5" s="5">
        <v>3</v>
      </c>
      <c r="E5" s="6">
        <f>INDEX($C$11:$E$15,C5,D5)</f>
        <v>850000</v>
      </c>
    </row>
    <row r="6" spans="1:5">
      <c r="A6" s="1"/>
      <c r="B6" s="4" t="s">
        <v>8</v>
      </c>
      <c r="C6" s="4">
        <v>1</v>
      </c>
      <c r="D6" s="5">
        <v>3</v>
      </c>
      <c r="E6" s="6">
        <f>INDEX($C$11:$E$15,C6,D6)</f>
        <v>550000</v>
      </c>
    </row>
    <row r="7" spans="1:5">
      <c r="A7" s="1"/>
      <c r="B7" s="4" t="s">
        <v>9</v>
      </c>
      <c r="C7" s="4">
        <v>5</v>
      </c>
      <c r="D7" s="5">
        <v>2</v>
      </c>
      <c r="E7" s="6">
        <f>INDEX($C$11:$E$15,C7,D7)</f>
        <v>920000</v>
      </c>
    </row>
    <row r="8" spans="1:5">
      <c r="A8" s="1"/>
      <c r="B8" s="1"/>
      <c r="C8" s="1"/>
      <c r="D8" s="1"/>
      <c r="E8" s="1"/>
    </row>
    <row r="9" spans="1:5" ht="17.25" thickBot="1">
      <c r="A9" s="1"/>
      <c r="B9" s="7" t="s">
        <v>10</v>
      </c>
      <c r="C9" s="7"/>
      <c r="D9" s="7"/>
      <c r="E9" s="7"/>
    </row>
    <row r="10" spans="1:5">
      <c r="A10" s="1"/>
      <c r="B10" s="8" t="s">
        <v>11</v>
      </c>
      <c r="C10" s="9" t="s">
        <v>12</v>
      </c>
      <c r="D10" s="9" t="s">
        <v>13</v>
      </c>
      <c r="E10" s="10" t="s">
        <v>14</v>
      </c>
    </row>
    <row r="11" spans="1:5">
      <c r="A11" s="1"/>
      <c r="B11" s="11" t="s">
        <v>15</v>
      </c>
      <c r="C11" s="6">
        <v>500000</v>
      </c>
      <c r="D11" s="6">
        <v>520000</v>
      </c>
      <c r="E11" s="12">
        <v>550000</v>
      </c>
    </row>
    <row r="12" spans="1:5">
      <c r="A12" s="1"/>
      <c r="B12" s="11" t="s">
        <v>16</v>
      </c>
      <c r="C12" s="6">
        <v>600000</v>
      </c>
      <c r="D12" s="6">
        <v>620000</v>
      </c>
      <c r="E12" s="12">
        <v>650000</v>
      </c>
    </row>
    <row r="13" spans="1:5">
      <c r="A13" s="1"/>
      <c r="B13" s="11" t="s">
        <v>17</v>
      </c>
      <c r="C13" s="6">
        <v>700000</v>
      </c>
      <c r="D13" s="6">
        <v>720000</v>
      </c>
      <c r="E13" s="12">
        <v>750000</v>
      </c>
    </row>
    <row r="14" spans="1:5">
      <c r="A14" s="1"/>
      <c r="B14" s="11" t="s">
        <v>18</v>
      </c>
      <c r="C14" s="6">
        <v>800000</v>
      </c>
      <c r="D14" s="6">
        <v>820000</v>
      </c>
      <c r="E14" s="12">
        <v>850000</v>
      </c>
    </row>
    <row r="15" spans="1:5" ht="17.25" thickBot="1">
      <c r="A15" s="1"/>
      <c r="B15" s="13" t="s">
        <v>19</v>
      </c>
      <c r="C15" s="14">
        <v>900000</v>
      </c>
      <c r="D15" s="15">
        <v>920000</v>
      </c>
      <c r="E15" s="16">
        <v>950000</v>
      </c>
    </row>
  </sheetData>
  <mergeCells count="2">
    <mergeCell ref="B1:E1"/>
    <mergeCell ref="B9:E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4"/>
  <sheetViews>
    <sheetView workbookViewId="0"/>
  </sheetViews>
  <sheetFormatPr defaultRowHeight="16.5"/>
  <cols>
    <col min="1" max="1" width="2" customWidth="1"/>
    <col min="2" max="2" width="9" bestFit="1" customWidth="1"/>
    <col min="3" max="3" width="10.875" bestFit="1" customWidth="1"/>
    <col min="4" max="4" width="2" customWidth="1"/>
    <col min="5" max="5" width="9" bestFit="1" customWidth="1"/>
    <col min="6" max="6" width="10.875" bestFit="1" customWidth="1"/>
  </cols>
  <sheetData>
    <row r="1" spans="1:6">
      <c r="A1" s="17"/>
      <c r="B1" s="17"/>
      <c r="C1" s="17"/>
      <c r="D1" s="17"/>
      <c r="E1" s="17"/>
      <c r="F1" s="17"/>
    </row>
    <row r="2" spans="1:6">
      <c r="A2" s="17"/>
      <c r="B2" s="18" t="s">
        <v>20</v>
      </c>
      <c r="C2" s="19" t="s">
        <v>26</v>
      </c>
      <c r="D2" s="20" t="s">
        <v>21</v>
      </c>
      <c r="E2" s="21"/>
      <c r="F2" s="22"/>
    </row>
    <row r="3" spans="1:6">
      <c r="A3" s="17"/>
      <c r="B3" s="23">
        <v>302025</v>
      </c>
      <c r="C3" s="24" t="str">
        <f>INDEX($E$11:$F$14,VLOOKUP(B3,$B$11:$C$14,2,FALSE),2)</f>
        <v>대리점</v>
      </c>
      <c r="D3" s="25" t="s">
        <v>22</v>
      </c>
      <c r="E3" s="26"/>
      <c r="F3" s="22"/>
    </row>
    <row r="4" spans="1:6">
      <c r="A4" s="17"/>
      <c r="B4" s="23">
        <v>103801</v>
      </c>
      <c r="C4" s="24" t="str">
        <f>INDEX($E$11:$F$14,VLOOKUP(B4,$B$11:$C$14,2,FALSE),2)</f>
        <v>마트직영점</v>
      </c>
      <c r="D4" s="25" t="s">
        <v>22</v>
      </c>
      <c r="E4" s="26"/>
      <c r="F4" s="22"/>
    </row>
    <row r="5" spans="1:6">
      <c r="A5" s="17"/>
      <c r="B5" s="23">
        <v>302025</v>
      </c>
      <c r="C5" s="24" t="str">
        <f>INDEX($E$11:$F$14,VLOOKUP(B5,$B$11:$C$14,2,FALSE),2)</f>
        <v>대리점</v>
      </c>
      <c r="D5" s="25" t="s">
        <v>23</v>
      </c>
      <c r="E5" s="26"/>
      <c r="F5" s="22"/>
    </row>
    <row r="6" spans="1:6">
      <c r="A6" s="17"/>
      <c r="B6" s="23">
        <v>101004</v>
      </c>
      <c r="C6" s="24" t="str">
        <f>INDEX($E$11:$F$14,VLOOKUP(B6,$B$11:$C$14,2,FALSE),2)</f>
        <v>백화점</v>
      </c>
      <c r="D6" s="25" t="s">
        <v>23</v>
      </c>
      <c r="E6" s="26"/>
      <c r="F6" s="22"/>
    </row>
    <row r="7" spans="1:6">
      <c r="A7" s="17"/>
      <c r="B7" s="23">
        <v>302008</v>
      </c>
      <c r="C7" s="24" t="str">
        <f>INDEX($E$11:$F$14,VLOOKUP(B7,$B$11:$C$14,2,FALSE),2)</f>
        <v>쇼핑몰</v>
      </c>
      <c r="D7" s="25" t="s">
        <v>24</v>
      </c>
      <c r="E7" s="26"/>
      <c r="F7" s="22"/>
    </row>
    <row r="8" spans="1:6">
      <c r="A8" s="17"/>
      <c r="B8" s="22"/>
      <c r="C8" s="22"/>
      <c r="D8" s="22"/>
      <c r="E8" s="22"/>
      <c r="F8" s="22"/>
    </row>
    <row r="9" spans="1:6">
      <c r="A9" s="17"/>
      <c r="B9" s="22" t="s">
        <v>27</v>
      </c>
      <c r="C9" s="22"/>
      <c r="D9" s="22"/>
      <c r="E9" s="22" t="s">
        <v>28</v>
      </c>
      <c r="F9" s="22"/>
    </row>
    <row r="10" spans="1:6">
      <c r="A10" s="17"/>
      <c r="B10" s="27" t="s">
        <v>20</v>
      </c>
      <c r="C10" s="28" t="s">
        <v>29</v>
      </c>
      <c r="D10" s="22"/>
      <c r="E10" s="28" t="s">
        <v>29</v>
      </c>
      <c r="F10" s="27" t="s">
        <v>25</v>
      </c>
    </row>
    <row r="11" spans="1:6">
      <c r="A11" s="17"/>
      <c r="B11" s="28">
        <v>101004</v>
      </c>
      <c r="C11" s="28">
        <v>1</v>
      </c>
      <c r="D11" s="22"/>
      <c r="E11" s="28">
        <v>1</v>
      </c>
      <c r="F11" s="28" t="s">
        <v>30</v>
      </c>
    </row>
    <row r="12" spans="1:6">
      <c r="A12" s="17"/>
      <c r="B12" s="28">
        <v>103801</v>
      </c>
      <c r="C12" s="28">
        <v>2</v>
      </c>
      <c r="D12" s="22"/>
      <c r="E12" s="28">
        <v>2</v>
      </c>
      <c r="F12" s="28" t="s">
        <v>31</v>
      </c>
    </row>
    <row r="13" spans="1:6">
      <c r="A13" s="17"/>
      <c r="B13" s="28">
        <v>302008</v>
      </c>
      <c r="C13" s="28">
        <v>3</v>
      </c>
      <c r="D13" s="22"/>
      <c r="E13" s="28">
        <v>3</v>
      </c>
      <c r="F13" s="28" t="s">
        <v>32</v>
      </c>
    </row>
    <row r="14" spans="1:6">
      <c r="A14" s="17"/>
      <c r="B14" s="28">
        <v>302025</v>
      </c>
      <c r="C14" s="28">
        <v>4</v>
      </c>
      <c r="D14" s="22"/>
      <c r="E14" s="28">
        <v>4</v>
      </c>
      <c r="F14" s="28" t="s">
        <v>33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2011-07-03T12:49:24Z</dcterms:modified>
</cp:coreProperties>
</file>