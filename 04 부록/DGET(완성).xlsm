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/>
  <workbookPr defaultThemeVersion="124226"/>
  <bookViews>
    <workbookView xWindow="480" yWindow="60" windowWidth="18195" windowHeight="11820"/>
  </bookViews>
  <sheets>
    <sheet name="기본" sheetId="1" r:id="rId1"/>
    <sheet name="기출" sheetId="2" r:id="rId2"/>
  </sheets>
  <calcPr calcId="145621"/>
</workbook>
</file>

<file path=xl/calcChain.xml><?xml version="1.0" encoding="utf-8"?>
<calcChain xmlns="http://schemas.openxmlformats.org/spreadsheetml/2006/main">
  <c r="D15" i="1" l="1"/>
  <c r="C15" i="1"/>
  <c r="B15" i="1"/>
  <c r="D3" i="2"/>
  <c r="C3" i="2"/>
  <c r="B3" i="2"/>
</calcChain>
</file>

<file path=xl/sharedStrings.xml><?xml version="1.0" encoding="utf-8"?>
<sst xmlns="http://schemas.openxmlformats.org/spreadsheetml/2006/main" count="48" uniqueCount="29">
  <si>
    <t>엑셀중급</t>
  </si>
  <si>
    <t>실기</t>
  </si>
  <si>
    <t>엑셀초급</t>
  </si>
  <si>
    <t>필기</t>
  </si>
  <si>
    <t>워드초급</t>
  </si>
  <si>
    <t>5월 시행 시험정보</t>
    <phoneticPr fontId="3" type="noConversion"/>
  </si>
  <si>
    <t>과정구분</t>
    <phoneticPr fontId="3" type="noConversion"/>
  </si>
  <si>
    <t>시험형태</t>
    <phoneticPr fontId="3" type="noConversion"/>
  </si>
  <si>
    <t>시행년도</t>
    <phoneticPr fontId="3" type="noConversion"/>
  </si>
  <si>
    <t>문항수</t>
    <phoneticPr fontId="3" type="noConversion"/>
  </si>
  <si>
    <t>필기</t>
    <phoneticPr fontId="3" type="noConversion"/>
  </si>
  <si>
    <t>제품 판매 현황</t>
    <phoneticPr fontId="3" type="noConversion"/>
  </si>
  <si>
    <t>제품분류</t>
    <phoneticPr fontId="3" type="noConversion"/>
  </si>
  <si>
    <t>품명</t>
    <phoneticPr fontId="3" type="noConversion"/>
  </si>
  <si>
    <t>판매가</t>
    <phoneticPr fontId="3" type="noConversion"/>
  </si>
  <si>
    <t>판매량</t>
    <phoneticPr fontId="3" type="noConversion"/>
  </si>
  <si>
    <t>매출액</t>
    <phoneticPr fontId="3" type="noConversion"/>
  </si>
  <si>
    <t>화장품</t>
    <phoneticPr fontId="3" type="noConversion"/>
  </si>
  <si>
    <t>립스틱</t>
    <phoneticPr fontId="3" type="noConversion"/>
  </si>
  <si>
    <t>가전제품</t>
    <phoneticPr fontId="3" type="noConversion"/>
  </si>
  <si>
    <t>면도기</t>
    <phoneticPr fontId="3" type="noConversion"/>
  </si>
  <si>
    <t>사무용품</t>
    <phoneticPr fontId="3" type="noConversion"/>
  </si>
  <si>
    <t>만년필</t>
    <phoneticPr fontId="3" type="noConversion"/>
  </si>
  <si>
    <t>타자기</t>
    <phoneticPr fontId="3" type="noConversion"/>
  </si>
  <si>
    <t>선풍기</t>
    <phoneticPr fontId="3" type="noConversion"/>
  </si>
  <si>
    <t>비누</t>
    <phoneticPr fontId="3" type="noConversion"/>
  </si>
  <si>
    <t>삼푸</t>
    <phoneticPr fontId="3" type="noConversion"/>
  </si>
  <si>
    <t>전기담요</t>
    <phoneticPr fontId="3" type="noConversion"/>
  </si>
  <si>
    <t>품목별 매출액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</si>
</sst>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1" formatCode="_-* #,##0_-;\-* #,##0_-;_-* &quot;-&quot;_-;_-@_-"/>
  </numFmts>
  <fonts count="7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돋움"/>
      <family val="3"/>
      <charset val="129"/>
    </font>
    <font>
      <sz val="11"/>
      <name val="맑은 고딕"/>
      <family val="3"/>
      <charset val="129"/>
    </font>
    <font>
      <b/>
      <sz val="11"/>
      <name val="맑은 고딕"/>
      <family val="3"/>
      <charset val="129"/>
    </font>
    <font>
      <sz val="11"/>
      <color theme="1"/>
      <name val="맑은 고딕"/>
      <family val="3"/>
      <charset val="129"/>
    </font>
  </fonts>
  <fills count="4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2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</cellStyleXfs>
  <cellXfs count="17">
    <xf numFmtId="0" fontId="0" fillId="0" borderId="0" xfId="0">
      <alignment vertical="center"/>
    </xf>
    <xf numFmtId="0" fontId="4" fillId="0" borderId="0" xfId="0" applyFont="1" applyAlignment="1"/>
    <xf numFmtId="0" fontId="5" fillId="0" borderId="0" xfId="0" applyFont="1" applyAlignment="1"/>
    <xf numFmtId="0" fontId="5" fillId="3" borderId="1" xfId="0" applyFont="1" applyFill="1" applyBorder="1" applyAlignment="1">
      <alignment horizontal="center"/>
    </xf>
    <xf numFmtId="0" fontId="5" fillId="2" borderId="1" xfId="0" applyFont="1" applyFill="1" applyBorder="1" applyAlignment="1">
      <alignment horizontal="center"/>
    </xf>
    <xf numFmtId="14" fontId="4" fillId="3" borderId="1" xfId="0" applyNumberFormat="1" applyFont="1" applyFill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5" fillId="0" borderId="1" xfId="0" applyFont="1" applyBorder="1" applyAlignment="1">
      <alignment horizontal="center"/>
    </xf>
    <xf numFmtId="14" fontId="4" fillId="0" borderId="1" xfId="0" applyNumberFormat="1" applyFont="1" applyBorder="1" applyAlignment="1">
      <alignment horizontal="center"/>
    </xf>
    <xf numFmtId="0" fontId="4" fillId="0" borderId="1" xfId="0" applyFont="1" applyBorder="1" applyAlignment="1"/>
    <xf numFmtId="0" fontId="5" fillId="0" borderId="0" xfId="0" applyFont="1" applyAlignment="1">
      <alignment horizontal="centerContinuous"/>
    </xf>
    <xf numFmtId="0" fontId="6" fillId="0" borderId="1" xfId="0" applyFont="1" applyBorder="1" applyAlignment="1">
      <alignment horizontal="center"/>
    </xf>
    <xf numFmtId="41" fontId="6" fillId="0" borderId="1" xfId="1" applyFont="1" applyBorder="1" applyAlignment="1"/>
    <xf numFmtId="0" fontId="6" fillId="0" borderId="0" xfId="0" applyFont="1" applyAlignment="1"/>
    <xf numFmtId="0" fontId="6" fillId="0" borderId="0" xfId="0" applyFont="1" applyAlignment="1">
      <alignment horizontal="center"/>
    </xf>
    <xf numFmtId="0" fontId="6" fillId="2" borderId="1" xfId="0" applyFont="1" applyFill="1" applyBorder="1" applyAlignment="1">
      <alignment horizontal="center"/>
    </xf>
    <xf numFmtId="41" fontId="0" fillId="0" borderId="1" xfId="1" applyFont="1" applyBorder="1" applyAlignment="1">
      <alignment horizontal="center"/>
    </xf>
  </cellXfs>
  <cellStyles count="2">
    <cellStyle name="쉼표 [0]" xfId="1" builtinId="6"/>
    <cellStyle name="표준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5"/>
  <sheetViews>
    <sheetView tabSelected="1" workbookViewId="0"/>
  </sheetViews>
  <sheetFormatPr defaultRowHeight="16.5"/>
  <cols>
    <col min="1" max="1" width="11.25" customWidth="1"/>
    <col min="2" max="5" width="14.375" customWidth="1"/>
  </cols>
  <sheetData>
    <row r="1" spans="1:5">
      <c r="A1" s="10" t="s">
        <v>11</v>
      </c>
      <c r="B1" s="10"/>
      <c r="C1" s="10"/>
      <c r="D1" s="10"/>
      <c r="E1" s="10"/>
    </row>
    <row r="2" spans="1:5">
      <c r="A2" s="11" t="s">
        <v>12</v>
      </c>
      <c r="B2" s="11" t="s">
        <v>13</v>
      </c>
      <c r="C2" s="11" t="s">
        <v>14</v>
      </c>
      <c r="D2" s="11" t="s">
        <v>15</v>
      </c>
      <c r="E2" s="11" t="s">
        <v>16</v>
      </c>
    </row>
    <row r="3" spans="1:5">
      <c r="A3" s="11" t="s">
        <v>17</v>
      </c>
      <c r="B3" s="11" t="s">
        <v>18</v>
      </c>
      <c r="C3" s="12">
        <v>13524</v>
      </c>
      <c r="D3" s="12">
        <v>45</v>
      </c>
      <c r="E3" s="12">
        <v>608580</v>
      </c>
    </row>
    <row r="4" spans="1:5">
      <c r="A4" s="11" t="s">
        <v>19</v>
      </c>
      <c r="B4" s="11" t="s">
        <v>20</v>
      </c>
      <c r="C4" s="12">
        <v>7200</v>
      </c>
      <c r="D4" s="12">
        <v>89</v>
      </c>
      <c r="E4" s="12">
        <v>640800</v>
      </c>
    </row>
    <row r="5" spans="1:5">
      <c r="A5" s="11" t="s">
        <v>21</v>
      </c>
      <c r="B5" s="11" t="s">
        <v>22</v>
      </c>
      <c r="C5" s="12">
        <v>2900</v>
      </c>
      <c r="D5" s="12">
        <v>230</v>
      </c>
      <c r="E5" s="12">
        <v>667000</v>
      </c>
    </row>
    <row r="6" spans="1:5">
      <c r="A6" s="11" t="s">
        <v>21</v>
      </c>
      <c r="B6" s="11" t="s">
        <v>23</v>
      </c>
      <c r="C6" s="12">
        <v>18000</v>
      </c>
      <c r="D6" s="12">
        <v>30</v>
      </c>
      <c r="E6" s="12">
        <v>540000</v>
      </c>
    </row>
    <row r="7" spans="1:5">
      <c r="A7" s="11" t="s">
        <v>19</v>
      </c>
      <c r="B7" s="11" t="s">
        <v>24</v>
      </c>
      <c r="C7" s="12">
        <v>30625</v>
      </c>
      <c r="D7" s="12">
        <v>120</v>
      </c>
      <c r="E7" s="12">
        <v>3675000</v>
      </c>
    </row>
    <row r="8" spans="1:5">
      <c r="A8" s="11" t="s">
        <v>17</v>
      </c>
      <c r="B8" s="11" t="s">
        <v>25</v>
      </c>
      <c r="C8" s="12">
        <v>2600</v>
      </c>
      <c r="D8" s="12">
        <v>120</v>
      </c>
      <c r="E8" s="12">
        <v>312000</v>
      </c>
    </row>
    <row r="9" spans="1:5">
      <c r="A9" s="11" t="s">
        <v>17</v>
      </c>
      <c r="B9" s="11" t="s">
        <v>26</v>
      </c>
      <c r="C9" s="12">
        <v>5460</v>
      </c>
      <c r="D9" s="12">
        <v>325</v>
      </c>
      <c r="E9" s="12">
        <v>1774500</v>
      </c>
    </row>
    <row r="10" spans="1:5">
      <c r="A10" s="11" t="s">
        <v>19</v>
      </c>
      <c r="B10" s="11" t="s">
        <v>27</v>
      </c>
      <c r="C10" s="12">
        <v>66120</v>
      </c>
      <c r="D10" s="12">
        <v>60</v>
      </c>
      <c r="E10" s="12">
        <v>3967200</v>
      </c>
    </row>
    <row r="11" spans="1:5">
      <c r="A11" s="13"/>
      <c r="B11" s="13"/>
      <c r="C11" s="13"/>
      <c r="D11" s="13"/>
      <c r="E11" s="13"/>
    </row>
    <row r="12" spans="1:5">
      <c r="A12" s="13"/>
      <c r="B12" s="13"/>
      <c r="C12" s="14" t="s">
        <v>28</v>
      </c>
      <c r="D12" s="13"/>
      <c r="E12" s="13"/>
    </row>
    <row r="13" spans="1:5">
      <c r="A13" s="13"/>
      <c r="B13" s="15" t="s">
        <v>13</v>
      </c>
      <c r="C13" s="15" t="s">
        <v>13</v>
      </c>
      <c r="D13" s="15" t="s">
        <v>13</v>
      </c>
      <c r="E13" s="13"/>
    </row>
    <row r="14" spans="1:5">
      <c r="A14" s="13"/>
      <c r="B14" s="11" t="s">
        <v>20</v>
      </c>
      <c r="C14" s="11" t="s">
        <v>25</v>
      </c>
      <c r="D14" s="11" t="s">
        <v>22</v>
      </c>
      <c r="E14" s="13"/>
    </row>
    <row r="15" spans="1:5">
      <c r="A15" s="13"/>
      <c r="B15" s="16">
        <f>DGET(A2:E10,5,B13:B14)</f>
        <v>640800</v>
      </c>
      <c r="C15" s="16">
        <f>DGET(A2:E10,5,C13:C14)</f>
        <v>312000</v>
      </c>
      <c r="D15" s="16">
        <f>DGET(A2:E10,5,D13:D14)</f>
        <v>667000</v>
      </c>
      <c r="E15" s="13"/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1"/>
  <sheetViews>
    <sheetView workbookViewId="0"/>
  </sheetViews>
  <sheetFormatPr defaultRowHeight="16.5"/>
  <cols>
    <col min="1" max="1" width="2" customWidth="1"/>
    <col min="2" max="2" width="9.5" customWidth="1"/>
    <col min="3" max="3" width="9.75" bestFit="1" customWidth="1"/>
    <col min="4" max="4" width="12.875" bestFit="1" customWidth="1"/>
    <col min="5" max="5" width="7.75" bestFit="1" customWidth="1"/>
  </cols>
  <sheetData>
    <row r="1" spans="1:5">
      <c r="A1" s="1"/>
      <c r="B1" s="2" t="s">
        <v>5</v>
      </c>
      <c r="C1" s="1"/>
      <c r="D1" s="1"/>
      <c r="E1" s="1"/>
    </row>
    <row r="2" spans="1:5">
      <c r="A2" s="1"/>
      <c r="B2" s="3"/>
      <c r="C2" s="4" t="s">
        <v>6</v>
      </c>
      <c r="D2" s="4" t="s">
        <v>7</v>
      </c>
      <c r="E2" s="1"/>
    </row>
    <row r="3" spans="1:5">
      <c r="A3" s="1"/>
      <c r="B3" s="5" t="b">
        <f>MONTH(D6)=5</f>
        <v>0</v>
      </c>
      <c r="C3" s="6" t="str">
        <f>DGET(B5:E11,1,B2:B3)</f>
        <v>엑셀중급</v>
      </c>
      <c r="D3" s="6" t="str">
        <f>DGET(B5:E11,2,B2:B3)</f>
        <v>실기</v>
      </c>
      <c r="E3" s="1"/>
    </row>
    <row r="4" spans="1:5">
      <c r="A4" s="1"/>
      <c r="B4" s="1"/>
      <c r="C4" s="1"/>
      <c r="D4" s="1"/>
      <c r="E4" s="1"/>
    </row>
    <row r="5" spans="1:5">
      <c r="A5" s="1"/>
      <c r="B5" s="7" t="s">
        <v>6</v>
      </c>
      <c r="C5" s="7" t="s">
        <v>7</v>
      </c>
      <c r="D5" s="7" t="s">
        <v>8</v>
      </c>
      <c r="E5" s="7" t="s">
        <v>9</v>
      </c>
    </row>
    <row r="6" spans="1:5">
      <c r="A6" s="1"/>
      <c r="B6" s="6" t="s">
        <v>0</v>
      </c>
      <c r="C6" s="8" t="s">
        <v>10</v>
      </c>
      <c r="D6" s="8">
        <v>40555</v>
      </c>
      <c r="E6" s="9">
        <v>25</v>
      </c>
    </row>
    <row r="7" spans="1:5">
      <c r="A7" s="1"/>
      <c r="B7" s="6" t="s">
        <v>0</v>
      </c>
      <c r="C7" s="6" t="s">
        <v>1</v>
      </c>
      <c r="D7" s="8">
        <v>40299</v>
      </c>
      <c r="E7" s="9">
        <v>7</v>
      </c>
    </row>
    <row r="8" spans="1:5">
      <c r="A8" s="1"/>
      <c r="B8" s="6" t="s">
        <v>2</v>
      </c>
      <c r="C8" s="6" t="s">
        <v>3</v>
      </c>
      <c r="D8" s="8">
        <v>38353</v>
      </c>
      <c r="E8" s="9">
        <v>23</v>
      </c>
    </row>
    <row r="9" spans="1:5">
      <c r="A9" s="1"/>
      <c r="B9" s="6" t="s">
        <v>2</v>
      </c>
      <c r="C9" s="6" t="s">
        <v>1</v>
      </c>
      <c r="D9" s="8">
        <v>40909</v>
      </c>
      <c r="E9" s="9">
        <v>6</v>
      </c>
    </row>
    <row r="10" spans="1:5">
      <c r="A10" s="1"/>
      <c r="B10" s="6" t="s">
        <v>4</v>
      </c>
      <c r="C10" s="6" t="s">
        <v>3</v>
      </c>
      <c r="D10" s="8">
        <v>42417</v>
      </c>
      <c r="E10" s="9">
        <v>19</v>
      </c>
    </row>
    <row r="11" spans="1:5">
      <c r="A11" s="1"/>
      <c r="B11" s="6" t="s">
        <v>4</v>
      </c>
      <c r="C11" s="6" t="s">
        <v>3</v>
      </c>
      <c r="D11" s="8">
        <v>42552</v>
      </c>
      <c r="E11" s="9">
        <v>18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기본</vt:lpstr>
      <vt:lpstr>기출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</dc:creator>
  <cp:lastModifiedBy>김우경</cp:lastModifiedBy>
  <dcterms:created xsi:type="dcterms:W3CDTF">2011-07-03T12:01:47Z</dcterms:created>
  <dcterms:modified xsi:type="dcterms:W3CDTF">2017-01-13T05:33:41Z</dcterms:modified>
</cp:coreProperties>
</file>