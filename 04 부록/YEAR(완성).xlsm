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F4" i="2" l="1"/>
  <c r="F5" i="2"/>
  <c r="F6" i="2"/>
  <c r="F7" i="2"/>
  <c r="F3" i="2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<sst xmlns="http://schemas.openxmlformats.org/spreadsheetml/2006/main" count="19" uniqueCount="15">
  <si>
    <t>날짜에서 년만 추출하기</t>
    <phoneticPr fontId="3" type="noConversion"/>
  </si>
  <si>
    <t>날짜</t>
    <phoneticPr fontId="3" type="noConversion"/>
  </si>
  <si>
    <t>년</t>
    <phoneticPr fontId="3" type="noConversion"/>
  </si>
  <si>
    <t>예금종류</t>
  </si>
  <si>
    <t>잔액</t>
  </si>
  <si>
    <t>개설일자</t>
  </si>
  <si>
    <t>고객명</t>
    <phoneticPr fontId="3" type="noConversion"/>
  </si>
  <si>
    <t>특별이자</t>
    <phoneticPr fontId="3" type="noConversion"/>
  </si>
  <si>
    <t>김사랑</t>
    <phoneticPr fontId="3" type="noConversion"/>
  </si>
  <si>
    <t>보통예금</t>
    <phoneticPr fontId="3" type="noConversion"/>
  </si>
  <si>
    <t>이하늘</t>
    <phoneticPr fontId="3" type="noConversion"/>
  </si>
  <si>
    <t>박샛별</t>
    <phoneticPr fontId="3" type="noConversion"/>
  </si>
  <si>
    <t>최혜성</t>
    <phoneticPr fontId="3" type="noConversion"/>
  </si>
  <si>
    <t>고아라</t>
    <phoneticPr fontId="3" type="noConversion"/>
  </si>
  <si>
    <t>2019-09-31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</si>
</sst>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yyyy&quot;년&quot;\ m&quot;월&quot;\ d&quot;일&quot;;@"/>
    <numFmt numFmtId="177" formatCode="yyyy\/mm\/dd\ h:mm"/>
    <numFmt numFmtId="178" formatCode="[$-409]d&quot;-&quot;mmm&quot;-&quot;yy;@"/>
    <numFmt numFmtId="179" formatCode="#,##0_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6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55" fontId="4" fillId="0" borderId="7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55" fontId="6" fillId="0" borderId="3" xfId="0" quotePrefix="1" applyNumberFormat="1" applyFont="1" applyBorder="1" applyAlignment="1">
      <alignment horizontal="center" vertical="center"/>
    </xf>
    <xf numFmtId="0" fontId="6" fillId="0" borderId="4" xfId="1" applyNumberFormat="1" applyFont="1" applyBorder="1">
      <alignment vertical="center"/>
    </xf>
    <xf numFmtId="176" fontId="6" fillId="0" borderId="5" xfId="0" quotePrefix="1" applyNumberFormat="1" applyFont="1" applyBorder="1" applyAlignment="1">
      <alignment horizontal="center" vertical="center"/>
    </xf>
    <xf numFmtId="41" fontId="6" fillId="0" borderId="8" xfId="1" applyFont="1" applyBorder="1">
      <alignment vertical="center"/>
    </xf>
    <xf numFmtId="0" fontId="6" fillId="0" borderId="0" xfId="0" applyFont="1">
      <alignment vertical="center"/>
    </xf>
    <xf numFmtId="0" fontId="6" fillId="0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179" fontId="6" fillId="0" borderId="9" xfId="1" applyNumberFormat="1" applyFont="1" applyFill="1" applyBorder="1" applyAlignment="1">
      <alignment vertical="center"/>
    </xf>
    <xf numFmtId="14" fontId="6" fillId="0" borderId="9" xfId="0" applyNumberFormat="1" applyFont="1" applyFill="1" applyBorder="1" applyAlignment="1">
      <alignment horizontal="center" vertical="center"/>
    </xf>
    <xf numFmtId="41" fontId="6" fillId="0" borderId="9" xfId="1" applyFont="1" applyBorder="1" applyAlignment="1">
      <alignment vertical="center"/>
    </xf>
    <xf numFmtId="0" fontId="6" fillId="0" borderId="9" xfId="0" applyFont="1" applyBorder="1" applyAlignment="1">
      <alignment horizontal="center" vertical="center"/>
    </xf>
    <xf numFmtId="179" fontId="6" fillId="0" borderId="9" xfId="1" applyNumberFormat="1" applyFont="1" applyBorder="1" applyAlignment="1">
      <alignment vertical="center"/>
    </xf>
    <xf numFmtId="14" fontId="6" fillId="0" borderId="9" xfId="0" applyNumberFormat="1" applyFont="1" applyBorder="1" applyAlignment="1">
      <alignment horizontal="center" vertical="center"/>
    </xf>
    <xf numFmtId="41" fontId="6" fillId="0" borderId="5" xfId="1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sqref="A1:B1"/>
    </sheetView>
  </sheetViews>
  <sheetFormatPr defaultRowHeight="16.5"/>
  <cols>
    <col min="1" max="1" width="21.875" bestFit="1" customWidth="1"/>
  </cols>
  <sheetData>
    <row r="1" spans="1:2">
      <c r="A1" s="21" t="s">
        <v>0</v>
      </c>
      <c r="B1" s="21"/>
    </row>
    <row r="2" spans="1:2" ht="17.25" thickBot="1">
      <c r="A2" s="1"/>
      <c r="B2" s="1"/>
    </row>
    <row r="3" spans="1:2">
      <c r="A3" s="5" t="s">
        <v>1</v>
      </c>
      <c r="B3" s="6" t="s">
        <v>2</v>
      </c>
    </row>
    <row r="4" spans="1:2">
      <c r="A4" s="7">
        <v>43725</v>
      </c>
      <c r="B4" s="8">
        <f t="shared" ref="B4:B9" si="0">YEAR(A4)</f>
        <v>2019</v>
      </c>
    </row>
    <row r="5" spans="1:2">
      <c r="A5" s="9">
        <v>43725</v>
      </c>
      <c r="B5" s="8">
        <f t="shared" si="0"/>
        <v>2019</v>
      </c>
    </row>
    <row r="6" spans="1:2">
      <c r="A6" s="20">
        <v>43725</v>
      </c>
      <c r="B6" s="8">
        <f t="shared" si="0"/>
        <v>2019</v>
      </c>
    </row>
    <row r="7" spans="1:2">
      <c r="A7" s="2">
        <v>43725</v>
      </c>
      <c r="B7" s="8">
        <f t="shared" si="0"/>
        <v>2019</v>
      </c>
    </row>
    <row r="8" spans="1:2">
      <c r="A8" s="3">
        <v>43725</v>
      </c>
      <c r="B8" s="8">
        <f t="shared" si="0"/>
        <v>2019</v>
      </c>
    </row>
    <row r="9" spans="1:2" ht="17.25" thickBot="1">
      <c r="A9" s="4" t="s">
        <v>14</v>
      </c>
      <c r="B9" s="10" t="e">
        <f t="shared" si="0"/>
        <v>#VALUE!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"/>
  <sheetViews>
    <sheetView workbookViewId="0"/>
  </sheetViews>
  <sheetFormatPr defaultRowHeight="16.5"/>
  <cols>
    <col min="1" max="1" width="2" customWidth="1"/>
    <col min="2" max="2" width="7.75" bestFit="1" customWidth="1"/>
    <col min="3" max="3" width="9.75" bestFit="1" customWidth="1"/>
    <col min="4" max="4" width="12.75" bestFit="1" customWidth="1"/>
    <col min="5" max="5" width="12.875" bestFit="1" customWidth="1"/>
    <col min="6" max="6" width="11.125" bestFit="1" customWidth="1"/>
  </cols>
  <sheetData>
    <row r="1" spans="1:6">
      <c r="A1" s="11"/>
      <c r="B1" s="11"/>
      <c r="C1" s="11"/>
      <c r="D1" s="11"/>
      <c r="E1" s="11"/>
      <c r="F1" s="11"/>
    </row>
    <row r="2" spans="1:6">
      <c r="A2" s="11"/>
      <c r="B2" s="12" t="s">
        <v>6</v>
      </c>
      <c r="C2" s="12" t="s">
        <v>3</v>
      </c>
      <c r="D2" s="12" t="s">
        <v>4</v>
      </c>
      <c r="E2" s="12" t="s">
        <v>5</v>
      </c>
      <c r="F2" s="13" t="s">
        <v>7</v>
      </c>
    </row>
    <row r="3" spans="1:6">
      <c r="A3" s="11"/>
      <c r="B3" s="12" t="s">
        <v>8</v>
      </c>
      <c r="C3" s="12" t="s">
        <v>9</v>
      </c>
      <c r="D3" s="14">
        <v>12578406</v>
      </c>
      <c r="E3" s="15">
        <v>41917</v>
      </c>
      <c r="F3" s="16">
        <f>IF(D3&lt;0,0,IF(AND(D3&gt;=10000000,YEAR(E3)=2015),D3*5%,D3*2%))</f>
        <v>251568.12</v>
      </c>
    </row>
    <row r="4" spans="1:6">
      <c r="A4" s="11"/>
      <c r="B4" s="17" t="s">
        <v>10</v>
      </c>
      <c r="C4" s="17" t="s">
        <v>9</v>
      </c>
      <c r="D4" s="18">
        <v>32584617</v>
      </c>
      <c r="E4" s="19">
        <v>41978</v>
      </c>
      <c r="F4" s="16">
        <f t="shared" ref="F4:F7" si="0">IF(D4&lt;0,0,IF(AND(D4&gt;=10000000,YEAR(E4)=2015),D4*5%,D4*2%))</f>
        <v>651692.34</v>
      </c>
    </row>
    <row r="5" spans="1:6">
      <c r="A5" s="11"/>
      <c r="B5" s="17" t="s">
        <v>11</v>
      </c>
      <c r="C5" s="17" t="s">
        <v>9</v>
      </c>
      <c r="D5" s="18">
        <v>612493</v>
      </c>
      <c r="E5" s="19">
        <v>41813</v>
      </c>
      <c r="F5" s="16">
        <f t="shared" si="0"/>
        <v>12249.86</v>
      </c>
    </row>
    <row r="6" spans="1:6">
      <c r="A6" s="11"/>
      <c r="B6" s="17" t="s">
        <v>12</v>
      </c>
      <c r="C6" s="17" t="s">
        <v>9</v>
      </c>
      <c r="D6" s="18">
        <v>25436</v>
      </c>
      <c r="E6" s="19">
        <v>42223</v>
      </c>
      <c r="F6" s="16">
        <f t="shared" si="0"/>
        <v>508.72</v>
      </c>
    </row>
    <row r="7" spans="1:6">
      <c r="A7" s="11"/>
      <c r="B7" s="17" t="s">
        <v>13</v>
      </c>
      <c r="C7" s="17" t="s">
        <v>9</v>
      </c>
      <c r="D7" s="18">
        <v>-568215</v>
      </c>
      <c r="E7" s="19">
        <v>42344</v>
      </c>
      <c r="F7" s="16">
        <f t="shared" si="0"/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2019-09-06T09:42:14Z</dcterms:modified>
</cp:coreProperties>
</file>