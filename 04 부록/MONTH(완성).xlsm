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codeName="현재_통합_문서" defaultThemeVersion="124226"/>
  <bookViews>
    <workbookView xWindow="480" yWindow="60" windowWidth="18195" windowHeight="11820"/>
  </bookViews>
  <sheets>
    <sheet name="기본" sheetId="1" r:id="rId1"/>
    <sheet name="기출" sheetId="2" r:id="rId2"/>
  </sheets>
  <calcPr calcId="145621"/>
</workbook>
</file>

<file path=xl/calcChain.xml><?xml version="1.0" encoding="utf-8"?>
<calcChain xmlns="http://schemas.openxmlformats.org/spreadsheetml/2006/main">
  <c r="E4" i="2" l="1" a="1"/>
  <c r="E4" i="2" s="1"/>
  <c r="D4" i="2" a="1"/>
  <c r="D4" i="2" s="1"/>
  <c r="C4" i="2" a="1"/>
  <c r="C4" i="2" s="1"/>
  <c r="E3" i="2" a="1"/>
  <c r="E3" i="2" s="1"/>
  <c r="D3" i="2" a="1"/>
  <c r="D3" i="2" s="1"/>
  <c r="C3" i="2" a="1"/>
  <c r="C3" i="2" s="1"/>
  <c r="B9" i="1"/>
  <c r="B8" i="1"/>
  <c r="B7" i="1"/>
  <c r="B6" i="1"/>
  <c r="B5" i="1"/>
  <c r="B4" i="1"/>
</calcChain>
</file>

<file path=xl/sharedStrings.xml><?xml version="1.0" encoding="utf-8"?>
<sst xmlns="http://schemas.openxmlformats.org/spreadsheetml/2006/main" count="47" uniqueCount="30">
  <si>
    <t>날짜에서 월만 추출하기</t>
    <phoneticPr fontId="3" type="noConversion"/>
  </si>
  <si>
    <t>날짜</t>
    <phoneticPr fontId="3" type="noConversion"/>
  </si>
  <si>
    <t>월</t>
    <phoneticPr fontId="3" type="noConversion"/>
  </si>
  <si>
    <t>게임명</t>
  </si>
  <si>
    <t>판매일자</t>
  </si>
  <si>
    <t>수량</t>
  </si>
  <si>
    <t>G-02</t>
  </si>
  <si>
    <t>G-03</t>
  </si>
  <si>
    <t>G-04</t>
  </si>
  <si>
    <t>크래지</t>
  </si>
  <si>
    <t>10세 대상의  게임명별 월별매출액의 합계</t>
    <phoneticPr fontId="3" type="noConversion"/>
  </si>
  <si>
    <t>게임명</t>
    <phoneticPr fontId="3" type="noConversion"/>
  </si>
  <si>
    <t>카드게임</t>
    <phoneticPr fontId="3" type="noConversion"/>
  </si>
  <si>
    <t>크래지</t>
    <phoneticPr fontId="3" type="noConversion"/>
  </si>
  <si>
    <t>게임코드</t>
    <phoneticPr fontId="3" type="noConversion"/>
  </si>
  <si>
    <t>대상</t>
    <phoneticPr fontId="3" type="noConversion"/>
  </si>
  <si>
    <t>매출액</t>
    <phoneticPr fontId="3" type="noConversion"/>
  </si>
  <si>
    <t>A-01</t>
    <phoneticPr fontId="3" type="noConversion"/>
  </si>
  <si>
    <t>카드게임</t>
    <phoneticPr fontId="3" type="noConversion"/>
  </si>
  <si>
    <t>18세</t>
    <phoneticPr fontId="3" type="noConversion"/>
  </si>
  <si>
    <t>크래지</t>
    <phoneticPr fontId="3" type="noConversion"/>
  </si>
  <si>
    <t>10세</t>
    <phoneticPr fontId="3" type="noConversion"/>
  </si>
  <si>
    <t>G-07</t>
    <phoneticPr fontId="7" type="noConversion"/>
  </si>
  <si>
    <t>10세</t>
    <phoneticPr fontId="7" type="noConversion"/>
  </si>
  <si>
    <t>A-07</t>
    <phoneticPr fontId="7" type="noConversion"/>
  </si>
  <si>
    <t>10세</t>
    <phoneticPr fontId="3" type="noConversion"/>
  </si>
  <si>
    <t>G-06</t>
    <phoneticPr fontId="7" type="noConversion"/>
  </si>
  <si>
    <t>카드게임</t>
    <phoneticPr fontId="7" type="noConversion"/>
  </si>
  <si>
    <t>10세</t>
    <phoneticPr fontId="7" type="noConversion"/>
  </si>
  <si>
    <t>2019-09-31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</si>
</sst>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1" formatCode="_-* #,##0_-;\-* #,##0_-;_-* &quot;-&quot;_-;_-@_-"/>
    <numFmt numFmtId="176" formatCode="yyyy&quot;년&quot;\ m&quot;월&quot;\ d&quot;일&quot;;@"/>
    <numFmt numFmtId="177" formatCode="yyyy\/mm\/dd\ h:mm"/>
    <numFmt numFmtId="178" formatCode="[$-409]d&quot;-&quot;mmm&quot;-&quot;yy;@"/>
    <numFmt numFmtId="179" formatCode="#&quot;월&quot;"/>
  </numFmts>
  <fonts count="1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8"/>
      <name val="돋움체"/>
      <family val="3"/>
      <charset val="129"/>
    </font>
    <font>
      <sz val="11"/>
      <color theme="1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sz val="11"/>
      <name val="맑은 고딕"/>
      <family val="3"/>
      <charset val="129"/>
      <scheme val="major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0" fontId="4" fillId="0" borderId="0" xfId="0" applyFont="1">
      <alignment vertical="center"/>
    </xf>
    <xf numFmtId="177" fontId="4" fillId="0" borderId="7" xfId="0" quotePrefix="1" applyNumberFormat="1" applyFont="1" applyBorder="1" applyAlignment="1">
      <alignment horizontal="center" vertical="center"/>
    </xf>
    <xf numFmtId="178" fontId="4" fillId="0" borderId="5" xfId="0" quotePrefix="1" applyNumberFormat="1" applyFont="1" applyBorder="1" applyAlignment="1">
      <alignment horizontal="center" vertical="center"/>
    </xf>
    <xf numFmtId="55" fontId="4" fillId="0" borderId="8" xfId="0" applyNumberFormat="1" applyFont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55" fontId="6" fillId="0" borderId="3" xfId="0" quotePrefix="1" applyNumberFormat="1" applyFont="1" applyBorder="1" applyAlignment="1">
      <alignment horizontal="center" vertical="center"/>
    </xf>
    <xf numFmtId="41" fontId="6" fillId="0" borderId="4" xfId="1" applyFont="1" applyBorder="1">
      <alignment vertical="center"/>
    </xf>
    <xf numFmtId="176" fontId="6" fillId="0" borderId="5" xfId="0" quotePrefix="1" applyNumberFormat="1" applyFont="1" applyBorder="1" applyAlignment="1">
      <alignment horizontal="center" vertical="center"/>
    </xf>
    <xf numFmtId="41" fontId="6" fillId="0" borderId="6" xfId="1" applyFont="1" applyBorder="1">
      <alignment vertical="center"/>
    </xf>
    <xf numFmtId="41" fontId="6" fillId="0" borderId="9" xfId="1" applyFont="1" applyBorder="1">
      <alignment vertical="center"/>
    </xf>
    <xf numFmtId="0" fontId="8" fillId="0" borderId="0" xfId="0" applyFont="1">
      <alignment vertical="center"/>
    </xf>
    <xf numFmtId="0" fontId="10" fillId="0" borderId="0" xfId="0" applyFont="1">
      <alignment vertical="center"/>
    </xf>
    <xf numFmtId="0" fontId="9" fillId="0" borderId="11" xfId="0" applyFont="1" applyBorder="1" applyAlignment="1">
      <alignment horizontal="center" vertical="center"/>
    </xf>
    <xf numFmtId="179" fontId="9" fillId="2" borderId="11" xfId="0" applyNumberFormat="1" applyFont="1" applyFill="1" applyBorder="1" applyAlignment="1">
      <alignment horizontal="center"/>
    </xf>
    <xf numFmtId="0" fontId="10" fillId="0" borderId="11" xfId="1" applyNumberFormat="1" applyFont="1" applyBorder="1" applyAlignment="1"/>
    <xf numFmtId="0" fontId="9" fillId="0" borderId="11" xfId="0" applyNumberFormat="1" applyFont="1" applyBorder="1" applyAlignment="1">
      <alignment horizontal="center"/>
    </xf>
    <xf numFmtId="0" fontId="9" fillId="0" borderId="11" xfId="0" quotePrefix="1" applyNumberFormat="1" applyFont="1" applyBorder="1" applyAlignment="1">
      <alignment horizontal="center"/>
    </xf>
    <xf numFmtId="0" fontId="10" fillId="0" borderId="11" xfId="0" applyNumberFormat="1" applyFont="1" applyBorder="1">
      <alignment vertical="center"/>
    </xf>
    <xf numFmtId="14" fontId="10" fillId="0" borderId="11" xfId="0" applyNumberFormat="1" applyFont="1" applyBorder="1">
      <alignment vertical="center"/>
    </xf>
    <xf numFmtId="0" fontId="10" fillId="0" borderId="11" xfId="0" quotePrefix="1" applyNumberFormat="1" applyFont="1" applyBorder="1">
      <alignment vertical="center"/>
    </xf>
    <xf numFmtId="41" fontId="10" fillId="0" borderId="11" xfId="1" quotePrefix="1" applyFont="1" applyBorder="1">
      <alignment vertical="center"/>
    </xf>
    <xf numFmtId="41" fontId="6" fillId="0" borderId="5" xfId="1" quotePrefix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9" fillId="0" borderId="10" xfId="0" applyFont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9"/>
  <sheetViews>
    <sheetView tabSelected="1" workbookViewId="0">
      <selection sqref="A1:B1"/>
    </sheetView>
  </sheetViews>
  <sheetFormatPr defaultRowHeight="16.5"/>
  <cols>
    <col min="1" max="1" width="21.875" bestFit="1" customWidth="1"/>
  </cols>
  <sheetData>
    <row r="1" spans="1:2">
      <c r="A1" s="24" t="s">
        <v>0</v>
      </c>
      <c r="B1" s="24"/>
    </row>
    <row r="2" spans="1:2" ht="17.25" thickBot="1">
      <c r="A2" s="1"/>
      <c r="B2" s="1"/>
    </row>
    <row r="3" spans="1:2">
      <c r="A3" s="5" t="s">
        <v>1</v>
      </c>
      <c r="B3" s="6" t="s">
        <v>2</v>
      </c>
    </row>
    <row r="4" spans="1:2">
      <c r="A4" s="7">
        <v>43725</v>
      </c>
      <c r="B4" s="8">
        <f t="shared" ref="B4:B9" si="0">MONTH(A4)</f>
        <v>9</v>
      </c>
    </row>
    <row r="5" spans="1:2">
      <c r="A5" s="9">
        <v>43725</v>
      </c>
      <c r="B5" s="10">
        <f t="shared" si="0"/>
        <v>9</v>
      </c>
    </row>
    <row r="6" spans="1:2">
      <c r="A6" s="23">
        <v>43725</v>
      </c>
      <c r="B6" s="10">
        <f t="shared" si="0"/>
        <v>9</v>
      </c>
    </row>
    <row r="7" spans="1:2">
      <c r="A7" s="2">
        <v>43725</v>
      </c>
      <c r="B7" s="10">
        <f t="shared" si="0"/>
        <v>9</v>
      </c>
    </row>
    <row r="8" spans="1:2">
      <c r="A8" s="3">
        <v>43725</v>
      </c>
      <c r="B8" s="10">
        <f t="shared" si="0"/>
        <v>9</v>
      </c>
    </row>
    <row r="9" spans="1:2" ht="17.25" thickBot="1">
      <c r="A9" s="4" t="s">
        <v>29</v>
      </c>
      <c r="B9" s="11" t="e">
        <f t="shared" si="0"/>
        <v>#VALUE!</v>
      </c>
    </row>
  </sheetData>
  <mergeCells count="1">
    <mergeCell ref="A1:B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7"/>
  <sheetViews>
    <sheetView workbookViewId="0"/>
  </sheetViews>
  <sheetFormatPr defaultRowHeight="16.5"/>
  <cols>
    <col min="1" max="1" width="2" customWidth="1"/>
    <col min="3" max="4" width="11.125" bestFit="1" customWidth="1"/>
    <col min="5" max="5" width="12.875" bestFit="1" customWidth="1"/>
    <col min="7" max="7" width="11.125" bestFit="1" customWidth="1"/>
  </cols>
  <sheetData>
    <row r="1" spans="1:7">
      <c r="A1" s="12"/>
      <c r="B1" s="25" t="s">
        <v>10</v>
      </c>
      <c r="C1" s="25"/>
      <c r="D1" s="25"/>
      <c r="E1" s="25"/>
      <c r="F1" s="13"/>
      <c r="G1" s="13"/>
    </row>
    <row r="2" spans="1:7">
      <c r="A2" s="12"/>
      <c r="B2" s="14" t="s">
        <v>11</v>
      </c>
      <c r="C2" s="15">
        <v>4</v>
      </c>
      <c r="D2" s="15">
        <v>5</v>
      </c>
      <c r="E2" s="15">
        <v>6</v>
      </c>
      <c r="F2" s="13"/>
      <c r="G2" s="13"/>
    </row>
    <row r="3" spans="1:7">
      <c r="A3" s="12"/>
      <c r="B3" s="14" t="s">
        <v>12</v>
      </c>
      <c r="C3" s="16">
        <f t="array" ref="C3">SUM(($C$7:$C$17=$B3)*(MONTH($E$7:$E$17)=C$2)*($D$7:$D$17="10세")*$G$7:$G$17)</f>
        <v>0</v>
      </c>
      <c r="D3" s="16">
        <f t="array" ref="D3">SUM(($C$7:$C$17=$B3)*(MONTH($E$7:$E$17)=D$2)*($D$7:$D$17="10세")*$G$7:$G$17)</f>
        <v>331500</v>
      </c>
      <c r="E3" s="16">
        <f t="array" ref="E3">SUM(($C$7:$C$17=$B3)*(MONTH($E$7:$E$17)=E$2)*($D$7:$D$17="10세")*$G$7:$G$17)</f>
        <v>0</v>
      </c>
      <c r="F3" s="13"/>
      <c r="G3" s="13"/>
    </row>
    <row r="4" spans="1:7">
      <c r="A4" s="12"/>
      <c r="B4" s="14" t="s">
        <v>13</v>
      </c>
      <c r="C4" s="16">
        <f t="array" ref="C4">SUM(($C$7:$C$17=$B4)*(MONTH($E$7:$E$17)=C$2)*($D$7:$D$17="10세")*$G$7:$G$17)</f>
        <v>187000</v>
      </c>
      <c r="D4" s="16">
        <f t="array" ref="D4">SUM(($C$7:$C$17=$B4)*(MONTH($E$7:$E$17)=D$2)*($D$7:$D$17="10세")*$G$7:$G$17)</f>
        <v>52500</v>
      </c>
      <c r="E4" s="16">
        <f t="array" ref="E4">SUM(($C$7:$C$17=$B4)*(MONTH($E$7:$E$17)=E$2)*($D$7:$D$17="10세")*$G$7:$G$17)</f>
        <v>281200</v>
      </c>
      <c r="F4" s="13"/>
      <c r="G4" s="13"/>
    </row>
    <row r="5" spans="1:7">
      <c r="A5" s="12"/>
      <c r="B5" s="13"/>
      <c r="C5" s="13"/>
      <c r="D5" s="13"/>
      <c r="E5" s="13"/>
      <c r="F5" s="13"/>
      <c r="G5" s="13"/>
    </row>
    <row r="6" spans="1:7">
      <c r="A6" s="12"/>
      <c r="B6" s="17" t="s">
        <v>14</v>
      </c>
      <c r="C6" s="17" t="s">
        <v>3</v>
      </c>
      <c r="D6" s="17" t="s">
        <v>15</v>
      </c>
      <c r="E6" s="17" t="s">
        <v>4</v>
      </c>
      <c r="F6" s="18" t="s">
        <v>5</v>
      </c>
      <c r="G6" s="17" t="s">
        <v>16</v>
      </c>
    </row>
    <row r="7" spans="1:7">
      <c r="A7" s="12"/>
      <c r="B7" s="19" t="s">
        <v>17</v>
      </c>
      <c r="C7" s="19" t="s">
        <v>18</v>
      </c>
      <c r="D7" s="19" t="s">
        <v>19</v>
      </c>
      <c r="E7" s="20">
        <v>42469</v>
      </c>
      <c r="F7" s="21">
        <v>124</v>
      </c>
      <c r="G7" s="22">
        <v>45112</v>
      </c>
    </row>
    <row r="8" spans="1:7">
      <c r="A8" s="12"/>
      <c r="B8" s="19" t="s">
        <v>6</v>
      </c>
      <c r="C8" s="19" t="s">
        <v>20</v>
      </c>
      <c r="D8" s="19" t="s">
        <v>21</v>
      </c>
      <c r="E8" s="20">
        <v>42465</v>
      </c>
      <c r="F8" s="21">
        <v>142</v>
      </c>
      <c r="G8" s="22">
        <v>187000</v>
      </c>
    </row>
    <row r="9" spans="1:7">
      <c r="A9" s="12"/>
      <c r="B9" s="19" t="s">
        <v>6</v>
      </c>
      <c r="C9" s="19" t="s">
        <v>18</v>
      </c>
      <c r="D9" s="19" t="s">
        <v>21</v>
      </c>
      <c r="E9" s="20">
        <v>42498</v>
      </c>
      <c r="F9" s="21">
        <v>235</v>
      </c>
      <c r="G9" s="22">
        <v>153000</v>
      </c>
    </row>
    <row r="10" spans="1:7">
      <c r="A10" s="12"/>
      <c r="B10" s="19" t="s">
        <v>7</v>
      </c>
      <c r="C10" s="19" t="s">
        <v>20</v>
      </c>
      <c r="D10" s="19" t="s">
        <v>19</v>
      </c>
      <c r="E10" s="20">
        <v>42495</v>
      </c>
      <c r="F10" s="21">
        <v>88</v>
      </c>
      <c r="G10" s="22">
        <v>208500</v>
      </c>
    </row>
    <row r="11" spans="1:7">
      <c r="A11" s="12"/>
      <c r="B11" s="19" t="s">
        <v>17</v>
      </c>
      <c r="C11" s="19" t="s">
        <v>18</v>
      </c>
      <c r="D11" s="19" t="s">
        <v>19</v>
      </c>
      <c r="E11" s="20">
        <v>42522</v>
      </c>
      <c r="F11" s="21">
        <v>269</v>
      </c>
      <c r="G11" s="22">
        <v>90224</v>
      </c>
    </row>
    <row r="12" spans="1:7">
      <c r="A12" s="12"/>
      <c r="B12" s="19" t="s">
        <v>22</v>
      </c>
      <c r="C12" s="19" t="s">
        <v>20</v>
      </c>
      <c r="D12" s="19" t="s">
        <v>23</v>
      </c>
      <c r="E12" s="20">
        <v>42528</v>
      </c>
      <c r="F12" s="21">
        <v>131</v>
      </c>
      <c r="G12" s="22">
        <v>211200</v>
      </c>
    </row>
    <row r="13" spans="1:7">
      <c r="A13" s="12"/>
      <c r="B13" s="19" t="s">
        <v>24</v>
      </c>
      <c r="C13" s="19" t="s">
        <v>18</v>
      </c>
      <c r="D13" s="19" t="s">
        <v>19</v>
      </c>
      <c r="E13" s="20">
        <v>42469</v>
      </c>
      <c r="F13" s="21">
        <v>15</v>
      </c>
      <c r="G13" s="22">
        <v>288000</v>
      </c>
    </row>
    <row r="14" spans="1:7">
      <c r="A14" s="12"/>
      <c r="B14" s="19" t="s">
        <v>24</v>
      </c>
      <c r="C14" s="19" t="s">
        <v>20</v>
      </c>
      <c r="D14" s="19" t="s">
        <v>19</v>
      </c>
      <c r="E14" s="20">
        <v>42472</v>
      </c>
      <c r="F14" s="21">
        <v>122</v>
      </c>
      <c r="G14" s="22">
        <v>38400</v>
      </c>
    </row>
    <row r="15" spans="1:7">
      <c r="A15" s="12"/>
      <c r="B15" s="19" t="s">
        <v>8</v>
      </c>
      <c r="C15" s="19" t="s">
        <v>9</v>
      </c>
      <c r="D15" s="19" t="s">
        <v>25</v>
      </c>
      <c r="E15" s="20">
        <v>42492</v>
      </c>
      <c r="F15" s="21">
        <v>268</v>
      </c>
      <c r="G15" s="22">
        <v>52500</v>
      </c>
    </row>
    <row r="16" spans="1:7">
      <c r="A16" s="12"/>
      <c r="B16" s="19" t="s">
        <v>26</v>
      </c>
      <c r="C16" s="19" t="s">
        <v>27</v>
      </c>
      <c r="D16" s="19" t="s">
        <v>28</v>
      </c>
      <c r="E16" s="20">
        <v>42499</v>
      </c>
      <c r="F16" s="21">
        <v>141</v>
      </c>
      <c r="G16" s="22">
        <v>178500</v>
      </c>
    </row>
    <row r="17" spans="1:7">
      <c r="A17" s="12"/>
      <c r="B17" s="19" t="s">
        <v>8</v>
      </c>
      <c r="C17" s="19" t="s">
        <v>9</v>
      </c>
      <c r="D17" s="19" t="s">
        <v>25</v>
      </c>
      <c r="E17" s="20">
        <v>42532</v>
      </c>
      <c r="F17" s="21">
        <v>227</v>
      </c>
      <c r="G17" s="22">
        <v>70000</v>
      </c>
    </row>
  </sheetData>
  <mergeCells count="1">
    <mergeCell ref="B1:E1"/>
  </mergeCells>
  <phoneticPr fontId="1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김우경</cp:lastModifiedBy>
  <dcterms:created xsi:type="dcterms:W3CDTF">2011-07-03T12:01:47Z</dcterms:created>
  <dcterms:modified xsi:type="dcterms:W3CDTF">2019-09-06T09:45:22Z</dcterms:modified>
</cp:coreProperties>
</file>