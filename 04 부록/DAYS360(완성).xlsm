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3" i="2"/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<sst xmlns="http://schemas.openxmlformats.org/spreadsheetml/2006/main" count="25" uniqueCount="15">
  <si>
    <t>근무일수 계산하기</t>
    <phoneticPr fontId="3" type="noConversion"/>
  </si>
  <si>
    <t>입사일</t>
    <phoneticPr fontId="3" type="noConversion"/>
  </si>
  <si>
    <t>퇴사일</t>
    <phoneticPr fontId="3" type="noConversion"/>
  </si>
  <si>
    <t>근무일수</t>
    <phoneticPr fontId="3" type="noConversion"/>
  </si>
  <si>
    <t>건물번호</t>
  </si>
  <si>
    <t>건물이름</t>
  </si>
  <si>
    <t>임대시작일</t>
  </si>
  <si>
    <t>임대종료일</t>
  </si>
  <si>
    <t>임대기간</t>
    <phoneticPr fontId="3" type="noConversion"/>
  </si>
  <si>
    <t>A-002</t>
    <phoneticPr fontId="3" type="noConversion"/>
  </si>
  <si>
    <t>새천년빌딩</t>
  </si>
  <si>
    <t>A-002</t>
  </si>
  <si>
    <t>A-010</t>
  </si>
  <si>
    <t>예술빌딩</t>
  </si>
  <si>
    <t>A-010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</si>
</sst>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yyyy&quot;/&quot;mm&quot;/&quot;dd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4" fontId="5" fillId="0" borderId="4" xfId="1" applyNumberFormat="1" applyFont="1" applyBorder="1" applyAlignment="1">
      <alignment horizontal="left" vertical="center" indent="1"/>
    </xf>
    <xf numFmtId="14" fontId="5" fillId="0" borderId="5" xfId="1" applyNumberFormat="1" applyFont="1" applyBorder="1" applyAlignment="1">
      <alignment horizontal="left" vertical="center" indent="1"/>
    </xf>
    <xf numFmtId="41" fontId="5" fillId="0" borderId="6" xfId="1" applyFont="1" applyBorder="1">
      <alignment vertical="center"/>
    </xf>
    <xf numFmtId="14" fontId="5" fillId="0" borderId="7" xfId="1" applyNumberFormat="1" applyFont="1" applyBorder="1" applyAlignment="1">
      <alignment horizontal="left" vertical="center" indent="1"/>
    </xf>
    <xf numFmtId="14" fontId="5" fillId="0" borderId="8" xfId="1" applyNumberFormat="1" applyFont="1" applyBorder="1" applyAlignment="1">
      <alignment horizontal="left" vertical="center" indent="1"/>
    </xf>
    <xf numFmtId="41" fontId="5" fillId="0" borderId="9" xfId="1" applyFont="1" applyBorder="1">
      <alignment vertical="center"/>
    </xf>
    <xf numFmtId="0" fontId="6" fillId="0" borderId="0" xfId="0" applyFont="1">
      <alignment vertical="center"/>
    </xf>
    <xf numFmtId="0" fontId="8" fillId="0" borderId="5" xfId="2" applyFont="1" applyBorder="1" applyAlignment="1">
      <alignment horizontal="center"/>
    </xf>
    <xf numFmtId="0" fontId="8" fillId="3" borderId="5" xfId="2" applyFont="1" applyFill="1" applyBorder="1" applyAlignment="1">
      <alignment horizontal="center"/>
    </xf>
    <xf numFmtId="176" fontId="8" fillId="0" borderId="5" xfId="2" applyNumberFormat="1" applyFont="1" applyBorder="1"/>
    <xf numFmtId="41" fontId="9" fillId="0" borderId="5" xfId="3" applyFont="1" applyBorder="1" applyAlignment="1">
      <alignment horizontal="center"/>
    </xf>
    <xf numFmtId="14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</cellXfs>
  <cellStyles count="4">
    <cellStyle name="쉼표 [0]" xfId="1" builtinId="6"/>
    <cellStyle name="쉼표 [0] 2" xfId="3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sqref="A1:C1"/>
    </sheetView>
  </sheetViews>
  <sheetFormatPr defaultRowHeight="16.5"/>
  <cols>
    <col min="1" max="2" width="11.25" bestFit="1" customWidth="1"/>
    <col min="3" max="3" width="8" bestFit="1" customWidth="1"/>
    <col min="5" max="6" width="11.125" bestFit="1" customWidth="1"/>
  </cols>
  <sheetData>
    <row r="1" spans="1:6">
      <c r="A1" s="16" t="s">
        <v>0</v>
      </c>
      <c r="B1" s="16"/>
      <c r="C1" s="16"/>
    </row>
    <row r="2" spans="1:6" ht="17.25" thickBot="1">
      <c r="A2" s="10"/>
      <c r="B2" s="10"/>
      <c r="C2" s="10"/>
    </row>
    <row r="3" spans="1:6">
      <c r="A3" s="1" t="s">
        <v>1</v>
      </c>
      <c r="B3" s="2" t="s">
        <v>2</v>
      </c>
      <c r="C3" s="3" t="s">
        <v>3</v>
      </c>
    </row>
    <row r="4" spans="1:6">
      <c r="A4" s="4">
        <v>35769</v>
      </c>
      <c r="B4" s="5">
        <v>38051</v>
      </c>
      <c r="C4" s="6">
        <f t="shared" ref="C4:C9" si="0">DAYS360(A4,B4)</f>
        <v>2250</v>
      </c>
      <c r="E4" s="15"/>
      <c r="F4" s="15"/>
    </row>
    <row r="5" spans="1:6">
      <c r="A5" s="4">
        <v>38960</v>
      </c>
      <c r="B5" s="5">
        <v>39939</v>
      </c>
      <c r="C5" s="6">
        <f t="shared" si="0"/>
        <v>966</v>
      </c>
      <c r="E5" s="15"/>
      <c r="F5" s="15"/>
    </row>
    <row r="6" spans="1:6">
      <c r="A6" s="4">
        <v>40078</v>
      </c>
      <c r="B6" s="5">
        <v>42635</v>
      </c>
      <c r="C6" s="6">
        <f t="shared" si="0"/>
        <v>2520</v>
      </c>
      <c r="E6" s="15"/>
      <c r="F6" s="15"/>
    </row>
    <row r="7" spans="1:6">
      <c r="A7" s="4">
        <v>40869</v>
      </c>
      <c r="B7" s="5">
        <v>42071</v>
      </c>
      <c r="C7" s="6">
        <f t="shared" si="0"/>
        <v>1186</v>
      </c>
      <c r="E7" s="15"/>
      <c r="F7" s="15"/>
    </row>
    <row r="8" spans="1:6">
      <c r="A8" s="4">
        <v>41790</v>
      </c>
      <c r="B8" s="5">
        <v>42582</v>
      </c>
      <c r="C8" s="6">
        <f t="shared" si="0"/>
        <v>780</v>
      </c>
      <c r="E8" s="15"/>
      <c r="F8" s="15"/>
    </row>
    <row r="9" spans="1:6" ht="17.25" thickBot="1">
      <c r="A9" s="7">
        <v>42123</v>
      </c>
      <c r="B9" s="8">
        <v>42449</v>
      </c>
      <c r="C9" s="9">
        <f t="shared" si="0"/>
        <v>321</v>
      </c>
      <c r="E9" s="15"/>
      <c r="F9" s="15"/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workbookViewId="0"/>
  </sheetViews>
  <sheetFormatPr defaultRowHeight="16.5"/>
  <cols>
    <col min="1" max="1" width="2.625" customWidth="1"/>
    <col min="3" max="3" width="11" bestFit="1" customWidth="1"/>
    <col min="4" max="4" width="11.125" bestFit="1" customWidth="1"/>
    <col min="5" max="5" width="11.5" customWidth="1"/>
  </cols>
  <sheetData>
    <row r="2" spans="2:6">
      <c r="B2" s="11" t="s">
        <v>4</v>
      </c>
      <c r="C2" s="11" t="s">
        <v>5</v>
      </c>
      <c r="D2" s="11" t="s">
        <v>6</v>
      </c>
      <c r="E2" s="11" t="s">
        <v>7</v>
      </c>
      <c r="F2" s="12" t="s">
        <v>8</v>
      </c>
    </row>
    <row r="3" spans="2:6">
      <c r="B3" s="11" t="s">
        <v>9</v>
      </c>
      <c r="C3" s="11" t="s">
        <v>10</v>
      </c>
      <c r="D3" s="13">
        <v>41510</v>
      </c>
      <c r="E3" s="13">
        <v>42606</v>
      </c>
      <c r="F3" s="14" t="str">
        <f>TEXT(QUOTIENT(DAYS360(D3,E3),30),"00개월")</f>
        <v>36개월</v>
      </c>
    </row>
    <row r="4" spans="2:6">
      <c r="B4" s="11" t="s">
        <v>11</v>
      </c>
      <c r="C4" s="11" t="s">
        <v>10</v>
      </c>
      <c r="D4" s="13">
        <v>40469</v>
      </c>
      <c r="E4" s="13">
        <v>42295</v>
      </c>
      <c r="F4" s="14" t="str">
        <f t="shared" ref="F4:F10" si="0">TEXT(QUOTIENT(DAYS360(D4,E4),30),"00개월")</f>
        <v>60개월</v>
      </c>
    </row>
    <row r="5" spans="2:6">
      <c r="B5" s="11" t="s">
        <v>12</v>
      </c>
      <c r="C5" s="11" t="s">
        <v>13</v>
      </c>
      <c r="D5" s="13">
        <v>40503</v>
      </c>
      <c r="E5" s="13">
        <v>42359</v>
      </c>
      <c r="F5" s="14" t="str">
        <f t="shared" si="0"/>
        <v>61개월</v>
      </c>
    </row>
    <row r="6" spans="2:6">
      <c r="B6" s="11" t="s">
        <v>14</v>
      </c>
      <c r="C6" s="11" t="s">
        <v>13</v>
      </c>
      <c r="D6" s="13">
        <v>40544</v>
      </c>
      <c r="E6" s="13">
        <v>42370</v>
      </c>
      <c r="F6" s="14" t="str">
        <f t="shared" si="0"/>
        <v>60개월</v>
      </c>
    </row>
    <row r="7" spans="2:6">
      <c r="B7" s="11" t="s">
        <v>11</v>
      </c>
      <c r="C7" s="11" t="s">
        <v>10</v>
      </c>
      <c r="D7" s="13">
        <v>42240</v>
      </c>
      <c r="E7" s="13">
        <v>43336</v>
      </c>
      <c r="F7" s="14" t="str">
        <f t="shared" si="0"/>
        <v>36개월</v>
      </c>
    </row>
    <row r="8" spans="2:6">
      <c r="B8" s="11" t="s">
        <v>11</v>
      </c>
      <c r="C8" s="11" t="s">
        <v>10</v>
      </c>
      <c r="D8" s="13">
        <v>42665</v>
      </c>
      <c r="E8" s="13">
        <v>43030</v>
      </c>
      <c r="F8" s="14" t="str">
        <f t="shared" si="0"/>
        <v>12개월</v>
      </c>
    </row>
    <row r="9" spans="2:6">
      <c r="B9" s="11" t="s">
        <v>12</v>
      </c>
      <c r="C9" s="11" t="s">
        <v>13</v>
      </c>
      <c r="D9" s="13">
        <v>41599</v>
      </c>
      <c r="E9" s="13">
        <v>43455</v>
      </c>
      <c r="F9" s="14" t="str">
        <f t="shared" si="0"/>
        <v>61개월</v>
      </c>
    </row>
    <row r="10" spans="2:6">
      <c r="B10" s="11" t="s">
        <v>12</v>
      </c>
      <c r="C10" s="11" t="s">
        <v>13</v>
      </c>
      <c r="D10" s="13">
        <v>42695</v>
      </c>
      <c r="E10" s="13">
        <v>43790</v>
      </c>
      <c r="F10" s="14" t="str">
        <f t="shared" si="0"/>
        <v>36개월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2017-01-11T01:23:58Z</dcterms:modified>
</cp:coreProperties>
</file>