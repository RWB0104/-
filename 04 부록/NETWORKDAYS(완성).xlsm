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D10" i="2" l="1"/>
  <c r="D9" i="2"/>
  <c r="D8" i="2"/>
  <c r="D7" i="2"/>
  <c r="D6" i="2"/>
  <c r="D5" i="2"/>
  <c r="D4" i="2"/>
  <c r="D3" i="2"/>
  <c r="E4" i="1" l="1"/>
  <c r="E5" i="1"/>
  <c r="E6" i="1"/>
  <c r="E7" i="1"/>
  <c r="E8" i="1"/>
  <c r="E3" i="1"/>
</calcChain>
</file>

<file path=xl/sharedStrings.xml><?xml version="1.0" encoding="utf-8"?>
<sst xmlns="http://schemas.openxmlformats.org/spreadsheetml/2006/main" count="42" uniqueCount="37">
  <si>
    <t>일당직 직원의 근무일수</t>
  </si>
  <si>
    <t>이름</t>
  </si>
  <si>
    <t>출근 시작한날</t>
  </si>
  <si>
    <t>출근 마지막날</t>
  </si>
  <si>
    <t>근무일수</t>
  </si>
  <si>
    <t>이선남</t>
  </si>
  <si>
    <t>이수해</t>
  </si>
  <si>
    <t>이연기</t>
  </si>
  <si>
    <t>김병준</t>
  </si>
  <si>
    <t>나관주</t>
  </si>
  <si>
    <t>김명희</t>
  </si>
  <si>
    <t>돌잔치</t>
    <phoneticPr fontId="1" type="noConversion"/>
  </si>
  <si>
    <t>결혼식</t>
    <phoneticPr fontId="1" type="noConversion"/>
  </si>
  <si>
    <t>김경지</t>
    <phoneticPr fontId="1" type="noConversion"/>
  </si>
  <si>
    <t>돌잔치</t>
    <phoneticPr fontId="1" type="noConversion"/>
  </si>
  <si>
    <t>결혼식</t>
    <phoneticPr fontId="1" type="noConversion"/>
  </si>
  <si>
    <t>[표1]</t>
    <phoneticPr fontId="1" type="noConversion"/>
  </si>
  <si>
    <t xml:space="preserve">시작일 : </t>
    <phoneticPr fontId="1" type="noConversion"/>
  </si>
  <si>
    <t>성명</t>
    <phoneticPr fontId="1" type="noConversion"/>
  </si>
  <si>
    <t>행사내용</t>
    <phoneticPr fontId="1" type="noConversion"/>
  </si>
  <si>
    <t>행사일</t>
    <phoneticPr fontId="1" type="noConversion"/>
  </si>
  <si>
    <t>작업일</t>
    <phoneticPr fontId="1" type="noConversion"/>
  </si>
  <si>
    <t>김기완</t>
    <phoneticPr fontId="1" type="noConversion"/>
  </si>
  <si>
    <t>성정아</t>
    <phoneticPr fontId="1" type="noConversion"/>
  </si>
  <si>
    <t>이기봉</t>
    <phoneticPr fontId="1" type="noConversion"/>
  </si>
  <si>
    <t>안산진</t>
    <phoneticPr fontId="1" type="noConversion"/>
  </si>
  <si>
    <t>이석호</t>
    <phoneticPr fontId="1" type="noConversion"/>
  </si>
  <si>
    <t>양미진</t>
    <phoneticPr fontId="1" type="noConversion"/>
  </si>
  <si>
    <t>유인하</t>
    <phoneticPr fontId="1" type="noConversion"/>
  </si>
  <si>
    <t>날짜</t>
    <phoneticPr fontId="1" type="noConversion"/>
  </si>
  <si>
    <t>공휴일</t>
    <phoneticPr fontId="1" type="noConversion"/>
  </si>
  <si>
    <t>신정</t>
    <phoneticPr fontId="1" type="noConversion"/>
  </si>
  <si>
    <t>설 연휴</t>
    <phoneticPr fontId="1" type="noConversion"/>
  </si>
  <si>
    <t>삼일절</t>
    <phoneticPr fontId="1" type="noConversion"/>
  </si>
  <si>
    <t>석가탄신일</t>
    <phoneticPr fontId="1" type="noConversion"/>
  </si>
  <si>
    <t>현충일</t>
    <phoneticPr fontId="1" type="noConversion"/>
  </si>
  <si>
    <t>[표2] 상반기 공휴일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</si>
</sst>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m&quot;월&quot;\ dd&quot;일&quot;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wrapText="1"/>
    </xf>
    <xf numFmtId="14" fontId="5" fillId="0" borderId="2" xfId="1" applyNumberFormat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H16" sqref="H16"/>
    </sheetView>
  </sheetViews>
  <sheetFormatPr defaultRowHeight="16.5"/>
  <cols>
    <col min="1" max="1" width="3.75" customWidth="1"/>
    <col min="3" max="4" width="13.75" bestFit="1" customWidth="1"/>
  </cols>
  <sheetData>
    <row r="1" spans="1:5">
      <c r="A1" s="1"/>
      <c r="B1" s="12" t="s">
        <v>0</v>
      </c>
      <c r="C1" s="12"/>
      <c r="D1" s="12"/>
      <c r="E1" s="12"/>
    </row>
    <row r="2" spans="1:5">
      <c r="A2" s="1"/>
      <c r="B2" s="2" t="s">
        <v>1</v>
      </c>
      <c r="C2" s="2" t="s">
        <v>2</v>
      </c>
      <c r="D2" s="2" t="s">
        <v>3</v>
      </c>
      <c r="E2" s="2" t="s">
        <v>4</v>
      </c>
    </row>
    <row r="3" spans="1:5">
      <c r="A3" s="1"/>
      <c r="B3" s="3" t="s">
        <v>5</v>
      </c>
      <c r="C3" s="4">
        <v>43344</v>
      </c>
      <c r="D3" s="4">
        <v>43350</v>
      </c>
      <c r="E3" s="5">
        <f>NETWORKDAYS(C3,D3)</f>
        <v>5</v>
      </c>
    </row>
    <row r="4" spans="1:5">
      <c r="A4" s="1"/>
      <c r="B4" s="3" t="s">
        <v>6</v>
      </c>
      <c r="C4" s="4">
        <v>43075</v>
      </c>
      <c r="D4" s="4">
        <v>43174</v>
      </c>
      <c r="E4" s="5">
        <f t="shared" ref="E4:E8" si="0">NETWORKDAYS(C4,D4)</f>
        <v>72</v>
      </c>
    </row>
    <row r="5" spans="1:5">
      <c r="A5" s="1"/>
      <c r="B5" s="3" t="s">
        <v>7</v>
      </c>
      <c r="C5" s="4">
        <v>43193</v>
      </c>
      <c r="D5" s="4">
        <v>43245</v>
      </c>
      <c r="E5" s="5">
        <f t="shared" si="0"/>
        <v>39</v>
      </c>
    </row>
    <row r="6" spans="1:5">
      <c r="A6" s="1"/>
      <c r="B6" s="3" t="s">
        <v>8</v>
      </c>
      <c r="C6" s="4">
        <v>43195</v>
      </c>
      <c r="D6" s="4">
        <v>43254</v>
      </c>
      <c r="E6" s="5">
        <f t="shared" si="0"/>
        <v>42</v>
      </c>
    </row>
    <row r="7" spans="1:5">
      <c r="A7" s="1"/>
      <c r="B7" s="3" t="s">
        <v>9</v>
      </c>
      <c r="C7" s="4">
        <v>43069</v>
      </c>
      <c r="D7" s="4">
        <v>43191</v>
      </c>
      <c r="E7" s="5">
        <f t="shared" si="0"/>
        <v>87</v>
      </c>
    </row>
    <row r="8" spans="1:5">
      <c r="A8" s="1"/>
      <c r="B8" s="3" t="s">
        <v>10</v>
      </c>
      <c r="C8" s="4">
        <v>43081</v>
      </c>
      <c r="D8" s="4">
        <v>43140</v>
      </c>
      <c r="E8" s="5">
        <f t="shared" si="0"/>
        <v>44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I22" sqref="I22"/>
    </sheetView>
  </sheetViews>
  <sheetFormatPr defaultRowHeight="16.5"/>
  <cols>
    <col min="3" max="3" width="11.125" bestFit="1" customWidth="1"/>
    <col min="4" max="4" width="11.625" customWidth="1"/>
    <col min="5" max="5" width="2.875" customWidth="1"/>
    <col min="7" max="7" width="11" bestFit="1" customWidth="1"/>
  </cols>
  <sheetData>
    <row r="1" spans="1:7">
      <c r="A1" t="s">
        <v>16</v>
      </c>
      <c r="C1" s="6" t="s">
        <v>17</v>
      </c>
      <c r="D1" s="7">
        <v>43132</v>
      </c>
      <c r="F1" t="s">
        <v>36</v>
      </c>
    </row>
    <row r="2" spans="1:7">
      <c r="A2" s="8" t="s">
        <v>18</v>
      </c>
      <c r="B2" s="8" t="s">
        <v>19</v>
      </c>
      <c r="C2" s="8" t="s">
        <v>20</v>
      </c>
      <c r="D2" s="9" t="s">
        <v>21</v>
      </c>
      <c r="F2" s="8" t="s">
        <v>29</v>
      </c>
      <c r="G2" s="8" t="s">
        <v>30</v>
      </c>
    </row>
    <row r="3" spans="1:7">
      <c r="A3" s="8" t="s">
        <v>22</v>
      </c>
      <c r="B3" s="8" t="s">
        <v>14</v>
      </c>
      <c r="C3" s="10">
        <v>43136</v>
      </c>
      <c r="D3" s="8" t="str">
        <f t="shared" ref="D3:D10" si="0">IF(NETWORKDAYS($D$1,C3,$F$3:$F$8)&lt;0,"",TEXT(NETWORKDAYS($D$1,C3,$F$3:$F$8),"000"))</f>
        <v>003</v>
      </c>
      <c r="F3" s="11">
        <v>43101</v>
      </c>
      <c r="G3" s="8" t="s">
        <v>31</v>
      </c>
    </row>
    <row r="4" spans="1:7">
      <c r="A4" s="8" t="s">
        <v>23</v>
      </c>
      <c r="B4" s="8" t="s">
        <v>14</v>
      </c>
      <c r="C4" s="10">
        <v>43140</v>
      </c>
      <c r="D4" s="8" t="str">
        <f t="shared" si="0"/>
        <v>007</v>
      </c>
      <c r="F4" s="11">
        <v>43146</v>
      </c>
      <c r="G4" s="8" t="s">
        <v>32</v>
      </c>
    </row>
    <row r="5" spans="1:7">
      <c r="A5" s="8" t="s">
        <v>24</v>
      </c>
      <c r="B5" s="8" t="s">
        <v>14</v>
      </c>
      <c r="C5" s="10">
        <v>43078</v>
      </c>
      <c r="D5" s="8" t="str">
        <f t="shared" si="0"/>
        <v/>
      </c>
      <c r="F5" s="11">
        <v>43147</v>
      </c>
      <c r="G5" s="8" t="s">
        <v>32</v>
      </c>
    </row>
    <row r="6" spans="1:7">
      <c r="A6" s="8" t="s">
        <v>25</v>
      </c>
      <c r="B6" s="8" t="s">
        <v>14</v>
      </c>
      <c r="C6" s="10">
        <v>43223</v>
      </c>
      <c r="D6" s="8" t="str">
        <f t="shared" si="0"/>
        <v>063</v>
      </c>
      <c r="F6" s="11">
        <v>43160</v>
      </c>
      <c r="G6" s="8" t="s">
        <v>33</v>
      </c>
    </row>
    <row r="7" spans="1:7">
      <c r="A7" s="8" t="s">
        <v>26</v>
      </c>
      <c r="B7" s="8" t="s">
        <v>15</v>
      </c>
      <c r="C7" s="10">
        <v>43194</v>
      </c>
      <c r="D7" s="8" t="str">
        <f t="shared" si="0"/>
        <v>042</v>
      </c>
      <c r="F7" s="11">
        <v>43242</v>
      </c>
      <c r="G7" s="8" t="s">
        <v>34</v>
      </c>
    </row>
    <row r="8" spans="1:7">
      <c r="A8" s="8" t="s">
        <v>27</v>
      </c>
      <c r="B8" s="8" t="s">
        <v>11</v>
      </c>
      <c r="C8" s="10">
        <v>43159</v>
      </c>
      <c r="D8" s="8" t="str">
        <f t="shared" si="0"/>
        <v>018</v>
      </c>
      <c r="F8" s="11">
        <v>43257</v>
      </c>
      <c r="G8" s="8" t="s">
        <v>35</v>
      </c>
    </row>
    <row r="9" spans="1:7">
      <c r="A9" s="8" t="s">
        <v>28</v>
      </c>
      <c r="B9" s="8" t="s">
        <v>15</v>
      </c>
      <c r="C9" s="10">
        <v>43161</v>
      </c>
      <c r="D9" s="8" t="str">
        <f t="shared" si="0"/>
        <v>019</v>
      </c>
    </row>
    <row r="10" spans="1:7">
      <c r="A10" s="8" t="s">
        <v>13</v>
      </c>
      <c r="B10" s="8" t="s">
        <v>12</v>
      </c>
      <c r="C10" s="10">
        <v>43103</v>
      </c>
      <c r="D10" s="8" t="str">
        <f t="shared" si="0"/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2011-09-01T07:41:18Z</dcterms:created>
  <dcterms:modified xsi:type="dcterms:W3CDTF">2018-08-22T09:08:07Z</dcterms:modified>
</cp:coreProperties>
</file>