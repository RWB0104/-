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G6" i="1"/>
  <c r="G5"/>
  <c r="D9" i="2"/>
  <c r="E9"/>
  <c r="C9"/>
  <c r="G4" i="1"/>
  <c r="D10"/>
  <c r="D9"/>
  <c r="D8"/>
  <c r="D7"/>
  <c r="D6"/>
  <c r="D5"/>
  <c r="D4"/>
</calcChain>
</file>

<file path=xl/sharedStrings.xml><?xml version="1.0" encoding="utf-8"?>
<sst xmlns="http://schemas.openxmlformats.org/spreadsheetml/2006/main" count="30" uniqueCount="19">
  <si>
    <t>판매현황</t>
    <phoneticPr fontId="3" type="noConversion"/>
  </si>
  <si>
    <t>품목별 판매건수</t>
    <phoneticPr fontId="3" type="noConversion"/>
  </si>
  <si>
    <t>품목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</si>
  <si>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</si>
  <si>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</si>
  <si>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</si>
  <si>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건수</t>
    <phoneticPr fontId="3" type="noConversion"/>
  </si>
  <si>
    <t>냉장고</t>
    <phoneticPr fontId="3" type="noConversion"/>
  </si>
  <si>
    <t>컴퓨터</t>
    <phoneticPr fontId="3" type="noConversion"/>
  </si>
  <si>
    <t>캠코더</t>
    <phoneticPr fontId="3" type="noConversion"/>
  </si>
  <si>
    <t>고급형 제품의 평균</t>
    <phoneticPr fontId="3" type="noConversion"/>
  </si>
  <si>
    <t>등급</t>
    <phoneticPr fontId="3" type="noConversion"/>
  </si>
  <si>
    <t>판매량</t>
    <phoneticPr fontId="3" type="noConversion"/>
  </si>
  <si>
    <t>단가</t>
    <phoneticPr fontId="3" type="noConversion"/>
  </si>
  <si>
    <t>원가비율</t>
    <phoneticPr fontId="3" type="noConversion"/>
  </si>
  <si>
    <t>고급형</t>
    <phoneticPr fontId="3" type="noConversion"/>
  </si>
  <si>
    <t>중급형</t>
    <phoneticPr fontId="3" type="noConversion"/>
  </si>
  <si>
    <t>보급형</t>
    <phoneticPr fontId="3" type="noConversion"/>
  </si>
  <si>
    <t>평균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</si>
</sst>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1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0" fontId="0" fillId="0" borderId="7" xfId="0" applyBorder="1" applyAlignment="1">
      <alignment horizontal="center" vertical="center"/>
    </xf>
    <xf numFmtId="41" fontId="0" fillId="0" borderId="9" xfId="1" applyFont="1" applyBorder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>
      <alignment vertical="center"/>
    </xf>
    <xf numFmtId="0" fontId="0" fillId="0" borderId="8" xfId="0" applyBorder="1">
      <alignment vertical="center"/>
    </xf>
    <xf numFmtId="41" fontId="0" fillId="0" borderId="8" xfId="1" applyFont="1" applyBorder="1">
      <alignment vertical="center"/>
    </xf>
    <xf numFmtId="0" fontId="7" fillId="0" borderId="0" xfId="0" applyFont="1">
      <alignment vertical="center"/>
    </xf>
    <xf numFmtId="0" fontId="7" fillId="0" borderId="5" xfId="0" applyFont="1" applyFill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/>
    </xf>
    <xf numFmtId="0" fontId="9" fillId="0" borderId="5" xfId="1" applyNumberFormat="1" applyFont="1" applyBorder="1" applyAlignment="1">
      <alignment horizontal="right"/>
    </xf>
    <xf numFmtId="0" fontId="9" fillId="0" borderId="5" xfId="1" applyNumberFormat="1" applyFont="1" applyBorder="1" applyAlignment="1"/>
    <xf numFmtId="0" fontId="7" fillId="0" borderId="5" xfId="0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10"/>
  <sheetViews>
    <sheetView tabSelected="1" workbookViewId="0">
      <selection activeCell="G7" sqref="G7"/>
    </sheetView>
  </sheetViews>
  <sheetFormatPr defaultRowHeight="16.5"/>
  <cols>
    <col min="1" max="1" width="7.125" bestFit="1" customWidth="1"/>
    <col min="2" max="2" width="5.25" bestFit="1" customWidth="1"/>
    <col min="3" max="3" width="6" bestFit="1" customWidth="1"/>
    <col min="4" max="4" width="7.375" bestFit="1" customWidth="1"/>
    <col min="5" max="5" width="1.75" customWidth="1"/>
    <col min="6" max="6" width="9.125" customWidth="1"/>
    <col min="7" max="7" width="8.75" customWidth="1"/>
  </cols>
  <sheetData>
    <row r="1" spans="1:7">
      <c r="A1" s="19" t="s">
        <v>0</v>
      </c>
      <c r="B1" s="19"/>
      <c r="C1" s="19"/>
      <c r="D1" s="19"/>
      <c r="F1" s="19" t="s">
        <v>1</v>
      </c>
      <c r="G1" s="19"/>
    </row>
    <row r="2" spans="1:7" ht="17.25" thickBot="1"/>
    <row r="3" spans="1:7">
      <c r="A3" s="2" t="s">
        <v>2</v>
      </c>
      <c r="B3" s="3" t="s">
        <v>3</v>
      </c>
      <c r="C3" s="3" t="s">
        <v>4</v>
      </c>
      <c r="D3" s="4" t="s">
        <v>5</v>
      </c>
      <c r="F3" s="2" t="s">
        <v>2</v>
      </c>
      <c r="G3" s="4" t="s">
        <v>6</v>
      </c>
    </row>
    <row r="4" spans="1:7">
      <c r="A4" s="5" t="s">
        <v>7</v>
      </c>
      <c r="B4" s="6">
        <v>6</v>
      </c>
      <c r="C4" s="7">
        <v>250</v>
      </c>
      <c r="D4" s="8">
        <f>B4*C4</f>
        <v>1500</v>
      </c>
      <c r="F4" s="5" t="s">
        <v>8</v>
      </c>
      <c r="G4" s="8">
        <f t="shared" ref="G4:G6" si="0">COUNTIF(A4:A10,"컴퓨터")</f>
        <v>3</v>
      </c>
    </row>
    <row r="5" spans="1:7">
      <c r="A5" s="5" t="s">
        <v>8</v>
      </c>
      <c r="B5" s="6">
        <v>8</v>
      </c>
      <c r="C5" s="7">
        <v>300</v>
      </c>
      <c r="D5" s="8">
        <f t="shared" ref="D5:D10" si="1">B5*C5</f>
        <v>2400</v>
      </c>
      <c r="F5" s="5" t="s">
        <v>9</v>
      </c>
      <c r="G5" s="8">
        <f>COUNTIF(A4:A10,"캠코더")</f>
        <v>2</v>
      </c>
    </row>
    <row r="6" spans="1:7" ht="17.25" thickBot="1">
      <c r="A6" s="5" t="s">
        <v>7</v>
      </c>
      <c r="B6" s="6">
        <v>5</v>
      </c>
      <c r="C6" s="7">
        <v>250</v>
      </c>
      <c r="D6" s="8">
        <f t="shared" si="1"/>
        <v>1250</v>
      </c>
      <c r="F6" s="9" t="s">
        <v>7</v>
      </c>
      <c r="G6" s="10">
        <f>COUNTIF(A4:A10,"냉장고")</f>
        <v>2</v>
      </c>
    </row>
    <row r="7" spans="1:7">
      <c r="A7" s="5" t="s">
        <v>9</v>
      </c>
      <c r="B7" s="6">
        <v>7</v>
      </c>
      <c r="C7" s="7">
        <v>500</v>
      </c>
      <c r="D7" s="8">
        <f t="shared" si="1"/>
        <v>3500</v>
      </c>
    </row>
    <row r="8" spans="1:7">
      <c r="A8" s="11" t="s">
        <v>8</v>
      </c>
      <c r="B8" s="12">
        <v>10</v>
      </c>
      <c r="C8" s="7">
        <v>300</v>
      </c>
      <c r="D8" s="8">
        <f t="shared" si="1"/>
        <v>3000</v>
      </c>
    </row>
    <row r="9" spans="1:7">
      <c r="A9" s="5" t="s">
        <v>9</v>
      </c>
      <c r="B9" s="6">
        <v>5</v>
      </c>
      <c r="C9" s="7">
        <v>500</v>
      </c>
      <c r="D9" s="8">
        <f t="shared" si="1"/>
        <v>2500</v>
      </c>
    </row>
    <row r="10" spans="1:7" ht="17.25" thickBot="1">
      <c r="A10" s="9" t="s">
        <v>8</v>
      </c>
      <c r="B10" s="13">
        <v>7</v>
      </c>
      <c r="C10" s="14">
        <v>300</v>
      </c>
      <c r="D10" s="10">
        <f t="shared" si="1"/>
        <v>2100</v>
      </c>
    </row>
  </sheetData>
  <mergeCells count="2">
    <mergeCell ref="A1:D1"/>
    <mergeCell ref="F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9"/>
  <sheetViews>
    <sheetView workbookViewId="0">
      <selection activeCell="G13" sqref="G13"/>
    </sheetView>
  </sheetViews>
  <sheetFormatPr defaultRowHeight="16.5"/>
  <cols>
    <col min="1" max="1" width="2" style="1" customWidth="1"/>
    <col min="2" max="2" width="7.125" style="1" bestFit="1" customWidth="1"/>
    <col min="3" max="16384" width="9" style="1"/>
  </cols>
  <sheetData>
    <row r="1" spans="1:5" ht="17.25">
      <c r="A1" s="15"/>
      <c r="B1" s="20" t="s">
        <v>10</v>
      </c>
      <c r="C1" s="20"/>
      <c r="D1" s="20"/>
      <c r="E1" s="20"/>
    </row>
    <row r="2" spans="1:5">
      <c r="A2" s="15"/>
      <c r="B2" s="16" t="s">
        <v>11</v>
      </c>
      <c r="C2" s="16" t="s">
        <v>12</v>
      </c>
      <c r="D2" s="16" t="s">
        <v>13</v>
      </c>
      <c r="E2" s="16" t="s">
        <v>14</v>
      </c>
    </row>
    <row r="3" spans="1:5">
      <c r="A3" s="15"/>
      <c r="B3" s="17" t="s">
        <v>15</v>
      </c>
      <c r="C3" s="22">
        <v>35</v>
      </c>
      <c r="D3" s="22">
        <v>1200</v>
      </c>
      <c r="E3" s="23">
        <v>0.7</v>
      </c>
    </row>
    <row r="4" spans="1:5">
      <c r="A4" s="15"/>
      <c r="B4" s="17" t="s">
        <v>16</v>
      </c>
      <c r="C4" s="22">
        <v>60</v>
      </c>
      <c r="D4" s="22">
        <v>800</v>
      </c>
      <c r="E4" s="23">
        <v>0.6</v>
      </c>
    </row>
    <row r="5" spans="1:5">
      <c r="A5" s="15"/>
      <c r="B5" s="17" t="s">
        <v>17</v>
      </c>
      <c r="C5" s="22">
        <v>120</v>
      </c>
      <c r="D5" s="22">
        <v>600</v>
      </c>
      <c r="E5" s="23">
        <v>0.55000000000000004</v>
      </c>
    </row>
    <row r="6" spans="1:5">
      <c r="A6" s="15"/>
      <c r="B6" s="17" t="s">
        <v>17</v>
      </c>
      <c r="C6" s="22">
        <v>60</v>
      </c>
      <c r="D6" s="22">
        <v>800</v>
      </c>
      <c r="E6" s="23">
        <v>0.55000000000000004</v>
      </c>
    </row>
    <row r="7" spans="1:5">
      <c r="A7" s="15"/>
      <c r="B7" s="17" t="s">
        <v>15</v>
      </c>
      <c r="C7" s="22">
        <v>25</v>
      </c>
      <c r="D7" s="22">
        <v>600</v>
      </c>
      <c r="E7" s="23">
        <v>0.7</v>
      </c>
    </row>
    <row r="8" spans="1:5">
      <c r="A8" s="15"/>
      <c r="B8" s="17" t="s">
        <v>16</v>
      </c>
      <c r="C8" s="22">
        <v>54</v>
      </c>
      <c r="D8" s="22">
        <v>800</v>
      </c>
      <c r="E8" s="23">
        <v>0.6</v>
      </c>
    </row>
    <row r="9" spans="1:5">
      <c r="A9" s="15"/>
      <c r="B9" s="18" t="s">
        <v>18</v>
      </c>
      <c r="C9" s="21">
        <f>SUMIF($B$3:$B$8,"고급형",C3:C8)/COUNTIF($B$3:$B$8,"고급형")</f>
        <v>30</v>
      </c>
      <c r="D9" s="21">
        <f t="shared" ref="D9:E9" si="0">SUMIF($B$3:$B$8,"고급형",D3:D8)/COUNTIF($B$3:$B$8,"고급형")</f>
        <v>900</v>
      </c>
      <c r="E9" s="21">
        <f t="shared" si="0"/>
        <v>0.7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2011-07-04T05:28:19Z</dcterms:modified>
</cp:coreProperties>
</file>