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E4" i="2"/>
  <c r="E5"/>
  <c r="E6"/>
  <c r="E7"/>
  <c r="E3"/>
  <c r="E5" i="1" l="1"/>
  <c r="E4"/>
  <c r="E3"/>
</calcChain>
</file>

<file path=xl/sharedStrings.xml><?xml version="1.0" encoding="utf-8"?>
<sst xmlns="http://schemas.openxmlformats.org/spreadsheetml/2006/main" count="37" uniqueCount="35">
  <si>
    <t>C10셀을 기준으로 자료 찾기</t>
    <phoneticPr fontId="3" type="noConversion"/>
  </si>
  <si>
    <t>기준셀</t>
    <phoneticPr fontId="3" type="noConversion"/>
  </si>
  <si>
    <t>행</t>
    <phoneticPr fontId="3" type="noConversion"/>
  </si>
  <si>
    <t>열</t>
    <phoneticPr fontId="3" type="noConversion"/>
  </si>
  <si>
    <t>결과</t>
    <phoneticPr fontId="3" type="noConversion"/>
  </si>
  <si>
    <t>C10</t>
    <phoneticPr fontId="3" type="noConversion"/>
  </si>
  <si>
    <t>데이터 표</t>
    <phoneticPr fontId="3" type="noConversion"/>
  </si>
  <si>
    <t>JA140</t>
  </si>
  <si>
    <t>JB571</t>
  </si>
  <si>
    <t>JD367</t>
  </si>
  <si>
    <t>JC664</t>
  </si>
  <si>
    <t>JA188</t>
  </si>
  <si>
    <t>[표2]</t>
    <phoneticPr fontId="3" type="noConversion"/>
  </si>
  <si>
    <t>JA</t>
  </si>
  <si>
    <t>JB</t>
  </si>
  <si>
    <t>JD</t>
  </si>
  <si>
    <t>JC</t>
  </si>
  <si>
    <t>[표1]</t>
    <phoneticPr fontId="3" type="noConversion"/>
  </si>
  <si>
    <t>회원코드</t>
    <phoneticPr fontId="1" type="noConversion"/>
  </si>
  <si>
    <t>성명</t>
    <phoneticPr fontId="3" type="noConversion"/>
  </si>
  <si>
    <t>대출금액</t>
    <phoneticPr fontId="3" type="noConversion"/>
  </si>
  <si>
    <t>대출기간</t>
    <phoneticPr fontId="3" type="noConversion"/>
  </si>
  <si>
    <t>월상환액</t>
    <phoneticPr fontId="3" type="noConversion"/>
  </si>
  <si>
    <t>이찬진</t>
    <phoneticPr fontId="3" type="noConversion"/>
  </si>
  <si>
    <t>채경찬</t>
    <phoneticPr fontId="3" type="noConversion"/>
  </si>
  <si>
    <t>임종례</t>
    <phoneticPr fontId="3" type="noConversion"/>
  </si>
  <si>
    <t>정종수</t>
    <phoneticPr fontId="3" type="noConversion"/>
  </si>
  <si>
    <t>서현명</t>
    <phoneticPr fontId="3" type="noConversion"/>
  </si>
  <si>
    <t>자영업</t>
    <phoneticPr fontId="3" type="noConversion"/>
  </si>
  <si>
    <t>회사원</t>
    <phoneticPr fontId="3" type="noConversion"/>
  </si>
  <si>
    <t>공무원</t>
    <phoneticPr fontId="3" type="noConversion"/>
  </si>
  <si>
    <t>의사</t>
    <phoneticPr fontId="3" type="noConversion"/>
  </si>
  <si>
    <t>직업</t>
    <phoneticPr fontId="1" type="noConversion"/>
  </si>
  <si>
    <t>코드</t>
    <phoneticPr fontId="1" type="noConversion"/>
  </si>
  <si>
    <t>대출기간</t>
    <phoneticPr fontId="3" type="noConversion"/>
  </si>
</sst>
</file>

<file path=xl/styles.xml><?xml version="1.0" encoding="utf-8"?>
<styleSheet xmlns="http://schemas.openxmlformats.org/spreadsheetml/2006/main">
  <numFmts count="5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0.0%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1" fontId="6" fillId="0" borderId="1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2" fontId="0" fillId="0" borderId="1" xfId="2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77" fontId="0" fillId="0" borderId="1" xfId="3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6" fontId="0" fillId="0" borderId="1" xfId="2" applyNumberFormat="1" applyFont="1" applyBorder="1" applyAlignment="1">
      <alignment horizontal="center" vertical="center"/>
    </xf>
    <xf numFmtId="6" fontId="0" fillId="0" borderId="0" xfId="0" applyNumberFormat="1">
      <alignment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13"/>
  <sheetViews>
    <sheetView tabSelected="1" workbookViewId="0"/>
  </sheetViews>
  <sheetFormatPr defaultRowHeight="16.5"/>
  <cols>
    <col min="1" max="1" width="2.25" customWidth="1"/>
    <col min="2" max="5" width="7.5" customWidth="1"/>
  </cols>
  <sheetData>
    <row r="1" spans="1:5">
      <c r="A1" s="1"/>
      <c r="B1" s="25" t="s">
        <v>0</v>
      </c>
      <c r="C1" s="25"/>
      <c r="D1" s="25"/>
      <c r="E1" s="25"/>
    </row>
    <row r="2" spans="1:5">
      <c r="A2" s="1"/>
      <c r="B2" s="2" t="s">
        <v>1</v>
      </c>
      <c r="C2" s="2" t="s">
        <v>2</v>
      </c>
      <c r="D2" s="3" t="s">
        <v>3</v>
      </c>
      <c r="E2" s="3" t="s">
        <v>4</v>
      </c>
    </row>
    <row r="3" spans="1:5">
      <c r="A3" s="1"/>
      <c r="B3" s="4" t="s">
        <v>5</v>
      </c>
      <c r="C3" s="5">
        <v>1</v>
      </c>
      <c r="D3" s="6">
        <v>1</v>
      </c>
      <c r="E3" s="7">
        <f ca="1">OFFSET($C$10,C3,D3)</f>
        <v>16</v>
      </c>
    </row>
    <row r="4" spans="1:5">
      <c r="A4" s="1"/>
      <c r="B4" s="4" t="s">
        <v>5</v>
      </c>
      <c r="C4" s="5">
        <v>0</v>
      </c>
      <c r="D4" s="6">
        <v>2</v>
      </c>
      <c r="E4" s="7">
        <f ca="1">OFFSET($C$10,C4,D4)</f>
        <v>21</v>
      </c>
    </row>
    <row r="5" spans="1:5">
      <c r="A5" s="1"/>
      <c r="B5" s="4" t="s">
        <v>5</v>
      </c>
      <c r="C5" s="5">
        <v>-2</v>
      </c>
      <c r="D5" s="6">
        <v>-1</v>
      </c>
      <c r="E5" s="7">
        <f ca="1">OFFSET($C$10,C5,D5)</f>
        <v>1</v>
      </c>
    </row>
    <row r="6" spans="1:5">
      <c r="A6" s="1"/>
      <c r="B6" s="1"/>
      <c r="C6" s="1"/>
      <c r="D6" s="8"/>
      <c r="E6" s="1"/>
    </row>
    <row r="7" spans="1:5" ht="17.25" thickBot="1">
      <c r="A7" s="1"/>
      <c r="B7" s="25" t="s">
        <v>6</v>
      </c>
      <c r="C7" s="25"/>
      <c r="D7" s="25"/>
      <c r="E7" s="25"/>
    </row>
    <row r="8" spans="1:5">
      <c r="A8" s="1"/>
      <c r="B8" s="9">
        <v>1</v>
      </c>
      <c r="C8" s="10">
        <v>7</v>
      </c>
      <c r="D8" s="10">
        <v>13</v>
      </c>
      <c r="E8" s="11">
        <v>19</v>
      </c>
    </row>
    <row r="9" spans="1:5">
      <c r="A9" s="1"/>
      <c r="B9" s="12">
        <v>2</v>
      </c>
      <c r="C9" s="4">
        <v>8</v>
      </c>
      <c r="D9" s="4">
        <v>14</v>
      </c>
      <c r="E9" s="13">
        <v>20</v>
      </c>
    </row>
    <row r="10" spans="1:5">
      <c r="A10" s="1"/>
      <c r="B10" s="12">
        <v>3</v>
      </c>
      <c r="C10" s="4">
        <v>9</v>
      </c>
      <c r="D10" s="4">
        <v>15</v>
      </c>
      <c r="E10" s="13">
        <v>21</v>
      </c>
    </row>
    <row r="11" spans="1:5">
      <c r="A11" s="1"/>
      <c r="B11" s="12">
        <v>4</v>
      </c>
      <c r="C11" s="4">
        <v>10</v>
      </c>
      <c r="D11" s="4">
        <v>16</v>
      </c>
      <c r="E11" s="13">
        <v>22</v>
      </c>
    </row>
    <row r="12" spans="1:5">
      <c r="A12" s="1"/>
      <c r="B12" s="12">
        <v>5</v>
      </c>
      <c r="C12" s="4">
        <v>11</v>
      </c>
      <c r="D12" s="4">
        <v>17</v>
      </c>
      <c r="E12" s="13">
        <v>23</v>
      </c>
    </row>
    <row r="13" spans="1:5" ht="17.25" thickBot="1">
      <c r="A13" s="1"/>
      <c r="B13" s="14">
        <v>6</v>
      </c>
      <c r="C13" s="15">
        <v>12</v>
      </c>
      <c r="D13" s="15">
        <v>18</v>
      </c>
      <c r="E13" s="16">
        <v>24</v>
      </c>
    </row>
  </sheetData>
  <mergeCells count="2">
    <mergeCell ref="B1:E1"/>
    <mergeCell ref="B7:E7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4"/>
  <sheetViews>
    <sheetView workbookViewId="0"/>
  </sheetViews>
  <sheetFormatPr defaultRowHeight="16.5"/>
  <cols>
    <col min="3" max="5" width="12.375" bestFit="1" customWidth="1"/>
    <col min="7" max="7" width="9.25" bestFit="1" customWidth="1"/>
  </cols>
  <sheetData>
    <row r="1" spans="1:7">
      <c r="A1" t="s">
        <v>17</v>
      </c>
    </row>
    <row r="2" spans="1:7">
      <c r="A2" s="17" t="s">
        <v>18</v>
      </c>
      <c r="B2" s="17" t="s">
        <v>19</v>
      </c>
      <c r="C2" s="17" t="s">
        <v>20</v>
      </c>
      <c r="D2" s="17" t="s">
        <v>34</v>
      </c>
      <c r="E2" s="18" t="s">
        <v>22</v>
      </c>
    </row>
    <row r="3" spans="1:7">
      <c r="A3" s="17" t="s">
        <v>7</v>
      </c>
      <c r="B3" s="17" t="s">
        <v>23</v>
      </c>
      <c r="C3" s="19">
        <v>5000000</v>
      </c>
      <c r="D3" s="17">
        <v>3</v>
      </c>
      <c r="E3" s="27">
        <f ca="1">PMT(OFFSET($B$10,MATCH(LEFT(A3,2),$A$11:$A$14,0),D3)/12,D3*12,-C3)</f>
        <v>150979.50902155117</v>
      </c>
    </row>
    <row r="4" spans="1:7">
      <c r="A4" s="17" t="s">
        <v>8</v>
      </c>
      <c r="B4" s="17" t="s">
        <v>24</v>
      </c>
      <c r="C4" s="19">
        <v>7000000</v>
      </c>
      <c r="D4" s="17">
        <v>2</v>
      </c>
      <c r="E4" s="27">
        <f t="shared" ref="E4:E7" ca="1" si="0">PMT(OFFSET($B$10,MATCH(LEFT(A4,2),$A$11:$A$14,0),D4)/12,D4*12,-C4)</f>
        <v>308041.06925023184</v>
      </c>
      <c r="G4" s="28"/>
    </row>
    <row r="5" spans="1:7">
      <c r="A5" s="17" t="s">
        <v>9</v>
      </c>
      <c r="B5" s="17" t="s">
        <v>25</v>
      </c>
      <c r="C5" s="19">
        <v>5500000</v>
      </c>
      <c r="D5" s="17">
        <v>2</v>
      </c>
      <c r="E5" s="27">
        <f t="shared" ca="1" si="0"/>
        <v>240308.59656163145</v>
      </c>
    </row>
    <row r="6" spans="1:7">
      <c r="A6" s="17" t="s">
        <v>10</v>
      </c>
      <c r="B6" s="17" t="s">
        <v>26</v>
      </c>
      <c r="C6" s="19">
        <v>2000000</v>
      </c>
      <c r="D6" s="17">
        <v>4</v>
      </c>
      <c r="E6" s="27">
        <f t="shared" ca="1" si="0"/>
        <v>45427.096547436093</v>
      </c>
    </row>
    <row r="7" spans="1:7">
      <c r="A7" s="17" t="s">
        <v>11</v>
      </c>
      <c r="B7" s="17" t="s">
        <v>27</v>
      </c>
      <c r="C7" s="19">
        <v>5000000</v>
      </c>
      <c r="D7" s="17">
        <v>1</v>
      </c>
      <c r="E7" s="27">
        <f t="shared" ca="1" si="0"/>
        <v>431482.08480141155</v>
      </c>
      <c r="G7" s="28"/>
    </row>
    <row r="9" spans="1:7" ht="16.5" customHeight="1">
      <c r="A9" s="20" t="s">
        <v>12</v>
      </c>
      <c r="B9" s="24"/>
      <c r="C9" s="26" t="s">
        <v>21</v>
      </c>
      <c r="D9" s="26"/>
      <c r="E9" s="26"/>
      <c r="F9" s="26"/>
      <c r="G9" s="26"/>
    </row>
    <row r="10" spans="1:7">
      <c r="A10" s="23" t="s">
        <v>33</v>
      </c>
      <c r="B10" s="22" t="s">
        <v>32</v>
      </c>
      <c r="C10" s="17">
        <v>1</v>
      </c>
      <c r="D10" s="17">
        <v>2</v>
      </c>
      <c r="E10" s="17">
        <v>3</v>
      </c>
      <c r="F10" s="17">
        <v>4</v>
      </c>
      <c r="G10" s="17">
        <v>5</v>
      </c>
    </row>
    <row r="11" spans="1:7">
      <c r="A11" s="17" t="s">
        <v>13</v>
      </c>
      <c r="B11" s="17" t="s">
        <v>28</v>
      </c>
      <c r="C11" s="21">
        <v>6.5000000000000002E-2</v>
      </c>
      <c r="D11" s="21">
        <v>0.06</v>
      </c>
      <c r="E11" s="21">
        <v>5.5E-2</v>
      </c>
      <c r="F11" s="21">
        <v>0.05</v>
      </c>
      <c r="G11" s="21">
        <v>4.4999999999999998E-2</v>
      </c>
    </row>
    <row r="12" spans="1:7">
      <c r="A12" s="17" t="s">
        <v>14</v>
      </c>
      <c r="B12" s="17" t="s">
        <v>29</v>
      </c>
      <c r="C12" s="21">
        <v>5.5E-2</v>
      </c>
      <c r="D12" s="21">
        <v>5.2999999999999999E-2</v>
      </c>
      <c r="E12" s="21">
        <v>4.4999999999999998E-2</v>
      </c>
      <c r="F12" s="21">
        <v>4.2000000000000003E-2</v>
      </c>
      <c r="G12" s="21">
        <v>3.7999999999999999E-2</v>
      </c>
    </row>
    <row r="13" spans="1:7">
      <c r="A13" s="17" t="s">
        <v>16</v>
      </c>
      <c r="B13" s="17" t="s">
        <v>31</v>
      </c>
      <c r="C13" s="21">
        <v>5.8000000000000003E-2</v>
      </c>
      <c r="D13" s="21">
        <v>5.2999999999999999E-2</v>
      </c>
      <c r="E13" s="21">
        <v>4.8000000000000001E-2</v>
      </c>
      <c r="F13" s="21">
        <v>4.2999999999999997E-2</v>
      </c>
      <c r="G13" s="21">
        <v>3.7999999999999999E-2</v>
      </c>
    </row>
    <row r="14" spans="1:7">
      <c r="A14" s="17" t="s">
        <v>15</v>
      </c>
      <c r="B14" s="17" t="s">
        <v>30</v>
      </c>
      <c r="C14" s="21">
        <v>0.05</v>
      </c>
      <c r="D14" s="21">
        <v>4.5999999999999999E-2</v>
      </c>
      <c r="E14" s="21">
        <v>4.2000000000000003E-2</v>
      </c>
      <c r="F14" s="21">
        <v>3.7999999999999999E-2</v>
      </c>
      <c r="G14" s="21">
        <v>3.4000000000000002E-2</v>
      </c>
    </row>
  </sheetData>
  <mergeCells count="1">
    <mergeCell ref="C9:G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woo</cp:lastModifiedBy>
  <dcterms:created xsi:type="dcterms:W3CDTF">2011-07-03T12:01:47Z</dcterms:created>
  <dcterms:modified xsi:type="dcterms:W3CDTF">2015-08-26T07:15:49Z</dcterms:modified>
</cp:coreProperties>
</file>