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현재_통합_문서" defaultThemeVersion="124226"/>
  <bookViews>
    <workbookView xWindow="480" yWindow="75" windowWidth="18195" windowHeight="11145" tabRatio="957" activeTab="19"/>
  </bookViews>
  <sheets>
    <sheet name="실전A형" sheetId="1" r:id="rId1"/>
    <sheet name="실전B형" sheetId="2" r:id="rId2"/>
    <sheet name="실전C형" sheetId="3" r:id="rId3"/>
    <sheet name="실전D형" sheetId="4" r:id="rId4"/>
    <sheet name="실전E형" sheetId="5" r:id="rId5"/>
    <sheet name="실전F형" sheetId="6" r:id="rId6"/>
    <sheet name="실전G형" sheetId="7" r:id="rId7"/>
    <sheet name="실전H형" sheetId="8" r:id="rId8"/>
    <sheet name="실전I형" sheetId="9" r:id="rId9"/>
    <sheet name="실전J형" sheetId="10" r:id="rId10"/>
    <sheet name="19년1회E형" sheetId="43" r:id="rId11"/>
    <sheet name="18년2회E형" sheetId="42" r:id="rId12"/>
    <sheet name="18년1회E형" sheetId="40" r:id="rId13"/>
    <sheet name="17년상시" sheetId="41" r:id="rId14"/>
    <sheet name="17년1회E형" sheetId="39" r:id="rId15"/>
    <sheet name="16년3회E형" sheetId="38" r:id="rId16"/>
    <sheet name="16년2회E형" sheetId="35" r:id="rId17"/>
    <sheet name="16년1회E형" sheetId="36" r:id="rId18"/>
    <sheet name="15년3회E형" sheetId="37" r:id="rId19"/>
    <sheet name="15년상시" sheetId="34" r:id="rId20"/>
  </sheets>
  <functionGroups builtInGroupCount="17"/>
  <calcPr calcId="144525"/>
</workbook>
</file>

<file path=xl/calcChain.xml><?xml version="1.0" encoding="utf-8"?>
<calcChain xmlns="http://schemas.openxmlformats.org/spreadsheetml/2006/main">
  <c r="I32" i="34" l="1"/>
  <c r="H36" i="34" a="1"/>
  <c r="H36" i="34" s="1"/>
  <c r="H35" i="34" a="1"/>
  <c r="H35" i="34" s="1"/>
  <c r="H34" i="34" a="1"/>
  <c r="H34" i="34" s="1"/>
  <c r="H33" i="34" a="1"/>
  <c r="H33" i="34" s="1"/>
  <c r="H32" i="34" a="1"/>
  <c r="H32" i="34" s="1"/>
  <c r="I27" i="34"/>
  <c r="I26" i="34"/>
  <c r="I25" i="34"/>
  <c r="I24" i="34"/>
  <c r="I23" i="34"/>
  <c r="I22" i="34"/>
  <c r="I21" i="34"/>
  <c r="I20" i="34"/>
  <c r="I19" i="34"/>
  <c r="I18" i="34"/>
  <c r="I17" i="34"/>
  <c r="I16" i="34"/>
  <c r="I15" i="34"/>
  <c r="I14" i="34"/>
  <c r="I13" i="34"/>
  <c r="I12" i="34"/>
  <c r="I11" i="34"/>
  <c r="I10" i="34"/>
  <c r="I9" i="34"/>
  <c r="I8" i="34"/>
  <c r="I7" i="34"/>
  <c r="I6" i="34"/>
  <c r="I5" i="34"/>
  <c r="I4" i="34"/>
  <c r="I3" i="34"/>
  <c r="D27" i="34"/>
  <c r="D26" i="34"/>
  <c r="D25" i="34"/>
  <c r="D24" i="34"/>
  <c r="D23" i="34"/>
  <c r="D22" i="34"/>
  <c r="D21" i="34"/>
  <c r="D20" i="34"/>
  <c r="D19" i="34"/>
  <c r="D18" i="34"/>
  <c r="D17" i="34"/>
  <c r="D16" i="34"/>
  <c r="D15" i="34"/>
  <c r="D14" i="34"/>
  <c r="D13" i="34"/>
  <c r="D12" i="34"/>
  <c r="D11" i="34"/>
  <c r="D10" i="34"/>
  <c r="D9" i="34"/>
  <c r="D8" i="34"/>
  <c r="D7" i="34"/>
  <c r="D6" i="34"/>
  <c r="D5" i="34"/>
  <c r="D4" i="34"/>
  <c r="D3" i="34"/>
  <c r="J34" i="37" a="1"/>
  <c r="J34" i="37" s="1"/>
  <c r="I34" i="37" a="1"/>
  <c r="I34" i="37" s="1"/>
  <c r="J36" i="37" a="1"/>
  <c r="J36" i="37" s="1"/>
  <c r="I36" i="37" a="1"/>
  <c r="I36" i="37" s="1"/>
  <c r="H36" i="37" a="1"/>
  <c r="H36" i="37" s="1"/>
  <c r="J35" i="37" a="1"/>
  <c r="J35" i="37" s="1"/>
  <c r="I35" i="37" a="1"/>
  <c r="I35" i="37" s="1"/>
  <c r="H35" i="37" a="1"/>
  <c r="H35" i="37" s="1"/>
  <c r="H34" i="37" a="1"/>
  <c r="H34" i="37" s="1"/>
  <c r="L30" i="37"/>
  <c r="L29" i="37"/>
  <c r="L28" i="37"/>
  <c r="L27" i="37"/>
  <c r="L26" i="37"/>
  <c r="L25" i="37"/>
  <c r="L24" i="37"/>
  <c r="L23" i="37"/>
  <c r="L22" i="37"/>
  <c r="L21" i="37"/>
  <c r="L20" i="37"/>
  <c r="L19" i="37"/>
  <c r="L18" i="37"/>
  <c r="L17" i="37"/>
  <c r="L16" i="37"/>
  <c r="L15" i="37"/>
  <c r="L14" i="37"/>
  <c r="L13" i="37"/>
  <c r="L12" i="37"/>
  <c r="L11" i="37"/>
  <c r="L10" i="37"/>
  <c r="L9" i="37"/>
  <c r="L8" i="37"/>
  <c r="L7" i="37"/>
  <c r="L6" i="37"/>
  <c r="L5" i="37"/>
  <c r="L3" i="37"/>
  <c r="L4" i="37"/>
  <c r="H30" i="37"/>
  <c r="H29" i="37"/>
  <c r="H28" i="37"/>
  <c r="H27" i="37"/>
  <c r="H26" i="37"/>
  <c r="H25" i="37"/>
  <c r="H24" i="37"/>
  <c r="H23" i="37"/>
  <c r="H22" i="37"/>
  <c r="H21" i="37"/>
  <c r="H20" i="37"/>
  <c r="H19" i="37"/>
  <c r="H18" i="37"/>
  <c r="H17" i="37"/>
  <c r="H16" i="37"/>
  <c r="H15" i="37"/>
  <c r="H14" i="37"/>
  <c r="H13" i="37"/>
  <c r="H12" i="37"/>
  <c r="H11" i="37"/>
  <c r="H10" i="37"/>
  <c r="H9" i="37"/>
  <c r="H8" i="37"/>
  <c r="H7" i="37"/>
  <c r="H6" i="37"/>
  <c r="H5" i="37"/>
  <c r="H4" i="37"/>
  <c r="H3" i="37"/>
  <c r="C30" i="37"/>
  <c r="C29" i="37"/>
  <c r="C28" i="37"/>
  <c r="C27" i="37"/>
  <c r="C26" i="37"/>
  <c r="C25" i="37"/>
  <c r="C24" i="37"/>
  <c r="C23" i="37"/>
  <c r="C22" i="37"/>
  <c r="C21" i="37"/>
  <c r="C20" i="37"/>
  <c r="C19" i="37"/>
  <c r="C18" i="37"/>
  <c r="C17" i="37"/>
  <c r="C16" i="37"/>
  <c r="C15" i="37"/>
  <c r="C14" i="37"/>
  <c r="C13" i="37"/>
  <c r="C12" i="37"/>
  <c r="C11" i="37"/>
  <c r="C10" i="37"/>
  <c r="C9" i="37"/>
  <c r="C8" i="37"/>
  <c r="C7" i="37"/>
  <c r="C6" i="37"/>
  <c r="C5" i="37"/>
  <c r="C4" i="37"/>
  <c r="C3" i="37"/>
  <c r="P12" i="36" a="1"/>
  <c r="P12" i="36" s="1"/>
  <c r="P11" i="36" a="1"/>
  <c r="P11" i="36" s="1"/>
  <c r="O12" i="36" a="1"/>
  <c r="O12" i="36" s="1"/>
  <c r="O11" i="36" a="1"/>
  <c r="O11" i="36" s="1"/>
  <c r="N11" i="36" a="1"/>
  <c r="N11" i="36" s="1"/>
  <c r="N12" i="36" a="1"/>
  <c r="N12" i="36" s="1"/>
  <c r="M12" i="36" a="1"/>
  <c r="M12" i="36" s="1"/>
  <c r="M11" i="36" a="1"/>
  <c r="M11" i="36" s="1"/>
  <c r="I31" i="36"/>
  <c r="I30" i="36"/>
  <c r="I29" i="36"/>
  <c r="I28" i="36"/>
  <c r="I27" i="36"/>
  <c r="I26" i="36"/>
  <c r="I25" i="36"/>
  <c r="I24" i="36"/>
  <c r="I23" i="36"/>
  <c r="I22" i="36"/>
  <c r="I21" i="36"/>
  <c r="I20" i="36"/>
  <c r="I19" i="36"/>
  <c r="I18" i="36"/>
  <c r="I17" i="36"/>
  <c r="I16" i="36"/>
  <c r="I15" i="36"/>
  <c r="I14" i="36"/>
  <c r="I13" i="36"/>
  <c r="I12" i="36"/>
  <c r="I11" i="36"/>
  <c r="I10" i="36"/>
  <c r="I9" i="36"/>
  <c r="I8" i="36"/>
  <c r="I7" i="36"/>
  <c r="I6" i="36"/>
  <c r="I5" i="36"/>
  <c r="I4" i="36"/>
  <c r="I3" i="36"/>
  <c r="D31" i="36"/>
  <c r="D30" i="36"/>
  <c r="D29" i="36"/>
  <c r="D28" i="36"/>
  <c r="D27" i="36"/>
  <c r="D26" i="36"/>
  <c r="D25" i="36"/>
  <c r="D24" i="36"/>
  <c r="D23" i="36"/>
  <c r="D22" i="36"/>
  <c r="D21" i="36"/>
  <c r="D20" i="36"/>
  <c r="D19" i="36"/>
  <c r="D18" i="36"/>
  <c r="D17" i="36"/>
  <c r="D16" i="36"/>
  <c r="D15" i="36"/>
  <c r="D14" i="36"/>
  <c r="D13" i="36"/>
  <c r="D12" i="36"/>
  <c r="D11" i="36"/>
  <c r="D10" i="36"/>
  <c r="D9" i="36"/>
  <c r="D8" i="36"/>
  <c r="D7" i="36"/>
  <c r="D6" i="36"/>
  <c r="D5" i="36"/>
  <c r="D4" i="36"/>
  <c r="D3" i="36"/>
  <c r="M22" i="35" a="1"/>
  <c r="M25" i="35" s="1"/>
  <c r="L18" i="35" a="1"/>
  <c r="L18" i="35" s="1"/>
  <c r="L17" i="35" a="1"/>
  <c r="L17" i="35" s="1"/>
  <c r="L16" i="35" a="1"/>
  <c r="L16" i="35" s="1"/>
  <c r="D30" i="35"/>
  <c r="D29" i="35"/>
  <c r="D28" i="35"/>
  <c r="D27" i="35"/>
  <c r="D26" i="35"/>
  <c r="D25" i="35"/>
  <c r="D24" i="35"/>
  <c r="D23" i="35"/>
  <c r="D22" i="35"/>
  <c r="D21" i="35"/>
  <c r="D20" i="35"/>
  <c r="D19" i="35"/>
  <c r="D18" i="35"/>
  <c r="D17" i="35"/>
  <c r="D16" i="35"/>
  <c r="D15" i="35"/>
  <c r="D14" i="35"/>
  <c r="D13" i="35"/>
  <c r="D12" i="35"/>
  <c r="D11" i="35"/>
  <c r="D10" i="35"/>
  <c r="D9" i="35"/>
  <c r="D8" i="35"/>
  <c r="D7" i="35"/>
  <c r="D6" i="35"/>
  <c r="D5" i="35"/>
  <c r="D4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17" i="35"/>
  <c r="A16" i="35"/>
  <c r="A15" i="35"/>
  <c r="A14" i="35"/>
  <c r="A13" i="35"/>
  <c r="A12" i="35"/>
  <c r="A11" i="35"/>
  <c r="A10" i="35"/>
  <c r="A9" i="35"/>
  <c r="A8" i="35"/>
  <c r="A7" i="35"/>
  <c r="A6" i="35"/>
  <c r="A5" i="35"/>
  <c r="A4" i="35"/>
  <c r="L21" i="38" a="1"/>
  <c r="L21" i="38" s="1"/>
  <c r="L20" i="38" a="1"/>
  <c r="L20" i="38" s="1"/>
  <c r="L19" i="38" a="1"/>
  <c r="L19" i="38" s="1"/>
  <c r="L18" i="38" a="1"/>
  <c r="L18" i="38" s="1"/>
  <c r="L12" i="38" a="1"/>
  <c r="L12" i="38" s="1"/>
  <c r="L13" i="38" a="1"/>
  <c r="L13" i="38" s="1"/>
  <c r="L14" i="38" a="1"/>
  <c r="L14" i="38" s="1"/>
  <c r="M14" i="38" a="1"/>
  <c r="M14" i="38" s="1"/>
  <c r="M13" i="38" a="1"/>
  <c r="M13" i="38" s="1"/>
  <c r="M12" i="38" a="1"/>
  <c r="M12" i="38" s="1"/>
  <c r="N12" i="38" a="1"/>
  <c r="N12" i="38" s="1"/>
  <c r="N13" i="38" a="1"/>
  <c r="N13" i="38" s="1"/>
  <c r="N14" i="38" a="1"/>
  <c r="N14" i="38" s="1"/>
  <c r="G37" i="38"/>
  <c r="G36" i="38"/>
  <c r="G35" i="38"/>
  <c r="G34" i="38"/>
  <c r="G33" i="38"/>
  <c r="G32" i="38"/>
  <c r="G31" i="38"/>
  <c r="G30" i="38"/>
  <c r="G29" i="38"/>
  <c r="G28" i="38"/>
  <c r="G27" i="38"/>
  <c r="G26" i="38"/>
  <c r="G25" i="38"/>
  <c r="G24" i="38"/>
  <c r="G23" i="38"/>
  <c r="G22" i="38"/>
  <c r="G21" i="38"/>
  <c r="G20" i="38"/>
  <c r="G19" i="38"/>
  <c r="G18" i="38"/>
  <c r="G17" i="38"/>
  <c r="G16" i="38"/>
  <c r="G15" i="38"/>
  <c r="G14" i="38"/>
  <c r="G13" i="38"/>
  <c r="G12" i="38"/>
  <c r="G11" i="38"/>
  <c r="G10" i="38"/>
  <c r="G9" i="38"/>
  <c r="G8" i="38"/>
  <c r="G7" i="38"/>
  <c r="G6" i="38"/>
  <c r="G5" i="38"/>
  <c r="G4" i="38"/>
  <c r="G3" i="38"/>
  <c r="C37" i="38"/>
  <c r="C36" i="38"/>
  <c r="C35" i="38"/>
  <c r="C34" i="38"/>
  <c r="C33" i="38"/>
  <c r="C32" i="38"/>
  <c r="C31" i="38"/>
  <c r="C30" i="38"/>
  <c r="C29" i="38"/>
  <c r="C28" i="38"/>
  <c r="C27" i="38"/>
  <c r="C26" i="38"/>
  <c r="C25" i="38"/>
  <c r="C24" i="38"/>
  <c r="C23" i="38"/>
  <c r="C22" i="38"/>
  <c r="C21" i="38"/>
  <c r="C20" i="38"/>
  <c r="C19" i="38"/>
  <c r="C18" i="38"/>
  <c r="C17" i="38"/>
  <c r="C16" i="38"/>
  <c r="C14" i="38"/>
  <c r="C13" i="38"/>
  <c r="C12" i="38"/>
  <c r="C11" i="38"/>
  <c r="C10" i="38"/>
  <c r="C9" i="38"/>
  <c r="C8" i="38"/>
  <c r="C7" i="38"/>
  <c r="C6" i="38"/>
  <c r="C5" i="38"/>
  <c r="C4" i="38"/>
  <c r="C3" i="38"/>
  <c r="C15" i="38"/>
  <c r="S23" i="39" a="1"/>
  <c r="S23" i="39" s="1"/>
  <c r="S22" i="39" a="1"/>
  <c r="S22" i="39" s="1"/>
  <c r="S21" i="39" a="1"/>
  <c r="S21" i="39" s="1"/>
  <c r="R24" i="39" a="1"/>
  <c r="R24" i="39" s="1"/>
  <c r="Q24" i="39" a="1"/>
  <c r="Q24" i="39" s="1"/>
  <c r="P24" i="39"/>
  <c r="P24" i="39" a="1"/>
  <c r="R23" i="39" a="1"/>
  <c r="R23" i="39" s="1"/>
  <c r="Q23" i="39" a="1"/>
  <c r="Q23" i="39" s="1"/>
  <c r="P23" i="39" a="1"/>
  <c r="P23" i="39" s="1"/>
  <c r="R22" i="39" a="1"/>
  <c r="R22" i="39" s="1"/>
  <c r="Q22" i="39" a="1"/>
  <c r="Q22" i="39" s="1"/>
  <c r="P22" i="39" a="1"/>
  <c r="P22" i="39" s="1"/>
  <c r="R21" i="39" a="1"/>
  <c r="R21" i="39" s="1"/>
  <c r="Q21" i="39" a="1"/>
  <c r="Q21" i="39" s="1"/>
  <c r="P21" i="39" a="1"/>
  <c r="P21" i="39" s="1"/>
  <c r="O24" i="39" a="1"/>
  <c r="O24" i="39" s="1"/>
  <c r="O23" i="39" a="1"/>
  <c r="O23" i="39" s="1"/>
  <c r="O22" i="39" a="1"/>
  <c r="O22" i="39" s="1"/>
  <c r="O21" i="39" a="1"/>
  <c r="O21" i="39" s="1"/>
  <c r="S24" i="39" a="1"/>
  <c r="S24" i="39" s="1"/>
  <c r="L20" i="39" a="1"/>
  <c r="L22" i="39" s="1"/>
  <c r="E3" i="39"/>
  <c r="E38" i="39"/>
  <c r="E37" i="39"/>
  <c r="E36" i="39"/>
  <c r="E35" i="39"/>
  <c r="E34" i="39"/>
  <c r="E33" i="39"/>
  <c r="E32" i="39"/>
  <c r="E31" i="39"/>
  <c r="E30" i="39"/>
  <c r="E29" i="39"/>
  <c r="E28" i="39"/>
  <c r="E27" i="39"/>
  <c r="E26" i="39"/>
  <c r="E25" i="39"/>
  <c r="E24" i="39"/>
  <c r="E23" i="39"/>
  <c r="E22" i="39"/>
  <c r="E21" i="39"/>
  <c r="E20" i="39"/>
  <c r="E19" i="39"/>
  <c r="E18" i="39"/>
  <c r="E17" i="39"/>
  <c r="E16" i="39"/>
  <c r="E15" i="39"/>
  <c r="E14" i="39"/>
  <c r="E13" i="39"/>
  <c r="E12" i="39"/>
  <c r="E11" i="39"/>
  <c r="E10" i="39"/>
  <c r="E9" i="39"/>
  <c r="E8" i="39"/>
  <c r="E7" i="39"/>
  <c r="E6" i="39"/>
  <c r="E5" i="39"/>
  <c r="E4" i="39"/>
  <c r="D38" i="39"/>
  <c r="D37" i="39"/>
  <c r="D36" i="39"/>
  <c r="D35" i="39"/>
  <c r="D34" i="39"/>
  <c r="D33" i="39"/>
  <c r="D32" i="39"/>
  <c r="D31" i="39"/>
  <c r="D30" i="39"/>
  <c r="D29" i="39"/>
  <c r="D28" i="39"/>
  <c r="D27" i="39"/>
  <c r="D26" i="39"/>
  <c r="D25" i="39"/>
  <c r="D24" i="39"/>
  <c r="D23" i="39"/>
  <c r="D22" i="39"/>
  <c r="D21" i="39"/>
  <c r="D20" i="39"/>
  <c r="D19" i="39"/>
  <c r="D18" i="39"/>
  <c r="D17" i="39"/>
  <c r="D16" i="39"/>
  <c r="D15" i="39"/>
  <c r="D14" i="39"/>
  <c r="D13" i="39"/>
  <c r="D12" i="39"/>
  <c r="D11" i="39"/>
  <c r="D10" i="39"/>
  <c r="D9" i="39"/>
  <c r="D8" i="39"/>
  <c r="D7" i="39"/>
  <c r="D6" i="39"/>
  <c r="D5" i="39"/>
  <c r="D4" i="39"/>
  <c r="D3" i="39"/>
  <c r="J27" i="34"/>
  <c r="J15" i="34"/>
  <c r="J26" i="34"/>
  <c r="J14" i="34"/>
  <c r="J25" i="34"/>
  <c r="J13" i="34"/>
  <c r="J24" i="34"/>
  <c r="J12" i="34"/>
  <c r="J23" i="34"/>
  <c r="J11" i="34"/>
  <c r="J22" i="34"/>
  <c r="J10" i="34"/>
  <c r="J21" i="34"/>
  <c r="J9" i="34"/>
  <c r="J19" i="34"/>
  <c r="J7" i="34"/>
  <c r="J6" i="34"/>
  <c r="J20" i="34"/>
  <c r="J8" i="34"/>
  <c r="J18" i="34"/>
  <c r="J17" i="34"/>
  <c r="J5" i="34"/>
  <c r="J16" i="34"/>
  <c r="J4" i="34"/>
  <c r="J3" i="34"/>
  <c r="M26" i="37"/>
  <c r="M14" i="37"/>
  <c r="M12" i="37"/>
  <c r="M22" i="37"/>
  <c r="M21" i="37"/>
  <c r="M16" i="37"/>
  <c r="M25" i="37"/>
  <c r="M13" i="37"/>
  <c r="M24" i="37"/>
  <c r="M23" i="37"/>
  <c r="M11" i="37"/>
  <c r="M10" i="37"/>
  <c r="M9" i="37"/>
  <c r="M20" i="37"/>
  <c r="M8" i="37"/>
  <c r="M29" i="37"/>
  <c r="M28" i="37"/>
  <c r="M27" i="37"/>
  <c r="M19" i="37"/>
  <c r="M7" i="37"/>
  <c r="M30" i="37"/>
  <c r="M18" i="37"/>
  <c r="M6" i="37"/>
  <c r="M17" i="37"/>
  <c r="M5" i="37"/>
  <c r="M4" i="37"/>
  <c r="M15" i="37"/>
  <c r="M3" i="37"/>
  <c r="J26" i="36"/>
  <c r="J14" i="36"/>
  <c r="J25" i="36"/>
  <c r="J13" i="36"/>
  <c r="J24" i="36"/>
  <c r="J12" i="36"/>
  <c r="J23" i="36"/>
  <c r="J11" i="36"/>
  <c r="J22" i="36"/>
  <c r="J10" i="36"/>
  <c r="J21" i="36"/>
  <c r="J9" i="36"/>
  <c r="J20" i="36"/>
  <c r="J8" i="36"/>
  <c r="J31" i="36"/>
  <c r="J19" i="36"/>
  <c r="J7" i="36"/>
  <c r="J30" i="36"/>
  <c r="J18" i="36"/>
  <c r="J6" i="36"/>
  <c r="J29" i="36"/>
  <c r="J17" i="36"/>
  <c r="J5" i="36"/>
  <c r="J28" i="36"/>
  <c r="J16" i="36"/>
  <c r="J4" i="36"/>
  <c r="J27" i="36"/>
  <c r="J15" i="36"/>
  <c r="J3" i="36"/>
  <c r="I28" i="35"/>
  <c r="I16" i="35"/>
  <c r="I27" i="35"/>
  <c r="I15" i="35"/>
  <c r="I26" i="35"/>
  <c r="I14" i="35"/>
  <c r="I20" i="35"/>
  <c r="I29" i="35"/>
  <c r="I25" i="35"/>
  <c r="I13" i="35"/>
  <c r="I24" i="35"/>
  <c r="I12" i="35"/>
  <c r="I18" i="35"/>
  <c r="I5" i="35"/>
  <c r="I23" i="35"/>
  <c r="I11" i="35"/>
  <c r="I22" i="35"/>
  <c r="I10" i="35"/>
  <c r="I21" i="35"/>
  <c r="I9" i="35"/>
  <c r="I8" i="35"/>
  <c r="I6" i="35"/>
  <c r="I17" i="35"/>
  <c r="I19" i="35"/>
  <c r="I7" i="35"/>
  <c r="I30" i="35"/>
  <c r="I4" i="35"/>
  <c r="I35" i="38"/>
  <c r="I23" i="38"/>
  <c r="I11" i="38"/>
  <c r="I34" i="38"/>
  <c r="I22" i="38"/>
  <c r="I10" i="38"/>
  <c r="I7" i="38"/>
  <c r="I30" i="38"/>
  <c r="I17" i="38"/>
  <c r="I26" i="38"/>
  <c r="I36" i="38"/>
  <c r="I12" i="38"/>
  <c r="I33" i="38"/>
  <c r="I21" i="38"/>
  <c r="I9" i="38"/>
  <c r="I19" i="38"/>
  <c r="I6" i="38"/>
  <c r="I29" i="38"/>
  <c r="I25" i="38"/>
  <c r="I32" i="38"/>
  <c r="I20" i="38"/>
  <c r="I8" i="38"/>
  <c r="I31" i="38"/>
  <c r="I18" i="38"/>
  <c r="I5" i="38"/>
  <c r="I37" i="38"/>
  <c r="I28" i="38"/>
  <c r="I16" i="38"/>
  <c r="I4" i="38"/>
  <c r="I27" i="38"/>
  <c r="I15" i="38"/>
  <c r="I14" i="38"/>
  <c r="I13" i="38"/>
  <c r="I24" i="38"/>
  <c r="I3" i="38"/>
  <c r="H22" i="39"/>
  <c r="H33" i="39"/>
  <c r="H21" i="39"/>
  <c r="H9" i="39"/>
  <c r="H32" i="39"/>
  <c r="H20" i="39"/>
  <c r="H8" i="39"/>
  <c r="H31" i="39"/>
  <c r="H19" i="39"/>
  <c r="H7" i="39"/>
  <c r="H30" i="39"/>
  <c r="H18" i="39"/>
  <c r="H6" i="39"/>
  <c r="H29" i="39"/>
  <c r="H17" i="39"/>
  <c r="H5" i="39"/>
  <c r="H28" i="39"/>
  <c r="H16" i="39"/>
  <c r="H4" i="39"/>
  <c r="H10" i="39"/>
  <c r="H27" i="39"/>
  <c r="H15" i="39"/>
  <c r="H38" i="39"/>
  <c r="H26" i="39"/>
  <c r="H14" i="39"/>
  <c r="H37" i="39"/>
  <c r="H25" i="39"/>
  <c r="H13" i="39"/>
  <c r="H36" i="39"/>
  <c r="H24" i="39"/>
  <c r="H12" i="39"/>
  <c r="H35" i="39"/>
  <c r="H23" i="39"/>
  <c r="H11" i="39"/>
  <c r="H34" i="39"/>
  <c r="H3" i="39"/>
  <c r="M24" i="35" l="1"/>
  <c r="M23" i="35"/>
  <c r="M22" i="35"/>
  <c r="M26" i="35"/>
  <c r="L20" i="39"/>
  <c r="L23" i="39"/>
  <c r="L21" i="39"/>
  <c r="L26" i="39"/>
  <c r="L25" i="39"/>
  <c r="L24" i="39"/>
  <c r="E34" i="41"/>
  <c r="E33" i="41"/>
  <c r="E32" i="41"/>
  <c r="E31" i="41"/>
  <c r="E31" i="41" a="1"/>
  <c r="E35" i="41" s="1"/>
  <c r="D31" i="41" a="1"/>
  <c r="D32" i="41" s="1"/>
  <c r="C31" i="41" a="1"/>
  <c r="C31" i="41" s="1"/>
  <c r="B31" i="41" a="1"/>
  <c r="B31" i="41" s="1"/>
  <c r="H30" i="41" a="1"/>
  <c r="H30" i="41" s="1"/>
  <c r="I30" i="41" a="1"/>
  <c r="I30" i="41" s="1"/>
  <c r="I29" i="41" a="1"/>
  <c r="I29" i="41" s="1"/>
  <c r="H29" i="41" a="1"/>
  <c r="H29" i="41" s="1"/>
  <c r="H28" i="41" a="1"/>
  <c r="H28" i="41" s="1"/>
  <c r="I28" i="41" a="1"/>
  <c r="I28" i="41" s="1"/>
  <c r="I27" i="41" a="1"/>
  <c r="I27" i="41" s="1"/>
  <c r="H27" i="41" a="1"/>
  <c r="H27" i="41" s="1"/>
  <c r="H26" i="41" a="1"/>
  <c r="H26" i="41" s="1"/>
  <c r="I26" i="41" a="1"/>
  <c r="I26" i="41" s="1"/>
  <c r="I25" i="41" a="1"/>
  <c r="I25" i="41" s="1"/>
  <c r="H25" i="41" a="1"/>
  <c r="H25" i="41"/>
  <c r="D27" i="41"/>
  <c r="D26" i="41"/>
  <c r="D25" i="41"/>
  <c r="C27" i="41"/>
  <c r="C26" i="41"/>
  <c r="C25" i="41"/>
  <c r="G3" i="41"/>
  <c r="I21" i="41"/>
  <c r="I20" i="41"/>
  <c r="I19" i="41"/>
  <c r="I18" i="41"/>
  <c r="I17" i="41"/>
  <c r="I16" i="41"/>
  <c r="I15" i="41"/>
  <c r="I14" i="41"/>
  <c r="I13" i="41"/>
  <c r="I12" i="41"/>
  <c r="I11" i="41"/>
  <c r="I10" i="41"/>
  <c r="I9" i="41"/>
  <c r="I8" i="41"/>
  <c r="I7" i="41"/>
  <c r="I6" i="41"/>
  <c r="I5" i="41"/>
  <c r="I4" i="41"/>
  <c r="I3" i="41"/>
  <c r="J23" i="40" a="1"/>
  <c r="J23" i="40" s="1"/>
  <c r="J22" i="40" a="1"/>
  <c r="J22" i="40" s="1"/>
  <c r="J21" i="40" a="1"/>
  <c r="J21" i="40" s="1"/>
  <c r="J20" i="40" a="1"/>
  <c r="J20" i="40" s="1"/>
  <c r="J19" i="40" a="1"/>
  <c r="J19" i="40" s="1"/>
  <c r="J18" i="40" a="1"/>
  <c r="J18" i="40" s="1"/>
  <c r="K10" i="40" a="1"/>
  <c r="K10" i="40" s="1"/>
  <c r="F33" i="40"/>
  <c r="F32" i="40"/>
  <c r="F31" i="40"/>
  <c r="F30" i="40"/>
  <c r="F29" i="40"/>
  <c r="F28" i="40"/>
  <c r="F27" i="40"/>
  <c r="F26" i="40"/>
  <c r="F25" i="40"/>
  <c r="F24" i="40"/>
  <c r="F23" i="40"/>
  <c r="F22" i="40"/>
  <c r="F21" i="40"/>
  <c r="F20" i="40"/>
  <c r="F19" i="40"/>
  <c r="F18" i="40"/>
  <c r="F17" i="40"/>
  <c r="F16" i="40"/>
  <c r="F15" i="40"/>
  <c r="F14" i="40"/>
  <c r="F13" i="40"/>
  <c r="F12" i="40"/>
  <c r="F11" i="40"/>
  <c r="F10" i="40"/>
  <c r="F9" i="40"/>
  <c r="F8" i="40"/>
  <c r="F7" i="40"/>
  <c r="F6" i="40"/>
  <c r="F5" i="40"/>
  <c r="F4" i="40"/>
  <c r="D4" i="40"/>
  <c r="D33" i="40"/>
  <c r="D32" i="40"/>
  <c r="D31" i="40"/>
  <c r="D30" i="40"/>
  <c r="D29" i="40"/>
  <c r="D28" i="40"/>
  <c r="D27" i="40"/>
  <c r="D26" i="40"/>
  <c r="D25" i="40"/>
  <c r="D24" i="40"/>
  <c r="D23" i="40"/>
  <c r="D22" i="40"/>
  <c r="D21" i="40"/>
  <c r="D20" i="40"/>
  <c r="D19" i="40"/>
  <c r="D18" i="40"/>
  <c r="D17" i="40"/>
  <c r="D16" i="40"/>
  <c r="D15" i="40"/>
  <c r="D14" i="40"/>
  <c r="D13" i="40"/>
  <c r="D12" i="40"/>
  <c r="D11" i="40"/>
  <c r="D10" i="40"/>
  <c r="D9" i="40"/>
  <c r="D8" i="40"/>
  <c r="D7" i="40"/>
  <c r="D6" i="40"/>
  <c r="D5" i="40"/>
  <c r="Q15" i="42" a="1"/>
  <c r="Q15" i="42" s="1"/>
  <c r="P15" i="42" a="1"/>
  <c r="P15" i="42" s="1"/>
  <c r="Q14" i="42" a="1"/>
  <c r="Q14" i="42" s="1"/>
  <c r="P14" i="42" a="1"/>
  <c r="P14" i="42" s="1"/>
  <c r="P9" i="42"/>
  <c r="S9" i="42" a="1"/>
  <c r="S9" i="42" s="1"/>
  <c r="S10" i="42" a="1"/>
  <c r="S10" i="42" s="1"/>
  <c r="R10" i="42" a="1"/>
  <c r="R10" i="42" s="1"/>
  <c r="R9" i="42" a="1"/>
  <c r="R9" i="42" s="1"/>
  <c r="Q9" i="42" a="1"/>
  <c r="Q9" i="42" s="1"/>
  <c r="Q10" i="42" a="1"/>
  <c r="Q10" i="42" s="1"/>
  <c r="P10" i="42" a="1"/>
  <c r="P10" i="42" s="1"/>
  <c r="S5" i="42"/>
  <c r="S4" i="42"/>
  <c r="R5" i="42"/>
  <c r="R4" i="42"/>
  <c r="Q5" i="42"/>
  <c r="Q4" i="42"/>
  <c r="P5" i="42"/>
  <c r="P4" i="42"/>
  <c r="L33" i="42"/>
  <c r="L32" i="42"/>
  <c r="L31" i="42"/>
  <c r="L30" i="42"/>
  <c r="L29" i="42"/>
  <c r="L28" i="42"/>
  <c r="L27" i="42"/>
  <c r="L26" i="42"/>
  <c r="L25" i="42"/>
  <c r="L24" i="42"/>
  <c r="L23" i="42"/>
  <c r="L22" i="42"/>
  <c r="L21" i="42"/>
  <c r="L20" i="42"/>
  <c r="L19" i="42"/>
  <c r="L18" i="42"/>
  <c r="L17" i="42"/>
  <c r="L16" i="42"/>
  <c r="L15" i="42"/>
  <c r="L14" i="42"/>
  <c r="L13" i="42"/>
  <c r="L12" i="42"/>
  <c r="L11" i="42"/>
  <c r="L10" i="42"/>
  <c r="L9" i="42"/>
  <c r="L8" i="42"/>
  <c r="L7" i="42"/>
  <c r="L6" i="42"/>
  <c r="L5" i="42"/>
  <c r="L4" i="42"/>
  <c r="M24" i="43" a="1"/>
  <c r="M24" i="43" s="1"/>
  <c r="L24" i="43" a="1"/>
  <c r="L24" i="43" s="1"/>
  <c r="K24" i="43" a="1"/>
  <c r="K24" i="43" s="1"/>
  <c r="M23" i="43" a="1"/>
  <c r="M23" i="43" s="1"/>
  <c r="L23" i="43" a="1"/>
  <c r="L23" i="43" s="1"/>
  <c r="K23" i="43" a="1"/>
  <c r="K23" i="43" s="1"/>
  <c r="M22" i="43" a="1"/>
  <c r="M22" i="43" s="1"/>
  <c r="L22" i="43" a="1"/>
  <c r="L22" i="43" s="1"/>
  <c r="K22" i="43" a="1"/>
  <c r="K22" i="43" s="1"/>
  <c r="M21" i="43" a="1"/>
  <c r="M21" i="43" s="1"/>
  <c r="L21" i="43" a="1"/>
  <c r="L21" i="43" s="1"/>
  <c r="K21" i="43" a="1"/>
  <c r="K21" i="43" s="1"/>
  <c r="M20" i="43" a="1"/>
  <c r="M20" i="43" s="1"/>
  <c r="L20" i="43" a="1"/>
  <c r="L20" i="43" s="1"/>
  <c r="K20" i="43" a="1"/>
  <c r="K20" i="43" s="1"/>
  <c r="M19" i="43" a="1"/>
  <c r="M19" i="43" s="1"/>
  <c r="L19" i="43" a="1"/>
  <c r="L19" i="43" s="1"/>
  <c r="K19" i="43" a="1"/>
  <c r="K19" i="43" s="1"/>
  <c r="L13" i="43" a="1"/>
  <c r="L13" i="43" s="1"/>
  <c r="L14" i="43" a="1"/>
  <c r="L14" i="43" s="1"/>
  <c r="L15" i="43" a="1"/>
  <c r="L15" i="43" s="1"/>
  <c r="K15" i="43" a="1"/>
  <c r="K15" i="43" s="1"/>
  <c r="K14" i="43" a="1"/>
  <c r="K14" i="43" s="1"/>
  <c r="K13" i="43" a="1"/>
  <c r="K13" i="43" s="1"/>
  <c r="H27" i="43"/>
  <c r="H27" i="43" a="1"/>
  <c r="H26" i="43" a="1"/>
  <c r="H26" i="43" s="1"/>
  <c r="H25" i="43"/>
  <c r="H25" i="43" a="1"/>
  <c r="H24" i="43"/>
  <c r="H24" i="43" a="1"/>
  <c r="H23" i="43" a="1"/>
  <c r="H23" i="43" s="1"/>
  <c r="H22" i="43"/>
  <c r="H22" i="43" a="1"/>
  <c r="H21" i="43" a="1"/>
  <c r="H21" i="43" s="1"/>
  <c r="H20" i="43" a="1"/>
  <c r="H20" i="43" s="1"/>
  <c r="H19" i="43" a="1"/>
  <c r="H19" i="43" s="1"/>
  <c r="H18" i="43" a="1"/>
  <c r="H18" i="43" s="1"/>
  <c r="H17" i="43" a="1"/>
  <c r="H17" i="43" s="1"/>
  <c r="H16" i="43" a="1"/>
  <c r="H16" i="43" s="1"/>
  <c r="H15" i="43" a="1"/>
  <c r="H15" i="43" s="1"/>
  <c r="H14" i="43" a="1"/>
  <c r="H14" i="43" s="1"/>
  <c r="H13" i="43" a="1"/>
  <c r="H13" i="43" s="1"/>
  <c r="H12" i="43" a="1"/>
  <c r="H12" i="43" s="1"/>
  <c r="H11" i="43" a="1"/>
  <c r="H11" i="43" s="1"/>
  <c r="H10" i="43" a="1"/>
  <c r="H10" i="43" s="1"/>
  <c r="H9" i="43" a="1"/>
  <c r="H9" i="43" s="1"/>
  <c r="H8" i="43" a="1"/>
  <c r="H8" i="43" s="1"/>
  <c r="H7" i="43" a="1"/>
  <c r="H7" i="43" s="1"/>
  <c r="H6" i="43" a="1"/>
  <c r="H6" i="43" s="1"/>
  <c r="H5" i="43" a="1"/>
  <c r="H5" i="43" s="1"/>
  <c r="H4" i="43" a="1"/>
  <c r="H4" i="43" s="1"/>
  <c r="A27" i="43"/>
  <c r="A26" i="43"/>
  <c r="A25" i="43"/>
  <c r="A24" i="43"/>
  <c r="A23" i="43"/>
  <c r="A22" i="43"/>
  <c r="A21" i="43"/>
  <c r="A20" i="43"/>
  <c r="A19" i="43"/>
  <c r="A18" i="43"/>
  <c r="A17" i="43"/>
  <c r="A16" i="43"/>
  <c r="A15" i="43"/>
  <c r="A14" i="43"/>
  <c r="A13" i="43"/>
  <c r="A12" i="43"/>
  <c r="A11" i="43"/>
  <c r="A10" i="43"/>
  <c r="A9" i="43"/>
  <c r="A8" i="43"/>
  <c r="A7" i="43"/>
  <c r="A6" i="43"/>
  <c r="A5" i="43"/>
  <c r="A4" i="43"/>
  <c r="J12" i="41"/>
  <c r="J3" i="41"/>
  <c r="M17" i="42"/>
  <c r="M24" i="42"/>
  <c r="F22" i="43"/>
  <c r="F8" i="43"/>
  <c r="F16" i="43"/>
  <c r="F14" i="43"/>
  <c r="M22" i="42"/>
  <c r="M6" i="42"/>
  <c r="J11" i="41"/>
  <c r="M7" i="42"/>
  <c r="M5" i="42"/>
  <c r="M12" i="42"/>
  <c r="F10" i="43"/>
  <c r="F18" i="43"/>
  <c r="J20" i="41"/>
  <c r="M32" i="42"/>
  <c r="M28" i="42"/>
  <c r="M23" i="42"/>
  <c r="F9" i="43"/>
  <c r="M11" i="42"/>
  <c r="M27" i="42"/>
  <c r="F6" i="43"/>
  <c r="F13" i="43"/>
  <c r="M4" i="42"/>
  <c r="M33" i="42"/>
  <c r="M13" i="42"/>
  <c r="J19" i="41"/>
  <c r="M31" i="42"/>
  <c r="M21" i="42"/>
  <c r="F19" i="43"/>
  <c r="J6" i="41"/>
  <c r="F26" i="43"/>
  <c r="F17" i="43"/>
  <c r="F21" i="43"/>
  <c r="M30" i="42"/>
  <c r="F27" i="43"/>
  <c r="J17" i="41"/>
  <c r="J4" i="41"/>
  <c r="J9" i="41"/>
  <c r="M16" i="42"/>
  <c r="M8" i="42"/>
  <c r="F7" i="43"/>
  <c r="J16" i="41"/>
  <c r="J8" i="41"/>
  <c r="M10" i="42"/>
  <c r="M26" i="42"/>
  <c r="F25" i="43"/>
  <c r="F5" i="43"/>
  <c r="J7" i="41"/>
  <c r="M9" i="42"/>
  <c r="M14" i="42"/>
  <c r="F24" i="43"/>
  <c r="J13" i="41"/>
  <c r="M29" i="42"/>
  <c r="M20" i="42"/>
  <c r="F20" i="43"/>
  <c r="M15" i="42"/>
  <c r="J10" i="41"/>
  <c r="F4" i="43"/>
  <c r="J15" i="41"/>
  <c r="F15" i="43"/>
  <c r="J5" i="41"/>
  <c r="F11" i="43"/>
  <c r="M18" i="42"/>
  <c r="J21" i="41"/>
  <c r="J14" i="41"/>
  <c r="J18" i="41"/>
  <c r="M19" i="42"/>
  <c r="M25" i="42"/>
  <c r="F23" i="43"/>
  <c r="F12" i="43"/>
  <c r="D33" i="41" l="1"/>
  <c r="D35" i="41"/>
  <c r="D34" i="41"/>
  <c r="D31" i="41"/>
  <c r="C33" i="41"/>
  <c r="C32" i="41"/>
  <c r="C34" i="41"/>
  <c r="C35" i="41"/>
  <c r="B35" i="41"/>
  <c r="B34" i="41"/>
  <c r="B33" i="41"/>
  <c r="B32" i="41"/>
  <c r="L13" i="40"/>
  <c r="K12" i="40"/>
  <c r="L14" i="40"/>
  <c r="K14" i="40"/>
  <c r="K13" i="40"/>
  <c r="L12" i="40"/>
  <c r="L11" i="40"/>
  <c r="K11" i="40"/>
  <c r="L10" i="40"/>
  <c r="M22" i="10" a="1"/>
  <c r="M22" i="10" s="1"/>
  <c r="L22" i="10" a="1"/>
  <c r="L22" i="10" s="1"/>
  <c r="K22" i="10" a="1"/>
  <c r="K22" i="10" s="1"/>
  <c r="M17" i="10" a="1"/>
  <c r="M17" i="10" s="1"/>
  <c r="L17" i="10" a="1"/>
  <c r="L17" i="10" s="1"/>
  <c r="K17" i="10" a="1"/>
  <c r="K17" i="10" s="1"/>
  <c r="N11" i="10"/>
  <c r="N11" i="10" a="1"/>
  <c r="N10" i="10" a="1"/>
  <c r="N10" i="10" s="1"/>
  <c r="N9" i="10" a="1"/>
  <c r="N9" i="10" s="1"/>
  <c r="N8" i="10" a="1"/>
  <c r="N8" i="10" s="1"/>
  <c r="N7" i="10" a="1"/>
  <c r="N7" i="10" s="1"/>
  <c r="P11" i="10" a="1"/>
  <c r="P11" i="10" s="1"/>
  <c r="P10" i="10" a="1"/>
  <c r="P10" i="10" s="1"/>
  <c r="P9" i="10"/>
  <c r="P9" i="10" a="1"/>
  <c r="P8" i="10" a="1"/>
  <c r="P8" i="10" s="1"/>
  <c r="P7" i="10" a="1"/>
  <c r="P7" i="10" s="1"/>
  <c r="P6" i="10"/>
  <c r="P6" i="10" a="1"/>
  <c r="P5" i="10" a="1"/>
  <c r="P5" i="10" s="1"/>
  <c r="P4" i="10" a="1"/>
  <c r="P4" i="10" s="1"/>
  <c r="P3" i="10"/>
  <c r="P3" i="10" a="1"/>
  <c r="O11" i="10" a="1"/>
  <c r="O11" i="10" s="1"/>
  <c r="O10" i="10"/>
  <c r="O10" i="10" a="1"/>
  <c r="O9" i="10" a="1"/>
  <c r="O9" i="10" s="1"/>
  <c r="O8" i="10" a="1"/>
  <c r="O8" i="10" s="1"/>
  <c r="O7" i="10" a="1"/>
  <c r="O7" i="10" s="1"/>
  <c r="O6" i="10" a="1"/>
  <c r="O6" i="10" s="1"/>
  <c r="O5" i="10" a="1"/>
  <c r="O5" i="10" s="1"/>
  <c r="O4" i="10" a="1"/>
  <c r="O4" i="10" s="1"/>
  <c r="O3" i="10" a="1"/>
  <c r="O3" i="10" s="1"/>
  <c r="N6" i="10" a="1"/>
  <c r="N6" i="10" s="1"/>
  <c r="N5" i="10" a="1"/>
  <c r="N5" i="10" s="1"/>
  <c r="N4" i="10" a="1"/>
  <c r="N4" i="10" s="1"/>
  <c r="N3" i="10" a="1"/>
  <c r="N3" i="10" s="1"/>
  <c r="G23" i="10"/>
  <c r="G22" i="10"/>
  <c r="G21" i="10"/>
  <c r="G20" i="10"/>
  <c r="G19" i="10"/>
  <c r="G18" i="10"/>
  <c r="G17" i="10"/>
  <c r="G16" i="10"/>
  <c r="G15" i="10"/>
  <c r="G14" i="10"/>
  <c r="G13" i="10"/>
  <c r="G12" i="10"/>
  <c r="G11" i="10"/>
  <c r="G10" i="10"/>
  <c r="G9" i="10"/>
  <c r="G8" i="10"/>
  <c r="G7" i="10"/>
  <c r="G6" i="10"/>
  <c r="G5" i="10"/>
  <c r="G4" i="10"/>
  <c r="G3" i="10"/>
  <c r="B23" i="9" a="1"/>
  <c r="B23" i="9" s="1"/>
  <c r="B22" i="9" a="1"/>
  <c r="B22" i="9" s="1"/>
  <c r="G18" i="9"/>
  <c r="G17" i="9"/>
  <c r="G16" i="9"/>
  <c r="G15" i="9"/>
  <c r="G14" i="9"/>
  <c r="G13" i="9"/>
  <c r="G12" i="9"/>
  <c r="G10" i="9"/>
  <c r="G9" i="9"/>
  <c r="G11" i="9"/>
  <c r="D18" i="9"/>
  <c r="D17" i="9"/>
  <c r="D16" i="9"/>
  <c r="D15" i="9"/>
  <c r="D14" i="9"/>
  <c r="D13" i="9"/>
  <c r="D12" i="9"/>
  <c r="D11" i="9"/>
  <c r="D10" i="9"/>
  <c r="D9" i="9"/>
  <c r="C3" i="9" a="1"/>
  <c r="C3" i="9" s="1"/>
  <c r="C4" i="9" a="1"/>
  <c r="C4" i="9" s="1"/>
  <c r="C5" i="9" a="1"/>
  <c r="C5" i="9" s="1"/>
  <c r="B5" i="9" a="1"/>
  <c r="B5" i="9" s="1"/>
  <c r="B4" i="9" a="1"/>
  <c r="B4" i="9" s="1"/>
  <c r="B3" i="9" a="1"/>
  <c r="B3" i="9" s="1"/>
  <c r="C22" i="8" a="1"/>
  <c r="C21" i="8" a="1"/>
  <c r="C20" i="8" a="1"/>
  <c r="C19" i="8" a="1"/>
  <c r="B22" i="8" a="1"/>
  <c r="B22" i="8" s="1"/>
  <c r="B21" i="8"/>
  <c r="B21" i="8" a="1"/>
  <c r="B20" i="8" a="1"/>
  <c r="B20" i="8" s="1"/>
  <c r="B19" i="8" a="1"/>
  <c r="B19" i="8" s="1"/>
  <c r="H28" i="7" a="1"/>
  <c r="H28" i="7" s="1"/>
  <c r="H27" i="7" a="1"/>
  <c r="H27" i="7" s="1"/>
  <c r="H26" i="7" a="1"/>
  <c r="H26" i="7" s="1"/>
  <c r="H25" i="7" a="1"/>
  <c r="H25" i="7" s="1"/>
  <c r="H24" i="7" a="1"/>
  <c r="H24" i="7" s="1"/>
  <c r="J11" i="7"/>
  <c r="J10" i="7"/>
  <c r="J9" i="7"/>
  <c r="J8" i="7"/>
  <c r="J7" i="7"/>
  <c r="J6" i="7"/>
  <c r="J5" i="7"/>
  <c r="J4" i="7"/>
  <c r="J3" i="7"/>
  <c r="D6" i="7" a="1"/>
  <c r="D6" i="7" s="1"/>
  <c r="D5" i="7" a="1"/>
  <c r="D5" i="7" s="1"/>
  <c r="D4" i="7" a="1"/>
  <c r="D4" i="7" s="1"/>
  <c r="D3" i="7" a="1"/>
  <c r="D3" i="7" s="1"/>
  <c r="C5" i="7" a="1"/>
  <c r="C5" i="7" s="1"/>
  <c r="C4" i="7" a="1"/>
  <c r="C4" i="7" s="1"/>
  <c r="C3" i="7" a="1"/>
  <c r="C3" i="7" s="1"/>
  <c r="C6" i="7" a="1"/>
  <c r="B6" i="7" a="1"/>
  <c r="B6" i="7" s="1"/>
  <c r="B5" i="7" a="1"/>
  <c r="B5" i="7" s="1"/>
  <c r="B4" i="7" a="1"/>
  <c r="B4" i="7" s="1"/>
  <c r="B3" i="7" a="1"/>
  <c r="B3" i="7" s="1"/>
  <c r="B31" i="6" a="1"/>
  <c r="B31" i="6" s="1"/>
  <c r="B30" i="6" a="1"/>
  <c r="B30" i="6" s="1"/>
  <c r="B29" i="6" a="1"/>
  <c r="B29" i="6" s="1"/>
  <c r="H3" i="6" a="1"/>
  <c r="H3" i="6" s="1"/>
  <c r="F8" i="6"/>
  <c r="F7" i="6"/>
  <c r="F6" i="6"/>
  <c r="F5" i="6"/>
  <c r="F4" i="6"/>
  <c r="F3" i="6"/>
  <c r="A39" i="5"/>
  <c r="H35" i="5"/>
  <c r="H36" i="5"/>
  <c r="H34" i="5"/>
  <c r="H33" i="5"/>
  <c r="H32" i="5"/>
  <c r="H31" i="5"/>
  <c r="H30" i="5"/>
  <c r="H29" i="5"/>
  <c r="C4" i="5" a="1"/>
  <c r="C4" i="5" s="1"/>
  <c r="C5" i="5" a="1"/>
  <c r="C5" i="5" s="1"/>
  <c r="C6" i="5" a="1"/>
  <c r="C6" i="5" s="1"/>
  <c r="B6" i="5" a="1"/>
  <c r="B6" i="5" s="1"/>
  <c r="B5" i="5" a="1"/>
  <c r="B5" i="5" s="1"/>
  <c r="B4" i="5" a="1"/>
  <c r="B4" i="5" s="1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B11" i="5"/>
  <c r="B10" i="5"/>
  <c r="C5" i="4" a="1"/>
  <c r="C5" i="4" s="1"/>
  <c r="C4" i="4" a="1"/>
  <c r="C4" i="4" s="1"/>
  <c r="C3" i="4" a="1"/>
  <c r="C3" i="4"/>
  <c r="D27" i="4"/>
  <c r="D26" i="4"/>
  <c r="D25" i="4"/>
  <c r="D24" i="4"/>
  <c r="D23" i="4"/>
  <c r="D22" i="4"/>
  <c r="D21" i="4"/>
  <c r="D20" i="4"/>
  <c r="D19" i="4"/>
  <c r="D18" i="4"/>
  <c r="D17" i="4"/>
  <c r="D16" i="4"/>
  <c r="D15" i="4"/>
  <c r="D14" i="4"/>
  <c r="D13" i="4"/>
  <c r="D12" i="4"/>
  <c r="B5" i="4" a="1"/>
  <c r="B5" i="4" s="1"/>
  <c r="B4" i="4" a="1"/>
  <c r="B4" i="4" s="1"/>
  <c r="B3" i="4" a="1"/>
  <c r="B3" i="4" s="1"/>
  <c r="G17" i="3"/>
  <c r="G16" i="3"/>
  <c r="G15" i="3"/>
  <c r="F17" i="3" a="1"/>
  <c r="F17" i="3" s="1"/>
  <c r="F16" i="3" a="1"/>
  <c r="F16" i="3" s="1"/>
  <c r="F15" i="3" a="1"/>
  <c r="F15" i="3" s="1"/>
  <c r="F11" i="3"/>
  <c r="F10" i="3"/>
  <c r="F9" i="3"/>
  <c r="F8" i="3"/>
  <c r="F7" i="3"/>
  <c r="F6" i="3"/>
  <c r="F5" i="3"/>
  <c r="F4" i="3"/>
  <c r="F3" i="3"/>
  <c r="B35" i="2" a="1"/>
  <c r="B35" i="2" s="1"/>
  <c r="B34" i="2" a="1"/>
  <c r="B34" i="2" s="1"/>
  <c r="B33" i="2" a="1"/>
  <c r="B33" i="2" s="1"/>
  <c r="B32" i="2" a="1"/>
  <c r="B32" i="2" s="1"/>
  <c r="F10" i="2"/>
  <c r="G10" i="2" s="1"/>
  <c r="F9" i="2"/>
  <c r="G9" i="2" s="1"/>
  <c r="F8" i="2"/>
  <c r="G8" i="2" s="1"/>
  <c r="F7" i="2"/>
  <c r="G7" i="2" s="1"/>
  <c r="F6" i="2"/>
  <c r="G6" i="2" s="1"/>
  <c r="F5" i="2"/>
  <c r="G5" i="2" s="1"/>
  <c r="F4" i="2"/>
  <c r="G4" i="2" s="1"/>
  <c r="F3" i="2"/>
  <c r="G3" i="2" s="1"/>
  <c r="E46" i="1"/>
  <c r="E45" i="1"/>
  <c r="E44" i="1"/>
  <c r="E43" i="1"/>
  <c r="E42" i="1"/>
  <c r="E41" i="1"/>
  <c r="E40" i="1"/>
  <c r="E39" i="1"/>
  <c r="B46" i="1"/>
  <c r="B45" i="1"/>
  <c r="B44" i="1"/>
  <c r="B43" i="1"/>
  <c r="B42" i="1"/>
  <c r="B41" i="1"/>
  <c r="B40" i="1"/>
  <c r="B39" i="1"/>
  <c r="F3" i="1" a="1"/>
  <c r="F3" i="1" s="1"/>
  <c r="F4" i="1" a="1"/>
  <c r="F4" i="1" s="1"/>
  <c r="F5" i="1" a="1"/>
  <c r="F5" i="1" s="1"/>
  <c r="F6" i="1" a="1"/>
  <c r="F6" i="1" s="1"/>
  <c r="B5" i="1"/>
  <c r="B4" i="1"/>
  <c r="B3" i="1"/>
  <c r="G24" i="2"/>
  <c r="H12" i="10"/>
  <c r="F10" i="8"/>
  <c r="F9" i="8"/>
  <c r="I15" i="9"/>
  <c r="H23" i="10"/>
  <c r="F4" i="8"/>
  <c r="I18" i="9"/>
  <c r="G28" i="2"/>
  <c r="E24" i="6"/>
  <c r="E22" i="6"/>
  <c r="F42" i="1"/>
  <c r="I19" i="5"/>
  <c r="H17" i="10"/>
  <c r="H3" i="10"/>
  <c r="F39" i="1"/>
  <c r="F11" i="8"/>
  <c r="K6" i="7"/>
  <c r="K7" i="7"/>
  <c r="F7" i="8"/>
  <c r="H6" i="10"/>
  <c r="G25" i="2"/>
  <c r="K8" i="7"/>
  <c r="E18" i="6"/>
  <c r="E17" i="6"/>
  <c r="K4" i="7"/>
  <c r="I14" i="9"/>
  <c r="I22" i="5"/>
  <c r="H21" i="10"/>
  <c r="J27" i="4"/>
  <c r="J26" i="4"/>
  <c r="H18" i="10"/>
  <c r="H16" i="10"/>
  <c r="E19" i="6"/>
  <c r="I11" i="5"/>
  <c r="I18" i="5"/>
  <c r="I24" i="5"/>
  <c r="F6" i="8"/>
  <c r="J15" i="4"/>
  <c r="G26" i="2"/>
  <c r="I10" i="9"/>
  <c r="I11" i="9"/>
  <c r="I21" i="5"/>
  <c r="F40" i="1"/>
  <c r="J12" i="4"/>
  <c r="F44" i="1"/>
  <c r="H20" i="10"/>
  <c r="F8" i="8"/>
  <c r="I15" i="5"/>
  <c r="J18" i="4"/>
  <c r="J14" i="4"/>
  <c r="I14" i="5"/>
  <c r="K3" i="7"/>
  <c r="J17" i="4"/>
  <c r="H10" i="10"/>
  <c r="E23" i="6"/>
  <c r="J23" i="4"/>
  <c r="G7" i="3"/>
  <c r="H9" i="10"/>
  <c r="H13" i="10"/>
  <c r="I17" i="5"/>
  <c r="J19" i="4"/>
  <c r="G5" i="3"/>
  <c r="G22" i="2"/>
  <c r="J13" i="4"/>
  <c r="I12" i="5"/>
  <c r="G29" i="2"/>
  <c r="H5" i="10"/>
  <c r="J24" i="4"/>
  <c r="K11" i="7"/>
  <c r="G8" i="3"/>
  <c r="K10" i="7"/>
  <c r="H19" i="10"/>
  <c r="I17" i="9"/>
  <c r="I9" i="9"/>
  <c r="J21" i="4"/>
  <c r="G6" i="3"/>
  <c r="G23" i="2"/>
  <c r="I16" i="9"/>
  <c r="G11" i="3"/>
  <c r="J20" i="4"/>
  <c r="F43" i="1"/>
  <c r="I12" i="9"/>
  <c r="G27" i="2"/>
  <c r="I23" i="5"/>
  <c r="G21" i="2"/>
  <c r="G10" i="3"/>
  <c r="J16" i="4"/>
  <c r="H14" i="10"/>
  <c r="G3" i="3"/>
  <c r="H22" i="10"/>
  <c r="J22" i="4"/>
  <c r="J25" i="4"/>
  <c r="K9" i="7"/>
  <c r="F45" i="1"/>
  <c r="K5" i="7"/>
  <c r="G4" i="3"/>
  <c r="I10" i="5"/>
  <c r="F46" i="1"/>
  <c r="F5" i="8"/>
  <c r="H15" i="10"/>
  <c r="F3" i="8"/>
  <c r="F41" i="1"/>
  <c r="E20" i="6"/>
  <c r="E25" i="6"/>
  <c r="I13" i="5"/>
  <c r="E21" i="6"/>
  <c r="I16" i="5"/>
  <c r="I20" i="5"/>
  <c r="H7" i="10"/>
  <c r="H8" i="10"/>
  <c r="G9" i="3"/>
  <c r="H11" i="10"/>
  <c r="H4" i="10"/>
  <c r="I13" i="9"/>
  <c r="D29" i="6" l="1" a="1"/>
  <c r="D29" i="6" s="1"/>
  <c r="C19" i="8"/>
  <c r="G3" i="8"/>
  <c r="G4" i="8"/>
  <c r="G5" i="8"/>
  <c r="E19" i="8"/>
  <c r="G6" i="8"/>
  <c r="G7" i="8"/>
  <c r="G8" i="8"/>
  <c r="G9" i="8"/>
  <c r="G10" i="8"/>
  <c r="G11" i="8"/>
  <c r="C22" i="8"/>
  <c r="C20" i="8"/>
  <c r="C21" i="8"/>
  <c r="I3" i="3"/>
  <c r="I9" i="3"/>
  <c r="I11" i="3"/>
  <c r="I10" i="3"/>
  <c r="I4" i="3"/>
  <c r="I5" i="3"/>
  <c r="I6" i="3"/>
  <c r="I7" i="3"/>
  <c r="I8" i="3"/>
  <c r="K12" i="4"/>
  <c r="K26" i="4"/>
  <c r="K17" i="4"/>
  <c r="K16" i="4"/>
  <c r="K20" i="4"/>
  <c r="K13" i="4"/>
  <c r="K21" i="4"/>
  <c r="K14" i="4"/>
  <c r="K18" i="4"/>
  <c r="K19" i="4"/>
  <c r="K22" i="4"/>
  <c r="K23" i="4"/>
  <c r="K24" i="4"/>
  <c r="K25" i="4"/>
  <c r="K15" i="4"/>
  <c r="K27" i="4"/>
  <c r="H14" i="2" a="1"/>
  <c r="K33" i="42"/>
  <c r="K32" i="42"/>
  <c r="K31" i="42"/>
  <c r="K30" i="42"/>
  <c r="K29" i="42"/>
  <c r="K28" i="42"/>
  <c r="K27" i="42"/>
  <c r="K26" i="42"/>
  <c r="K25" i="42"/>
  <c r="K24" i="42"/>
  <c r="K23" i="42"/>
  <c r="K22" i="42"/>
  <c r="K21" i="42"/>
  <c r="K20" i="42"/>
  <c r="K19" i="42"/>
  <c r="K18" i="42"/>
  <c r="K17" i="42"/>
  <c r="K16" i="42"/>
  <c r="K15" i="42"/>
  <c r="K14" i="42"/>
  <c r="K13" i="42"/>
  <c r="K12" i="42"/>
  <c r="K11" i="42"/>
  <c r="K10" i="42"/>
  <c r="K9" i="42"/>
  <c r="K8" i="42"/>
  <c r="K7" i="42"/>
  <c r="K6" i="42"/>
  <c r="K5" i="42"/>
  <c r="K4" i="42"/>
  <c r="H14" i="2" l="1"/>
  <c r="H15" i="2"/>
  <c r="H16" i="2"/>
  <c r="H17" i="2"/>
  <c r="H18" i="2"/>
  <c r="G21" i="41"/>
  <c r="G20" i="41"/>
  <c r="G19" i="41"/>
  <c r="G18" i="41"/>
  <c r="G17" i="41"/>
  <c r="G16" i="41"/>
  <c r="G15" i="41"/>
  <c r="G14" i="41"/>
  <c r="G13" i="41"/>
  <c r="G12" i="41"/>
  <c r="G11" i="41"/>
  <c r="G10" i="41"/>
  <c r="G9" i="41"/>
  <c r="G8" i="41"/>
  <c r="G7" i="41"/>
  <c r="G6" i="41"/>
  <c r="G5" i="41"/>
  <c r="G4" i="41"/>
  <c r="M4" i="36" l="1"/>
  <c r="M3" i="36"/>
  <c r="G27" i="4" l="1"/>
  <c r="G26" i="4" l="1"/>
  <c r="G25" i="4" l="1"/>
  <c r="G24" i="4" l="1"/>
  <c r="G23" i="4" l="1"/>
  <c r="G22" i="4" l="1"/>
  <c r="G21" i="4" l="1"/>
  <c r="G20" i="4" l="1"/>
  <c r="G19" i="4" l="1"/>
  <c r="G18" i="4" l="1"/>
  <c r="G17" i="4" l="1"/>
  <c r="G16" i="4" l="1"/>
  <c r="G15" i="4" l="1"/>
  <c r="G14" i="4" l="1"/>
  <c r="G13" i="4" l="1"/>
  <c r="G12" i="4" l="1"/>
  <c r="C6" i="7"/>
</calcChain>
</file>

<file path=xl/sharedStrings.xml><?xml version="1.0" encoding="utf-8"?>
<sst xmlns="http://schemas.openxmlformats.org/spreadsheetml/2006/main" count="1981" uniqueCount="1069">
  <si>
    <r>
      <t>[표1</t>
    </r>
    <r>
      <rPr>
        <sz val="11"/>
        <color theme="1"/>
        <rFont val="맑은 고딕"/>
        <family val="3"/>
        <charset val="129"/>
        <scheme val="major"/>
      </rPr>
      <t>]</t>
    </r>
    <phoneticPr fontId="5" type="noConversion"/>
  </si>
  <si>
    <t>배달시간(분)</t>
  </si>
  <si>
    <t>비고</t>
    <phoneticPr fontId="5" type="noConversion"/>
  </si>
  <si>
    <t>y201k</t>
  </si>
  <si>
    <t>b450n</t>
  </si>
  <si>
    <t>y203d</t>
  </si>
  <si>
    <t>y012g</t>
  </si>
  <si>
    <t>y305k</t>
  </si>
  <si>
    <t>y365y</t>
  </si>
  <si>
    <t>b304n</t>
  </si>
  <si>
    <t>b123d</t>
  </si>
  <si>
    <t>이름</t>
    <phoneticPr fontId="5" type="noConversion"/>
  </si>
  <si>
    <t>결석</t>
    <phoneticPr fontId="5" type="noConversion"/>
  </si>
  <si>
    <t>평점</t>
    <phoneticPr fontId="5" type="noConversion"/>
  </si>
  <si>
    <t>[표3]</t>
    <phoneticPr fontId="5" type="noConversion"/>
  </si>
  <si>
    <t>차종</t>
  </si>
  <si>
    <t>강남</t>
    <phoneticPr fontId="5" type="noConversion"/>
  </si>
  <si>
    <t>코란도</t>
  </si>
  <si>
    <t>누비라</t>
  </si>
  <si>
    <t>[표1]</t>
    <phoneticPr fontId="5" type="noConversion"/>
  </si>
  <si>
    <t>부서별 급여 지급 내역서</t>
    <phoneticPr fontId="5" type="noConversion"/>
  </si>
  <si>
    <t>기준날짜</t>
    <phoneticPr fontId="5" type="noConversion"/>
  </si>
  <si>
    <t>사원코드</t>
    <phoneticPr fontId="5" type="noConversion"/>
  </si>
  <si>
    <t>성명</t>
    <phoneticPr fontId="5" type="noConversion"/>
  </si>
  <si>
    <t>부서명</t>
    <phoneticPr fontId="5" type="noConversion"/>
  </si>
  <si>
    <t>직위</t>
    <phoneticPr fontId="5" type="noConversion"/>
  </si>
  <si>
    <t>입사일</t>
    <phoneticPr fontId="5" type="noConversion"/>
  </si>
  <si>
    <t>근무년수</t>
    <phoneticPr fontId="5" type="noConversion"/>
  </si>
  <si>
    <t>기본급</t>
    <phoneticPr fontId="5" type="noConversion"/>
  </si>
  <si>
    <t>상여금</t>
    <phoneticPr fontId="5" type="noConversion"/>
  </si>
  <si>
    <t>수당</t>
    <phoneticPr fontId="5" type="noConversion"/>
  </si>
  <si>
    <t>G1</t>
    <phoneticPr fontId="5" type="noConversion"/>
  </si>
  <si>
    <t>홍기남</t>
    <phoneticPr fontId="5" type="noConversion"/>
  </si>
  <si>
    <t>기획부</t>
    <phoneticPr fontId="5" type="noConversion"/>
  </si>
  <si>
    <t>부장</t>
  </si>
  <si>
    <t>C2</t>
    <phoneticPr fontId="5" type="noConversion"/>
  </si>
  <si>
    <t>이기자</t>
    <phoneticPr fontId="5" type="noConversion"/>
  </si>
  <si>
    <t>총무부</t>
    <phoneticPr fontId="5" type="noConversion"/>
  </si>
  <si>
    <t>과장</t>
  </si>
  <si>
    <t>G3</t>
    <phoneticPr fontId="5" type="noConversion"/>
  </si>
  <si>
    <t>차후서</t>
    <phoneticPr fontId="5" type="noConversion"/>
  </si>
  <si>
    <t>대리</t>
  </si>
  <si>
    <t>Y1</t>
    <phoneticPr fontId="5" type="noConversion"/>
  </si>
  <si>
    <t>허인기</t>
    <phoneticPr fontId="5" type="noConversion"/>
  </si>
  <si>
    <t>영업부</t>
    <phoneticPr fontId="5" type="noConversion"/>
  </si>
  <si>
    <t>C3</t>
    <phoneticPr fontId="5" type="noConversion"/>
  </si>
  <si>
    <t>김인자</t>
    <phoneticPr fontId="5" type="noConversion"/>
  </si>
  <si>
    <t>Y3</t>
    <phoneticPr fontId="5" type="noConversion"/>
  </si>
  <si>
    <t>박혁제</t>
    <phoneticPr fontId="5" type="noConversion"/>
  </si>
  <si>
    <t>G2</t>
    <phoneticPr fontId="5" type="noConversion"/>
  </si>
  <si>
    <t>김순례</t>
    <phoneticPr fontId="5" type="noConversion"/>
  </si>
  <si>
    <t>Y2</t>
    <phoneticPr fontId="5" type="noConversion"/>
  </si>
  <si>
    <t>우인철</t>
    <phoneticPr fontId="5" type="noConversion"/>
  </si>
  <si>
    <t>C1</t>
    <phoneticPr fontId="5" type="noConversion"/>
  </si>
  <si>
    <t>유철민</t>
    <phoneticPr fontId="5" type="noConversion"/>
  </si>
  <si>
    <t>급여증가분</t>
    <phoneticPr fontId="5" type="noConversion"/>
  </si>
  <si>
    <t>[표2]</t>
    <phoneticPr fontId="5" type="noConversion"/>
  </si>
  <si>
    <t>상여금 합계</t>
    <phoneticPr fontId="5" type="noConversion"/>
  </si>
  <si>
    <t>상여금 평균</t>
    <phoneticPr fontId="5" type="noConversion"/>
  </si>
  <si>
    <t>수당지급율표</t>
    <phoneticPr fontId="5" type="noConversion"/>
  </si>
  <si>
    <t>수당비율</t>
    <phoneticPr fontId="5" type="noConversion"/>
  </si>
  <si>
    <t>근무팀</t>
  </si>
  <si>
    <t>2 호봉</t>
  </si>
  <si>
    <t>3 호봉</t>
  </si>
  <si>
    <t>4 호봉</t>
  </si>
  <si>
    <t>5 호봉</t>
  </si>
  <si>
    <t>6 호봉</t>
  </si>
  <si>
    <t>성명</t>
  </si>
  <si>
    <t>직위</t>
  </si>
  <si>
    <t>직급</t>
  </si>
  <si>
    <t>호봉</t>
  </si>
  <si>
    <t>강상일</t>
  </si>
  <si>
    <t>총무팀</t>
  </si>
  <si>
    <t>차장</t>
  </si>
  <si>
    <t>강애연</t>
  </si>
  <si>
    <t>기술팀</t>
  </si>
  <si>
    <t>강충기</t>
  </si>
  <si>
    <t>김규한</t>
  </si>
  <si>
    <t>영업팀</t>
  </si>
  <si>
    <t>김동구</t>
  </si>
  <si>
    <t>김병철</t>
  </si>
  <si>
    <t>김사현</t>
  </si>
  <si>
    <t>사원</t>
  </si>
  <si>
    <t>김수정</t>
  </si>
  <si>
    <t>김영석</t>
  </si>
  <si>
    <t>김용곤</t>
  </si>
  <si>
    <t>김용철</t>
  </si>
  <si>
    <t>김인철</t>
  </si>
  <si>
    <t>김재웅</t>
  </si>
  <si>
    <t>김정우</t>
  </si>
  <si>
    <t>김종진</t>
  </si>
  <si>
    <t>김지훈</t>
  </si>
  <si>
    <t>지역/변경고객번호</t>
    <phoneticPr fontId="5" type="noConversion"/>
  </si>
  <si>
    <t>실적포인트</t>
    <phoneticPr fontId="5" type="noConversion"/>
  </si>
  <si>
    <t>A</t>
    <phoneticPr fontId="5" type="noConversion"/>
  </si>
  <si>
    <t>B</t>
    <phoneticPr fontId="5" type="noConversion"/>
  </si>
  <si>
    <t>강남</t>
    <phoneticPr fontId="5" type="noConversion"/>
  </si>
  <si>
    <t>서초</t>
    <phoneticPr fontId="5" type="noConversion"/>
  </si>
  <si>
    <t>종로</t>
    <phoneticPr fontId="5" type="noConversion"/>
  </si>
  <si>
    <t>[표2]</t>
    <phoneticPr fontId="5" type="noConversion"/>
  </si>
  <si>
    <t>고객별 포인트 점수 현황</t>
    <phoneticPr fontId="5" type="noConversion"/>
  </si>
  <si>
    <t>고객번호</t>
    <phoneticPr fontId="5" type="noConversion"/>
  </si>
  <si>
    <t>변경고객번호</t>
    <phoneticPr fontId="5" type="noConversion"/>
  </si>
  <si>
    <t>고객이름</t>
    <phoneticPr fontId="5" type="noConversion"/>
  </si>
  <si>
    <t>지역</t>
    <phoneticPr fontId="5" type="noConversion"/>
  </si>
  <si>
    <t>구매실적</t>
    <phoneticPr fontId="5" type="noConversion"/>
  </si>
  <si>
    <t>할인율</t>
    <phoneticPr fontId="5" type="noConversion"/>
  </si>
  <si>
    <t>거래빈도</t>
    <phoneticPr fontId="5" type="noConversion"/>
  </si>
  <si>
    <t>C111</t>
    <phoneticPr fontId="5" type="noConversion"/>
  </si>
  <si>
    <t>홍길동</t>
    <phoneticPr fontId="5" type="noConversion"/>
  </si>
  <si>
    <t>종로</t>
    <phoneticPr fontId="5" type="noConversion"/>
  </si>
  <si>
    <t>C112</t>
    <phoneticPr fontId="5" type="noConversion"/>
  </si>
  <si>
    <t>박찬훈</t>
    <phoneticPr fontId="5" type="noConversion"/>
  </si>
  <si>
    <t>서초</t>
    <phoneticPr fontId="5" type="noConversion"/>
  </si>
  <si>
    <t>C113</t>
    <phoneticPr fontId="5" type="noConversion"/>
  </si>
  <si>
    <t>김덕진</t>
    <phoneticPr fontId="5" type="noConversion"/>
  </si>
  <si>
    <t>C114</t>
    <phoneticPr fontId="5" type="noConversion"/>
  </si>
  <si>
    <t>이소라</t>
    <phoneticPr fontId="5" type="noConversion"/>
  </si>
  <si>
    <t>C115</t>
    <phoneticPr fontId="5" type="noConversion"/>
  </si>
  <si>
    <t>김종택</t>
    <phoneticPr fontId="5" type="noConversion"/>
  </si>
  <si>
    <t>C116</t>
    <phoneticPr fontId="5" type="noConversion"/>
  </si>
  <si>
    <t>정영일</t>
    <phoneticPr fontId="5" type="noConversion"/>
  </si>
  <si>
    <t>C117</t>
    <phoneticPr fontId="5" type="noConversion"/>
  </si>
  <si>
    <t>최수형</t>
    <phoneticPr fontId="5" type="noConversion"/>
  </si>
  <si>
    <t>C118</t>
    <phoneticPr fontId="5" type="noConversion"/>
  </si>
  <si>
    <t>한우규</t>
    <phoneticPr fontId="5" type="noConversion"/>
  </si>
  <si>
    <t>C119</t>
    <phoneticPr fontId="5" type="noConversion"/>
  </si>
  <si>
    <t>이명섭</t>
    <phoneticPr fontId="5" type="noConversion"/>
  </si>
  <si>
    <t>C120</t>
  </si>
  <si>
    <t>김인하</t>
    <phoneticPr fontId="5" type="noConversion"/>
  </si>
  <si>
    <t>C121</t>
  </si>
  <si>
    <t>성유희</t>
    <phoneticPr fontId="5" type="noConversion"/>
  </si>
  <si>
    <t>C122</t>
  </si>
  <si>
    <t>강진미</t>
    <phoneticPr fontId="5" type="noConversion"/>
  </si>
  <si>
    <t>C123</t>
  </si>
  <si>
    <t>이성범</t>
    <phoneticPr fontId="5" type="noConversion"/>
  </si>
  <si>
    <t>C124</t>
  </si>
  <si>
    <t>류시강</t>
    <phoneticPr fontId="5" type="noConversion"/>
  </si>
  <si>
    <t>C125</t>
  </si>
  <si>
    <t>현지건</t>
    <phoneticPr fontId="5" type="noConversion"/>
  </si>
  <si>
    <r>
      <t>[표</t>
    </r>
    <r>
      <rPr>
        <sz val="11"/>
        <color theme="1"/>
        <rFont val="맑은 고딕"/>
        <family val="3"/>
        <charset val="129"/>
        <scheme val="major"/>
      </rPr>
      <t>3]</t>
    </r>
    <phoneticPr fontId="5" type="noConversion"/>
  </si>
  <si>
    <r>
      <t>연수 점수</t>
    </r>
    <r>
      <rPr>
        <sz val="11"/>
        <color theme="1"/>
        <rFont val="맑은 고딕"/>
        <family val="3"/>
        <charset val="129"/>
        <scheme val="major"/>
      </rPr>
      <t xml:space="preserve"> 및 급여 현황</t>
    </r>
    <phoneticPr fontId="5" type="noConversion"/>
  </si>
  <si>
    <t>등급</t>
  </si>
  <si>
    <t>과정코드</t>
  </si>
  <si>
    <t>필기점수</t>
  </si>
  <si>
    <t>근무년수</t>
  </si>
  <si>
    <t>경력점수</t>
  </si>
  <si>
    <t>총급여</t>
    <phoneticPr fontId="5" type="noConversion"/>
  </si>
  <si>
    <t>고급반</t>
  </si>
  <si>
    <t>김현중</t>
  </si>
  <si>
    <t>전산-1</t>
  </si>
  <si>
    <t>중급반</t>
  </si>
  <si>
    <t>이상랑</t>
  </si>
  <si>
    <t>전산-2</t>
  </si>
  <si>
    <t>기초반</t>
  </si>
  <si>
    <t>김국토</t>
  </si>
  <si>
    <t>전산-3</t>
  </si>
  <si>
    <r>
      <t>[표4</t>
    </r>
    <r>
      <rPr>
        <sz val="11"/>
        <color theme="1"/>
        <rFont val="맑은 고딕"/>
        <family val="3"/>
        <charset val="129"/>
        <scheme val="major"/>
      </rPr>
      <t>]</t>
    </r>
    <phoneticPr fontId="5" type="noConversion"/>
  </si>
  <si>
    <t>진선미</t>
  </si>
  <si>
    <t>영어-1</t>
  </si>
  <si>
    <t>총점수</t>
    <phoneticPr fontId="5" type="noConversion"/>
  </si>
  <si>
    <t>상여금율</t>
    <phoneticPr fontId="5" type="noConversion"/>
  </si>
  <si>
    <t>구영후</t>
  </si>
  <si>
    <t>영어-2</t>
  </si>
  <si>
    <t>민정식</t>
  </si>
  <si>
    <t>영어-3</t>
  </si>
  <si>
    <t>도한국</t>
  </si>
  <si>
    <t>마케팅-1</t>
  </si>
  <si>
    <t>박지예</t>
  </si>
  <si>
    <t>마케팅-2</t>
  </si>
  <si>
    <t>평균</t>
    <phoneticPr fontId="5" type="noConversion"/>
  </si>
  <si>
    <t>고향주소</t>
    <phoneticPr fontId="5" type="noConversion"/>
  </si>
  <si>
    <t>생년월일</t>
    <phoneticPr fontId="5" type="noConversion"/>
  </si>
  <si>
    <t>가족 수(아이 수)</t>
    <phoneticPr fontId="5" type="noConversion"/>
  </si>
  <si>
    <t>회비</t>
    <phoneticPr fontId="5" type="noConversion"/>
  </si>
  <si>
    <t>조</t>
    <phoneticPr fontId="5" type="noConversion"/>
  </si>
  <si>
    <t>회비합</t>
    <phoneticPr fontId="5" type="noConversion"/>
  </si>
  <si>
    <t>김승호</t>
    <phoneticPr fontId="5" type="noConversion"/>
  </si>
  <si>
    <t>서울시 성동구</t>
    <phoneticPr fontId="5" type="noConversion"/>
  </si>
  <si>
    <t>4(2)</t>
    <phoneticPr fontId="5" type="noConversion"/>
  </si>
  <si>
    <t>정재호</t>
    <phoneticPr fontId="5" type="noConversion"/>
  </si>
  <si>
    <t>서울시 성북구</t>
    <phoneticPr fontId="5" type="noConversion"/>
  </si>
  <si>
    <t>3(1)</t>
    <phoneticPr fontId="5" type="noConversion"/>
  </si>
  <si>
    <t>성은희</t>
    <phoneticPr fontId="5" type="noConversion"/>
  </si>
  <si>
    <t>부천시 오정구</t>
    <phoneticPr fontId="5" type="noConversion"/>
  </si>
  <si>
    <t>5(3)</t>
    <phoneticPr fontId="5" type="noConversion"/>
  </si>
  <si>
    <t>이영주</t>
    <phoneticPr fontId="5" type="noConversion"/>
  </si>
  <si>
    <t>부천시 원미구</t>
    <phoneticPr fontId="5" type="noConversion"/>
  </si>
  <si>
    <t>2(0)</t>
    <phoneticPr fontId="5" type="noConversion"/>
  </si>
  <si>
    <t>배수인</t>
    <phoneticPr fontId="5" type="noConversion"/>
  </si>
  <si>
    <t>안양시 동안구</t>
    <phoneticPr fontId="5" type="noConversion"/>
  </si>
  <si>
    <t>표영호</t>
    <phoneticPr fontId="5" type="noConversion"/>
  </si>
  <si>
    <t>성남시 수정구</t>
    <phoneticPr fontId="5" type="noConversion"/>
  </si>
  <si>
    <t>1(0)</t>
    <phoneticPr fontId="5" type="noConversion"/>
  </si>
  <si>
    <t>가족 인원별 회비</t>
    <phoneticPr fontId="5" type="noConversion"/>
  </si>
  <si>
    <t>가족 수</t>
    <phoneticPr fontId="5" type="noConversion"/>
  </si>
  <si>
    <t>회비1</t>
    <phoneticPr fontId="5" type="noConversion"/>
  </si>
  <si>
    <t>회비2</t>
    <phoneticPr fontId="5" type="noConversion"/>
  </si>
  <si>
    <t>회원명</t>
    <phoneticPr fontId="5" type="noConversion"/>
  </si>
  <si>
    <t>운동명</t>
  </si>
  <si>
    <t>사용시간</t>
  </si>
  <si>
    <t>할인시간</t>
  </si>
  <si>
    <t>사용요금</t>
  </si>
  <si>
    <t>레슨비용</t>
  </si>
  <si>
    <t>박종수</t>
  </si>
  <si>
    <t>수영</t>
  </si>
  <si>
    <t>최용준</t>
  </si>
  <si>
    <t>헬스</t>
  </si>
  <si>
    <t>강대수</t>
  </si>
  <si>
    <t>스쿼시</t>
  </si>
  <si>
    <t>추인혜</t>
  </si>
  <si>
    <t>지석영</t>
  </si>
  <si>
    <t>이상호</t>
  </si>
  <si>
    <t>표인종</t>
  </si>
  <si>
    <t>장은지</t>
  </si>
  <si>
    <t>곽인정</t>
  </si>
  <si>
    <t>[표4]</t>
    <phoneticPr fontId="5" type="noConversion"/>
  </si>
  <si>
    <t>운동명</t>
    <phoneticPr fontId="5" type="noConversion"/>
  </si>
  <si>
    <t>중간값의 차</t>
    <phoneticPr fontId="5" type="noConversion"/>
  </si>
  <si>
    <t>최소 사용요금</t>
    <phoneticPr fontId="5" type="noConversion"/>
  </si>
  <si>
    <t>수영</t>
    <phoneticPr fontId="5" type="noConversion"/>
  </si>
  <si>
    <t>헬스</t>
    <phoneticPr fontId="5" type="noConversion"/>
  </si>
  <si>
    <t>스쿼시</t>
    <phoneticPr fontId="5" type="noConversion"/>
  </si>
  <si>
    <t>[표3]</t>
    <phoneticPr fontId="5" type="noConversion"/>
  </si>
  <si>
    <t>연말 상여금 지급 현황</t>
    <phoneticPr fontId="5" type="noConversion"/>
  </si>
  <si>
    <t>단위 : 천원</t>
    <phoneticPr fontId="5" type="noConversion"/>
  </si>
  <si>
    <t>직무</t>
    <phoneticPr fontId="5" type="noConversion"/>
  </si>
  <si>
    <t>6급</t>
    <phoneticPr fontId="5" type="noConversion"/>
  </si>
  <si>
    <t>7급</t>
    <phoneticPr fontId="5" type="noConversion"/>
  </si>
  <si>
    <r>
      <t>5</t>
    </r>
    <r>
      <rPr>
        <sz val="11"/>
        <color theme="1"/>
        <rFont val="맑은 고딕"/>
        <family val="3"/>
        <charset val="129"/>
        <scheme val="major"/>
      </rPr>
      <t>0번째 백분위수</t>
    </r>
    <phoneticPr fontId="5" type="noConversion"/>
  </si>
  <si>
    <t>사원명</t>
    <phoneticPr fontId="5" type="noConversion"/>
  </si>
  <si>
    <t>직위</t>
    <phoneticPr fontId="5" type="noConversion"/>
  </si>
  <si>
    <t>기본급</t>
    <phoneticPr fontId="5" type="noConversion"/>
  </si>
  <si>
    <t>상여비율</t>
    <phoneticPr fontId="5" type="noConversion"/>
  </si>
  <si>
    <t>지급액</t>
    <phoneticPr fontId="5" type="noConversion"/>
  </si>
  <si>
    <t>간호</t>
    <phoneticPr fontId="5" type="noConversion"/>
  </si>
  <si>
    <t>신소진</t>
    <phoneticPr fontId="5" type="noConversion"/>
  </si>
  <si>
    <t>사원</t>
    <phoneticPr fontId="5" type="noConversion"/>
  </si>
  <si>
    <t>건축</t>
    <phoneticPr fontId="5" type="noConversion"/>
  </si>
  <si>
    <t>이은철</t>
    <phoneticPr fontId="5" type="noConversion"/>
  </si>
  <si>
    <t>차장</t>
    <phoneticPr fontId="5" type="noConversion"/>
  </si>
  <si>
    <t>행정</t>
    <phoneticPr fontId="5" type="noConversion"/>
  </si>
  <si>
    <t>박희천</t>
    <phoneticPr fontId="5" type="noConversion"/>
  </si>
  <si>
    <t>과장</t>
    <phoneticPr fontId="5" type="noConversion"/>
  </si>
  <si>
    <t>환경</t>
    <phoneticPr fontId="5" type="noConversion"/>
  </si>
  <si>
    <t>노수용</t>
    <phoneticPr fontId="5" type="noConversion"/>
  </si>
  <si>
    <t>조명섭</t>
    <phoneticPr fontId="5" type="noConversion"/>
  </si>
  <si>
    <t>대리</t>
    <phoneticPr fontId="5" type="noConversion"/>
  </si>
  <si>
    <t>인사현황</t>
    <phoneticPr fontId="5" type="noConversion"/>
  </si>
  <si>
    <t>이기수</t>
    <phoneticPr fontId="5" type="noConversion"/>
  </si>
  <si>
    <t>부장</t>
    <phoneticPr fontId="5" type="noConversion"/>
  </si>
  <si>
    <t>직급</t>
    <phoneticPr fontId="5" type="noConversion"/>
  </si>
  <si>
    <t>성   명</t>
    <phoneticPr fontId="5" type="noConversion"/>
  </si>
  <si>
    <t>소        속</t>
    <phoneticPr fontId="5" type="noConversion"/>
  </si>
  <si>
    <t>성적</t>
    <phoneticPr fontId="5" type="noConversion"/>
  </si>
  <si>
    <t>최신호</t>
    <phoneticPr fontId="5" type="noConversion"/>
  </si>
  <si>
    <t>공재룡</t>
    <phoneticPr fontId="5" type="noConversion"/>
  </si>
  <si>
    <t>위생과</t>
    <phoneticPr fontId="5" type="noConversion"/>
  </si>
  <si>
    <t>박건창</t>
    <phoneticPr fontId="5" type="noConversion"/>
  </si>
  <si>
    <t>곽배동</t>
    <phoneticPr fontId="5" type="noConversion"/>
  </si>
  <si>
    <t>교통행정과</t>
  </si>
  <si>
    <t>김재규</t>
    <phoneticPr fontId="5" type="noConversion"/>
  </si>
  <si>
    <t>김유신</t>
    <phoneticPr fontId="5" type="noConversion"/>
  </si>
  <si>
    <t>보건사업과</t>
  </si>
  <si>
    <t>총상여금</t>
    <phoneticPr fontId="5" type="noConversion"/>
  </si>
  <si>
    <t>김이길</t>
    <phoneticPr fontId="5" type="noConversion"/>
  </si>
  <si>
    <t>7급</t>
  </si>
  <si>
    <t>박경숙</t>
    <phoneticPr fontId="5" type="noConversion"/>
  </si>
  <si>
    <t>[표4]</t>
    <phoneticPr fontId="5" type="noConversion"/>
  </si>
  <si>
    <t>상여금 지급율표</t>
    <phoneticPr fontId="5" type="noConversion"/>
  </si>
  <si>
    <t>박난초</t>
    <phoneticPr fontId="5" type="noConversion"/>
  </si>
  <si>
    <t>상여율</t>
    <phoneticPr fontId="5" type="noConversion"/>
  </si>
  <si>
    <t>박영미</t>
    <phoneticPr fontId="5" type="noConversion"/>
  </si>
  <si>
    <t>사회복지과</t>
  </si>
  <si>
    <t>배승우</t>
    <phoneticPr fontId="5" type="noConversion"/>
  </si>
  <si>
    <t>총무과</t>
    <phoneticPr fontId="5" type="noConversion"/>
  </si>
  <si>
    <t>백수인</t>
    <phoneticPr fontId="5" type="noConversion"/>
  </si>
  <si>
    <t>여종택</t>
    <phoneticPr fontId="5" type="noConversion"/>
  </si>
  <si>
    <t>회계과</t>
  </si>
  <si>
    <t>오장규</t>
    <phoneticPr fontId="5" type="noConversion"/>
  </si>
  <si>
    <t>보건사업과</t>
    <phoneticPr fontId="5" type="noConversion"/>
  </si>
  <si>
    <t>우병순</t>
    <phoneticPr fontId="5" type="noConversion"/>
  </si>
  <si>
    <t>농림과</t>
  </si>
  <si>
    <t>이덕화</t>
    <phoneticPr fontId="5" type="noConversion"/>
  </si>
  <si>
    <t>징수과</t>
  </si>
  <si>
    <r>
      <t>[표5</t>
    </r>
    <r>
      <rPr>
        <sz val="11"/>
        <color theme="1"/>
        <rFont val="맑은 고딕"/>
        <family val="3"/>
        <charset val="129"/>
        <scheme val="major"/>
      </rPr>
      <t>] 직위별 상여금 차지율</t>
    </r>
    <phoneticPr fontId="5" type="noConversion"/>
  </si>
  <si>
    <t>이성만</t>
    <phoneticPr fontId="5" type="noConversion"/>
  </si>
  <si>
    <t>상여금 차지율</t>
    <phoneticPr fontId="5" type="noConversion"/>
  </si>
  <si>
    <t>이순선</t>
    <phoneticPr fontId="5" type="noConversion"/>
  </si>
  <si>
    <t>민방위과</t>
    <phoneticPr fontId="5" type="noConversion"/>
  </si>
  <si>
    <t>장병철</t>
    <phoneticPr fontId="5" type="noConversion"/>
  </si>
  <si>
    <t>장성태</t>
    <phoneticPr fontId="5" type="noConversion"/>
  </si>
  <si>
    <t>장재근</t>
    <phoneticPr fontId="5" type="noConversion"/>
  </si>
  <si>
    <t>최은경</t>
    <phoneticPr fontId="5" type="noConversion"/>
  </si>
  <si>
    <t>추병선</t>
    <phoneticPr fontId="5" type="noConversion"/>
  </si>
  <si>
    <r>
      <t>[표</t>
    </r>
    <r>
      <rPr>
        <sz val="11"/>
        <color theme="1"/>
        <rFont val="맑은 고딕"/>
        <family val="3"/>
        <charset val="129"/>
        <scheme val="major"/>
      </rPr>
      <t>1]</t>
    </r>
    <phoneticPr fontId="5" type="noConversion"/>
  </si>
  <si>
    <t>영업사원</t>
    <phoneticPr fontId="5" type="noConversion"/>
  </si>
  <si>
    <t>소속지점</t>
    <phoneticPr fontId="5" type="noConversion"/>
  </si>
  <si>
    <t>직급</t>
    <phoneticPr fontId="5" type="noConversion"/>
  </si>
  <si>
    <t>판매실적</t>
    <phoneticPr fontId="5" type="noConversion"/>
  </si>
  <si>
    <t>성과급</t>
    <phoneticPr fontId="5" type="noConversion"/>
  </si>
  <si>
    <t>지급급여</t>
    <phoneticPr fontId="5" type="noConversion"/>
  </si>
  <si>
    <t>2급</t>
    <phoneticPr fontId="5" type="noConversion"/>
  </si>
  <si>
    <t>3급</t>
    <phoneticPr fontId="5" type="noConversion"/>
  </si>
  <si>
    <t>4급</t>
    <phoneticPr fontId="5" type="noConversion"/>
  </si>
  <si>
    <t>5급</t>
    <phoneticPr fontId="5" type="noConversion"/>
  </si>
  <si>
    <r>
      <t>[표</t>
    </r>
    <r>
      <rPr>
        <sz val="11"/>
        <color theme="1"/>
        <rFont val="맑은 고딕"/>
        <family val="3"/>
        <charset val="129"/>
        <scheme val="major"/>
      </rPr>
      <t>2]</t>
    </r>
    <phoneticPr fontId="5" type="noConversion"/>
  </si>
  <si>
    <t>세금공제표</t>
    <phoneticPr fontId="5" type="noConversion"/>
  </si>
  <si>
    <t>세금공제율</t>
    <phoneticPr fontId="5" type="noConversion"/>
  </si>
  <si>
    <t>중앙값</t>
    <phoneticPr fontId="5" type="noConversion"/>
  </si>
  <si>
    <t>성과급 합계</t>
    <phoneticPr fontId="5" type="noConversion"/>
  </si>
  <si>
    <t>인원수</t>
    <phoneticPr fontId="5" type="noConversion"/>
  </si>
  <si>
    <r>
      <t>[표1</t>
    </r>
    <r>
      <rPr>
        <sz val="11"/>
        <color theme="1"/>
        <rFont val="맑은 고딕"/>
        <family val="3"/>
        <charset val="129"/>
        <scheme val="major"/>
      </rPr>
      <t>]</t>
    </r>
    <phoneticPr fontId="5" type="noConversion"/>
  </si>
  <si>
    <t>부서명</t>
  </si>
  <si>
    <r>
      <t>남(</t>
    </r>
    <r>
      <rPr>
        <sz val="11"/>
        <color theme="1"/>
        <rFont val="맑은 고딕"/>
        <family val="3"/>
        <charset val="129"/>
        <scheme val="major"/>
      </rPr>
      <t>1)</t>
    </r>
    <phoneticPr fontId="5" type="noConversion"/>
  </si>
  <si>
    <r>
      <t>여(</t>
    </r>
    <r>
      <rPr>
        <sz val="11"/>
        <color theme="1"/>
        <rFont val="맑은 고딕"/>
        <family val="3"/>
        <charset val="129"/>
        <scheme val="major"/>
      </rPr>
      <t>2)</t>
    </r>
    <phoneticPr fontId="5" type="noConversion"/>
  </si>
  <si>
    <t>관리부</t>
  </si>
  <si>
    <t>영업부</t>
  </si>
  <si>
    <t>총무부</t>
  </si>
  <si>
    <r>
      <t>[표2</t>
    </r>
    <r>
      <rPr>
        <sz val="11"/>
        <color theme="1"/>
        <rFont val="맑은 고딕"/>
        <family val="3"/>
        <charset val="129"/>
        <scheme val="major"/>
      </rPr>
      <t>]</t>
    </r>
    <phoneticPr fontId="5" type="noConversion"/>
  </si>
  <si>
    <t>부서명</t>
    <phoneticPr fontId="5" type="noConversion"/>
  </si>
  <si>
    <t>이름</t>
    <phoneticPr fontId="5" type="noConversion"/>
  </si>
  <si>
    <t>주민등록번호</t>
    <phoneticPr fontId="5" type="noConversion"/>
  </si>
  <si>
    <t>생년월일</t>
    <phoneticPr fontId="5" type="noConversion"/>
  </si>
  <si>
    <t>예금액</t>
    <phoneticPr fontId="5" type="noConversion"/>
  </si>
  <si>
    <t>결혼여부</t>
    <phoneticPr fontId="5" type="noConversion"/>
  </si>
  <si>
    <t>대출가능액</t>
    <phoneticPr fontId="5" type="noConversion"/>
  </si>
  <si>
    <t>지원액</t>
    <phoneticPr fontId="5" type="noConversion"/>
  </si>
  <si>
    <t>총대여액</t>
    <phoneticPr fontId="5" type="noConversion"/>
  </si>
  <si>
    <t>총무부</t>
    <phoneticPr fontId="5" type="noConversion"/>
  </si>
  <si>
    <t>김기춘</t>
    <phoneticPr fontId="5" type="noConversion"/>
  </si>
  <si>
    <t>기혼</t>
    <phoneticPr fontId="5" type="noConversion"/>
  </si>
  <si>
    <t>영업부</t>
    <phoneticPr fontId="5" type="noConversion"/>
  </si>
  <si>
    <t>박오환</t>
    <phoneticPr fontId="5" type="noConversion"/>
  </si>
  <si>
    <t>미혼</t>
    <phoneticPr fontId="5" type="noConversion"/>
  </si>
  <si>
    <t>관리부</t>
    <phoneticPr fontId="5" type="noConversion"/>
  </si>
  <si>
    <t>남현우</t>
    <phoneticPr fontId="5" type="noConversion"/>
  </si>
  <si>
    <t>최수현</t>
    <phoneticPr fontId="5" type="noConversion"/>
  </si>
  <si>
    <t>김슬기</t>
    <phoneticPr fontId="5" type="noConversion"/>
  </si>
  <si>
    <t>서인국</t>
    <phoneticPr fontId="5" type="noConversion"/>
  </si>
  <si>
    <t>박영철</t>
    <phoneticPr fontId="5" type="noConversion"/>
  </si>
  <si>
    <t>김미영</t>
    <phoneticPr fontId="5" type="noConversion"/>
  </si>
  <si>
    <t>장성민</t>
    <phoneticPr fontId="5" type="noConversion"/>
  </si>
  <si>
    <t>이동국</t>
    <phoneticPr fontId="5" type="noConversion"/>
  </si>
  <si>
    <r>
      <t>[표4</t>
    </r>
    <r>
      <rPr>
        <sz val="11"/>
        <color theme="1"/>
        <rFont val="맑은 고딕"/>
        <family val="3"/>
        <charset val="129"/>
        <scheme val="major"/>
      </rPr>
      <t>]</t>
    </r>
    <phoneticPr fontId="5" type="noConversion"/>
  </si>
  <si>
    <t>최소 예금자</t>
    <phoneticPr fontId="5" type="noConversion"/>
  </si>
  <si>
    <t>성적 분포도</t>
    <phoneticPr fontId="5" type="noConversion"/>
  </si>
  <si>
    <t>국어</t>
    <phoneticPr fontId="5" type="noConversion"/>
  </si>
  <si>
    <t>영어</t>
    <phoneticPr fontId="5" type="noConversion"/>
  </si>
  <si>
    <t>수학</t>
    <phoneticPr fontId="5" type="noConversion"/>
  </si>
  <si>
    <t>판정</t>
    <phoneticPr fontId="5" type="noConversion"/>
  </si>
  <si>
    <t>반편성</t>
    <phoneticPr fontId="5" type="noConversion"/>
  </si>
  <si>
    <t>점수 대별</t>
    <phoneticPr fontId="5" type="noConversion"/>
  </si>
  <si>
    <t>F</t>
    <phoneticPr fontId="5" type="noConversion"/>
  </si>
  <si>
    <t>D</t>
    <phoneticPr fontId="5" type="noConversion"/>
  </si>
  <si>
    <t>D+</t>
    <phoneticPr fontId="5" type="noConversion"/>
  </si>
  <si>
    <t>C</t>
    <phoneticPr fontId="5" type="noConversion"/>
  </si>
  <si>
    <t>C+</t>
    <phoneticPr fontId="5" type="noConversion"/>
  </si>
  <si>
    <t>B</t>
    <phoneticPr fontId="5" type="noConversion"/>
  </si>
  <si>
    <t>B+</t>
    <phoneticPr fontId="5" type="noConversion"/>
  </si>
  <si>
    <t>A</t>
    <phoneticPr fontId="5" type="noConversion"/>
  </si>
  <si>
    <t>A+</t>
    <phoneticPr fontId="5" type="noConversion"/>
  </si>
  <si>
    <t>김호진</t>
  </si>
  <si>
    <t>박득우</t>
  </si>
  <si>
    <t>박중태</t>
  </si>
  <si>
    <t>반별 평균</t>
    <phoneticPr fontId="5" type="noConversion"/>
  </si>
  <si>
    <t>박한식</t>
  </si>
  <si>
    <t>신점기</t>
  </si>
  <si>
    <t>신종갑</t>
  </si>
  <si>
    <t>오문규</t>
  </si>
  <si>
    <t>반별 평균차</t>
  </si>
  <si>
    <t>오진영</t>
  </si>
  <si>
    <t>이유석</t>
  </si>
  <si>
    <t>이홍기</t>
  </si>
  <si>
    <t>정창욱</t>
  </si>
  <si>
    <t>[표3]</t>
    <phoneticPr fontId="4" type="noConversion"/>
  </si>
  <si>
    <t>구분</t>
    <phoneticPr fontId="4" type="noConversion"/>
  </si>
  <si>
    <t>비고</t>
    <phoneticPr fontId="5" type="noConversion"/>
  </si>
  <si>
    <t>[표1]</t>
    <phoneticPr fontId="5" type="noConversion"/>
  </si>
  <si>
    <t>[표2]</t>
    <phoneticPr fontId="5" type="noConversion"/>
  </si>
  <si>
    <t>기본급</t>
    <phoneticPr fontId="5" type="noConversion"/>
  </si>
  <si>
    <t>2/3호봉 직원수</t>
    <phoneticPr fontId="5" type="noConversion"/>
  </si>
  <si>
    <t>큰 값-평균 값</t>
    <phoneticPr fontId="5" type="noConversion"/>
  </si>
  <si>
    <t>사원</t>
    <phoneticPr fontId="5" type="noConversion"/>
  </si>
  <si>
    <t>대리</t>
    <phoneticPr fontId="5" type="noConversion"/>
  </si>
  <si>
    <t>과장</t>
    <phoneticPr fontId="5" type="noConversion"/>
  </si>
  <si>
    <t>차장</t>
    <phoneticPr fontId="5" type="noConversion"/>
  </si>
  <si>
    <t>부장</t>
    <phoneticPr fontId="5" type="noConversion"/>
  </si>
  <si>
    <t>총무팀</t>
    <phoneticPr fontId="5" type="noConversion"/>
  </si>
  <si>
    <t>1 호봉</t>
    <phoneticPr fontId="6" type="noConversion"/>
  </si>
  <si>
    <t>기술팀</t>
    <phoneticPr fontId="5" type="noConversion"/>
  </si>
  <si>
    <t>영업팀</t>
    <phoneticPr fontId="5" type="noConversion"/>
  </si>
  <si>
    <t>[표3]</t>
    <phoneticPr fontId="5" type="noConversion"/>
  </si>
  <si>
    <t>기본급</t>
    <phoneticPr fontId="6" type="noConversion"/>
  </si>
  <si>
    <t>식대</t>
    <phoneticPr fontId="6" type="noConversion"/>
  </si>
  <si>
    <t>교통비</t>
    <phoneticPr fontId="6" type="noConversion"/>
  </si>
  <si>
    <t>차량보조금</t>
    <phoneticPr fontId="6" type="noConversion"/>
  </si>
  <si>
    <t>급여 총액</t>
    <phoneticPr fontId="6" type="noConversion"/>
  </si>
  <si>
    <t>만기금액</t>
    <phoneticPr fontId="5" type="noConversion"/>
  </si>
  <si>
    <t>4호봉</t>
    <phoneticPr fontId="5" type="noConversion"/>
  </si>
  <si>
    <t>3호봉</t>
    <phoneticPr fontId="5" type="noConversion"/>
  </si>
  <si>
    <t>2호봉</t>
    <phoneticPr fontId="5" type="noConversion"/>
  </si>
  <si>
    <t>6호봉</t>
    <phoneticPr fontId="5" type="noConversion"/>
  </si>
  <si>
    <t>1호봉</t>
    <phoneticPr fontId="5" type="noConversion"/>
  </si>
  <si>
    <t>기술팀</t>
    <phoneticPr fontId="6" type="noConversion"/>
  </si>
  <si>
    <t>5호봉</t>
    <phoneticPr fontId="5" type="noConversion"/>
  </si>
  <si>
    <t>[표1]</t>
    <phoneticPr fontId="4" type="noConversion"/>
  </si>
  <si>
    <t>[표2]</t>
    <phoneticPr fontId="4" type="noConversion"/>
  </si>
  <si>
    <t>부</t>
    <phoneticPr fontId="4" type="noConversion"/>
  </si>
  <si>
    <t>나이</t>
    <phoneticPr fontId="4" type="noConversion"/>
  </si>
  <si>
    <t>성별</t>
    <phoneticPr fontId="4" type="noConversion"/>
  </si>
  <si>
    <r>
      <t>[표1</t>
    </r>
    <r>
      <rPr>
        <sz val="11"/>
        <color theme="1"/>
        <rFont val="맑은 고딕"/>
        <family val="3"/>
        <charset val="129"/>
        <scheme val="major"/>
      </rPr>
      <t>]</t>
    </r>
    <phoneticPr fontId="5" type="noConversion"/>
  </si>
  <si>
    <r>
      <t>[표2</t>
    </r>
    <r>
      <rPr>
        <sz val="11"/>
        <color theme="1"/>
        <rFont val="맑은 고딕"/>
        <family val="3"/>
        <charset val="129"/>
        <scheme val="major"/>
      </rPr>
      <t>]</t>
    </r>
    <phoneticPr fontId="5" type="noConversion"/>
  </si>
  <si>
    <t>배달량</t>
    <phoneticPr fontId="5" type="noConversion"/>
  </si>
  <si>
    <t>배달건수</t>
    <phoneticPr fontId="5" type="noConversion"/>
  </si>
  <si>
    <t>배달지역</t>
    <phoneticPr fontId="5" type="noConversion"/>
  </si>
  <si>
    <t>배달담당</t>
    <phoneticPr fontId="5" type="noConversion"/>
  </si>
  <si>
    <t>산남지구</t>
    <phoneticPr fontId="5" type="noConversion"/>
  </si>
  <si>
    <t>산북지구</t>
    <phoneticPr fontId="5" type="noConversion"/>
  </si>
  <si>
    <t>산서지구</t>
    <phoneticPr fontId="5" type="noConversion"/>
  </si>
  <si>
    <t>산동지구</t>
    <phoneticPr fontId="5" type="noConversion"/>
  </si>
  <si>
    <r>
      <t>[표</t>
    </r>
    <r>
      <rPr>
        <sz val="11"/>
        <color theme="1"/>
        <rFont val="맑은 고딕"/>
        <family val="3"/>
        <charset val="129"/>
        <scheme val="major"/>
      </rPr>
      <t>3]</t>
    </r>
    <phoneticPr fontId="5" type="noConversion"/>
  </si>
  <si>
    <t>일자</t>
    <phoneticPr fontId="5" type="noConversion"/>
  </si>
  <si>
    <t>도부영</t>
    <phoneticPr fontId="5" type="noConversion"/>
  </si>
  <si>
    <t>배무영</t>
  </si>
  <si>
    <t>장동욱</t>
    <phoneticPr fontId="5" type="noConversion"/>
  </si>
  <si>
    <t>배달누락</t>
    <phoneticPr fontId="5" type="noConversion"/>
  </si>
  <si>
    <r>
      <t>[표</t>
    </r>
    <r>
      <rPr>
        <sz val="11"/>
        <color theme="1"/>
        <rFont val="맑은 고딕"/>
        <family val="3"/>
        <charset val="129"/>
        <scheme val="major"/>
      </rPr>
      <t>4]</t>
    </r>
    <phoneticPr fontId="5" type="noConversion"/>
  </si>
  <si>
    <t>제품코드</t>
    <phoneticPr fontId="5" type="noConversion"/>
  </si>
  <si>
    <t>제품코드2</t>
    <phoneticPr fontId="5" type="noConversion"/>
  </si>
  <si>
    <t>품명</t>
    <phoneticPr fontId="5" type="noConversion"/>
  </si>
  <si>
    <t>판매량</t>
    <phoneticPr fontId="5" type="noConversion"/>
  </si>
  <si>
    <t>판매금액</t>
    <phoneticPr fontId="5" type="noConversion"/>
  </si>
  <si>
    <t>이익금</t>
    <phoneticPr fontId="5" type="noConversion"/>
  </si>
  <si>
    <t>곰인형</t>
    <phoneticPr fontId="5" type="noConversion"/>
  </si>
  <si>
    <t>놀이동산</t>
    <phoneticPr fontId="5" type="noConversion"/>
  </si>
  <si>
    <t>제품 코드표</t>
    <phoneticPr fontId="5" type="noConversion"/>
  </si>
  <si>
    <t>딸랑이</t>
    <phoneticPr fontId="5" type="noConversion"/>
  </si>
  <si>
    <t>코드</t>
    <phoneticPr fontId="5" type="noConversion"/>
  </si>
  <si>
    <t>판매단가</t>
    <phoneticPr fontId="5" type="noConversion"/>
  </si>
  <si>
    <t>할인율</t>
    <phoneticPr fontId="5" type="noConversion"/>
  </si>
  <si>
    <t>꼬마인형</t>
    <phoneticPr fontId="5" type="noConversion"/>
  </si>
  <si>
    <t>k</t>
    <phoneticPr fontId="5" type="noConversion"/>
  </si>
  <si>
    <t>n</t>
    <phoneticPr fontId="5" type="noConversion"/>
  </si>
  <si>
    <t>우유병</t>
    <phoneticPr fontId="5" type="noConversion"/>
  </si>
  <si>
    <t>d</t>
    <phoneticPr fontId="5" type="noConversion"/>
  </si>
  <si>
    <t>g</t>
    <phoneticPr fontId="5" type="noConversion"/>
  </si>
  <si>
    <t>y</t>
    <phoneticPr fontId="5" type="noConversion"/>
  </si>
  <si>
    <t>공과대학 성적</t>
    <phoneticPr fontId="5" type="noConversion"/>
  </si>
  <si>
    <t>이름</t>
    <phoneticPr fontId="5" type="noConversion"/>
  </si>
  <si>
    <t>학과</t>
    <phoneticPr fontId="4" type="noConversion"/>
  </si>
  <si>
    <t>중간</t>
    <phoneticPr fontId="5" type="noConversion"/>
  </si>
  <si>
    <t>기말</t>
    <phoneticPr fontId="5" type="noConversion"/>
  </si>
  <si>
    <t>과제</t>
    <phoneticPr fontId="4" type="noConversion"/>
  </si>
  <si>
    <t>가중평균</t>
    <phoneticPr fontId="5" type="noConversion"/>
  </si>
  <si>
    <t>평점</t>
    <phoneticPr fontId="5" type="noConversion"/>
  </si>
  <si>
    <t>임은교</t>
    <phoneticPr fontId="5" type="noConversion"/>
  </si>
  <si>
    <t>기계공학과</t>
    <phoneticPr fontId="4" type="noConversion"/>
  </si>
  <si>
    <t>이동주</t>
    <phoneticPr fontId="5" type="noConversion"/>
  </si>
  <si>
    <t>건축학과</t>
    <phoneticPr fontId="4" type="noConversion"/>
  </si>
  <si>
    <t>김종진</t>
    <phoneticPr fontId="5" type="noConversion"/>
  </si>
  <si>
    <t>토목과</t>
    <phoneticPr fontId="4" type="noConversion"/>
  </si>
  <si>
    <t>김미정</t>
    <phoneticPr fontId="5" type="noConversion"/>
  </si>
  <si>
    <t>김유숙</t>
    <phoneticPr fontId="5" type="noConversion"/>
  </si>
  <si>
    <t>이은성</t>
    <phoneticPr fontId="5" type="noConversion"/>
  </si>
  <si>
    <t>김진수</t>
    <phoneticPr fontId="5" type="noConversion"/>
  </si>
  <si>
    <t>이승선</t>
    <phoneticPr fontId="5" type="noConversion"/>
  </si>
  <si>
    <t>반영비율</t>
    <phoneticPr fontId="5" type="noConversion"/>
  </si>
  <si>
    <t>평점 관리표</t>
    <phoneticPr fontId="5" type="noConversion"/>
  </si>
  <si>
    <t>학과</t>
    <phoneticPr fontId="5" type="noConversion"/>
  </si>
  <si>
    <t>과제</t>
    <phoneticPr fontId="5" type="noConversion"/>
  </si>
  <si>
    <t>빈도수</t>
    <phoneticPr fontId="5" type="noConversion"/>
  </si>
  <si>
    <t>D</t>
    <phoneticPr fontId="5" type="noConversion"/>
  </si>
  <si>
    <t>C</t>
    <phoneticPr fontId="5" type="noConversion"/>
  </si>
  <si>
    <t>B</t>
    <phoneticPr fontId="5" type="noConversion"/>
  </si>
  <si>
    <t>A</t>
    <phoneticPr fontId="5" type="noConversion"/>
  </si>
  <si>
    <r>
      <t>A</t>
    </r>
    <r>
      <rPr>
        <sz val="11"/>
        <color theme="1"/>
        <rFont val="맑은 고딕"/>
        <family val="3"/>
        <charset val="129"/>
        <scheme val="major"/>
      </rPr>
      <t>+</t>
    </r>
    <phoneticPr fontId="5" type="noConversion"/>
  </si>
  <si>
    <t>[표3]</t>
    <phoneticPr fontId="5" type="noConversion"/>
  </si>
  <si>
    <t>차종에 따른 판매 현황</t>
    <phoneticPr fontId="5" type="noConversion"/>
  </si>
  <si>
    <t>대리점</t>
    <phoneticPr fontId="5" type="noConversion"/>
  </si>
  <si>
    <t>상반기 판매량</t>
    <phoneticPr fontId="5" type="noConversion"/>
  </si>
  <si>
    <t>상반기판매액</t>
    <phoneticPr fontId="5" type="noConversion"/>
  </si>
  <si>
    <t>하반기 판매량</t>
    <phoneticPr fontId="5" type="noConversion"/>
  </si>
  <si>
    <t>하반기판매액</t>
    <phoneticPr fontId="5" type="noConversion"/>
  </si>
  <si>
    <t>총판매액</t>
    <phoneticPr fontId="5" type="noConversion"/>
  </si>
  <si>
    <t>동부</t>
    <phoneticPr fontId="5" type="noConversion"/>
  </si>
  <si>
    <t>누비라</t>
    <phoneticPr fontId="5" type="noConversion"/>
  </si>
  <si>
    <t>그랜저</t>
    <phoneticPr fontId="5" type="noConversion"/>
  </si>
  <si>
    <t>북부</t>
    <phoneticPr fontId="5" type="noConversion"/>
  </si>
  <si>
    <t>강남</t>
    <phoneticPr fontId="5" type="noConversion"/>
  </si>
  <si>
    <t>서부</t>
    <phoneticPr fontId="5" type="noConversion"/>
  </si>
  <si>
    <t>코란도</t>
    <phoneticPr fontId="5" type="noConversion"/>
  </si>
  <si>
    <t>강남</t>
    <phoneticPr fontId="5" type="noConversion"/>
  </si>
  <si>
    <t>북부</t>
    <phoneticPr fontId="5" type="noConversion"/>
  </si>
  <si>
    <t>누비라</t>
    <phoneticPr fontId="5" type="noConversion"/>
  </si>
  <si>
    <t>대리점</t>
    <phoneticPr fontId="5" type="noConversion"/>
  </si>
  <si>
    <t>판매액</t>
    <phoneticPr fontId="5" type="noConversion"/>
  </si>
  <si>
    <t>동부</t>
    <phoneticPr fontId="5" type="noConversion"/>
  </si>
  <si>
    <t>회원코드</t>
    <phoneticPr fontId="4" type="noConversion"/>
  </si>
  <si>
    <t>성명</t>
    <phoneticPr fontId="5" type="noConversion"/>
  </si>
  <si>
    <t>주민등록번호</t>
    <phoneticPr fontId="4" type="noConversion"/>
  </si>
  <si>
    <t>직업</t>
    <phoneticPr fontId="5" type="noConversion"/>
  </si>
  <si>
    <t>구매건수</t>
    <phoneticPr fontId="5" type="noConversion"/>
  </si>
  <si>
    <t>구매금액</t>
    <phoneticPr fontId="5" type="noConversion"/>
  </si>
  <si>
    <t>대출금액</t>
    <phoneticPr fontId="5" type="noConversion"/>
  </si>
  <si>
    <t>대출기간</t>
    <phoneticPr fontId="5" type="noConversion"/>
  </si>
  <si>
    <t>월상환액</t>
    <phoneticPr fontId="5" type="noConversion"/>
  </si>
  <si>
    <t>비고</t>
    <phoneticPr fontId="5" type="noConversion"/>
  </si>
  <si>
    <t>JA140</t>
  </si>
  <si>
    <t>이찬진</t>
    <phoneticPr fontId="5" type="noConversion"/>
  </si>
  <si>
    <t>760604-2******</t>
  </si>
  <si>
    <t>JB571</t>
  </si>
  <si>
    <t>채경찬</t>
    <phoneticPr fontId="5" type="noConversion"/>
  </si>
  <si>
    <t>921126-2******</t>
  </si>
  <si>
    <t>JD367</t>
  </si>
  <si>
    <t>임종례</t>
    <phoneticPr fontId="5" type="noConversion"/>
  </si>
  <si>
    <t>800727-2******</t>
  </si>
  <si>
    <t>JC664</t>
  </si>
  <si>
    <t>정종수</t>
    <phoneticPr fontId="5" type="noConversion"/>
  </si>
  <si>
    <t>950610-2******</t>
  </si>
  <si>
    <t>JA188</t>
  </si>
  <si>
    <t>서현명</t>
    <phoneticPr fontId="5" type="noConversion"/>
  </si>
  <si>
    <t>870916-2******</t>
  </si>
  <si>
    <t>JC268</t>
  </si>
  <si>
    <t>고광섭</t>
    <phoneticPr fontId="5" type="noConversion"/>
  </si>
  <si>
    <t>780329-1******</t>
  </si>
  <si>
    <t>-</t>
    <phoneticPr fontId="5" type="noConversion"/>
  </si>
  <si>
    <t>JA845</t>
  </si>
  <si>
    <t>김은조</t>
    <phoneticPr fontId="5" type="noConversion"/>
  </si>
  <si>
    <t>890503-2******</t>
  </si>
  <si>
    <t>JD977</t>
  </si>
  <si>
    <t>권창영</t>
    <phoneticPr fontId="5" type="noConversion"/>
  </si>
  <si>
    <t>960729-1******</t>
  </si>
  <si>
    <t>JE386</t>
  </si>
  <si>
    <t>김영민</t>
    <phoneticPr fontId="5" type="noConversion"/>
  </si>
  <si>
    <t>890221-2******</t>
  </si>
  <si>
    <t>JC663</t>
  </si>
  <si>
    <t>명노찬</t>
    <phoneticPr fontId="5" type="noConversion"/>
  </si>
  <si>
    <t>850109-1******</t>
  </si>
  <si>
    <t>JC864</t>
  </si>
  <si>
    <t>박지원</t>
  </si>
  <si>
    <t>841112-2******</t>
  </si>
  <si>
    <t>JA165</t>
  </si>
  <si>
    <t>윤선중</t>
  </si>
  <si>
    <t>760520-2******</t>
  </si>
  <si>
    <t>JB398</t>
  </si>
  <si>
    <t>이민준</t>
  </si>
  <si>
    <t>830307-2******</t>
  </si>
  <si>
    <t>JC741</t>
  </si>
  <si>
    <t>오수진</t>
  </si>
  <si>
    <t>810423-2******</t>
  </si>
  <si>
    <t>JB661</t>
  </si>
  <si>
    <t>이영민</t>
    <phoneticPr fontId="5" type="noConversion"/>
  </si>
  <si>
    <t>771029-1******</t>
  </si>
  <si>
    <t>JA219</t>
  </si>
  <si>
    <t>강진구</t>
    <phoneticPr fontId="5" type="noConversion"/>
  </si>
  <si>
    <t>880311-1******</t>
  </si>
  <si>
    <t>JB336</t>
  </si>
  <si>
    <t>김현민</t>
    <phoneticPr fontId="5" type="noConversion"/>
  </si>
  <si>
    <t>951225-2******</t>
  </si>
  <si>
    <t>JB643</t>
  </si>
  <si>
    <t>배종숙</t>
    <phoneticPr fontId="5" type="noConversion"/>
  </si>
  <si>
    <t>840507-1******</t>
  </si>
  <si>
    <t>-</t>
    <phoneticPr fontId="5" type="noConversion"/>
  </si>
  <si>
    <t>JB578</t>
  </si>
  <si>
    <t>이영숙</t>
    <phoneticPr fontId="5" type="noConversion"/>
  </si>
  <si>
    <t>990503-1******</t>
  </si>
  <si>
    <t>JC509</t>
  </si>
  <si>
    <t>강동희</t>
    <phoneticPr fontId="5" type="noConversion"/>
  </si>
  <si>
    <t>980208-2******</t>
  </si>
  <si>
    <t>JC590</t>
  </si>
  <si>
    <t>김숙자</t>
    <phoneticPr fontId="5" type="noConversion"/>
  </si>
  <si>
    <t>981229-1******</t>
  </si>
  <si>
    <t>JA649</t>
  </si>
  <si>
    <t>홍민국</t>
    <phoneticPr fontId="5" type="noConversion"/>
  </si>
  <si>
    <t>930822-2******</t>
  </si>
  <si>
    <t>JB583</t>
  </si>
  <si>
    <t>배진찬</t>
    <phoneticPr fontId="5" type="noConversion"/>
  </si>
  <si>
    <t>770120-1******</t>
  </si>
  <si>
    <t>JB523</t>
  </si>
  <si>
    <t>이성국</t>
    <phoneticPr fontId="5" type="noConversion"/>
  </si>
  <si>
    <t>830122-2******</t>
  </si>
  <si>
    <t>JD807</t>
  </si>
  <si>
    <t>유현민</t>
    <phoneticPr fontId="5" type="noConversion"/>
  </si>
  <si>
    <t>881026-2******</t>
  </si>
  <si>
    <t>-</t>
    <phoneticPr fontId="5" type="noConversion"/>
  </si>
  <si>
    <t>[표2]</t>
    <phoneticPr fontId="5" type="noConversion"/>
  </si>
  <si>
    <t>대출기간</t>
    <phoneticPr fontId="5" type="noConversion"/>
  </si>
  <si>
    <t>최대
대출금액</t>
    <phoneticPr fontId="5" type="noConversion"/>
  </si>
  <si>
    <t>구매건수가 
가장 적은 회원</t>
    <phoneticPr fontId="5" type="noConversion"/>
  </si>
  <si>
    <t>코드</t>
    <phoneticPr fontId="4" type="noConversion"/>
  </si>
  <si>
    <t>직업</t>
    <phoneticPr fontId="5" type="noConversion"/>
  </si>
  <si>
    <t>JA</t>
  </si>
  <si>
    <t>자영업</t>
    <phoneticPr fontId="5" type="noConversion"/>
  </si>
  <si>
    <t>JB</t>
  </si>
  <si>
    <t>회사원</t>
    <phoneticPr fontId="5" type="noConversion"/>
  </si>
  <si>
    <t>JD</t>
  </si>
  <si>
    <t>공무원</t>
    <phoneticPr fontId="5" type="noConversion"/>
  </si>
  <si>
    <t>JC</t>
  </si>
  <si>
    <t>의사</t>
    <phoneticPr fontId="5" type="noConversion"/>
  </si>
  <si>
    <t>JE</t>
  </si>
  <si>
    <t>변호사</t>
    <phoneticPr fontId="5" type="noConversion"/>
  </si>
  <si>
    <t>[표1]</t>
    <phoneticPr fontId="4" type="noConversion"/>
  </si>
  <si>
    <t>[표2]</t>
    <phoneticPr fontId="4" type="noConversion"/>
  </si>
  <si>
    <t>번호</t>
    <phoneticPr fontId="4" type="noConversion"/>
  </si>
  <si>
    <t>지역</t>
    <phoneticPr fontId="4" type="noConversion"/>
  </si>
  <si>
    <t>전용면적</t>
    <phoneticPr fontId="4" type="noConversion"/>
  </si>
  <si>
    <t>청약가능액</t>
    <phoneticPr fontId="4" type="noConversion"/>
  </si>
  <si>
    <t>현재예치금</t>
    <phoneticPr fontId="4" type="noConversion"/>
  </si>
  <si>
    <t>무주택</t>
    <phoneticPr fontId="4" type="noConversion"/>
  </si>
  <si>
    <t>부양가족수</t>
    <phoneticPr fontId="4" type="noConversion"/>
  </si>
  <si>
    <t>가입년수</t>
    <phoneticPr fontId="4" type="noConversion"/>
  </si>
  <si>
    <t>가산점</t>
    <phoneticPr fontId="4" type="noConversion"/>
  </si>
  <si>
    <t>코드</t>
    <phoneticPr fontId="4" type="noConversion"/>
  </si>
  <si>
    <t>서울, 부산</t>
    <phoneticPr fontId="4" type="noConversion"/>
  </si>
  <si>
    <t>SB</t>
    <phoneticPr fontId="4" type="noConversion"/>
  </si>
  <si>
    <t>기타광역시</t>
    <phoneticPr fontId="4" type="noConversion"/>
  </si>
  <si>
    <t>KY</t>
    <phoneticPr fontId="4" type="noConversion"/>
  </si>
  <si>
    <t>기타지역</t>
    <phoneticPr fontId="4" type="noConversion"/>
  </si>
  <si>
    <t>KT</t>
    <phoneticPr fontId="4" type="noConversion"/>
  </si>
  <si>
    <t>[표3] 청약가능액</t>
    <phoneticPr fontId="4" type="noConversion"/>
  </si>
  <si>
    <t>기타광역시</t>
    <phoneticPr fontId="4" type="noConversion"/>
  </si>
  <si>
    <t>서울, 부산</t>
    <phoneticPr fontId="4" type="noConversion"/>
  </si>
  <si>
    <t>기타지역</t>
    <phoneticPr fontId="4" type="noConversion"/>
  </si>
  <si>
    <t>기타광역시</t>
    <phoneticPr fontId="4" type="noConversion"/>
  </si>
  <si>
    <t>기타지역</t>
    <phoneticPr fontId="4" type="noConversion"/>
  </si>
  <si>
    <t>[표4] 지역별 무주택 평균</t>
    <phoneticPr fontId="4" type="noConversion"/>
  </si>
  <si>
    <t>서울, 부산</t>
    <phoneticPr fontId="4" type="noConversion"/>
  </si>
  <si>
    <t>지역</t>
    <phoneticPr fontId="4" type="noConversion"/>
  </si>
  <si>
    <t>무주택 평균</t>
    <phoneticPr fontId="4" type="noConversion"/>
  </si>
  <si>
    <t>서울, 부산</t>
    <phoneticPr fontId="4" type="noConversion"/>
  </si>
  <si>
    <t>기타광역시</t>
    <phoneticPr fontId="4" type="noConversion"/>
  </si>
  <si>
    <t>[표5] 현재예치금 비율</t>
    <phoneticPr fontId="4" type="noConversion"/>
  </si>
  <si>
    <t>현재예치금</t>
    <phoneticPr fontId="4" type="noConversion"/>
  </si>
  <si>
    <t>비율</t>
    <phoneticPr fontId="4" type="noConversion"/>
  </si>
  <si>
    <t>기타광역시</t>
    <phoneticPr fontId="4" type="noConversion"/>
  </si>
  <si>
    <t>기타지역</t>
    <phoneticPr fontId="4" type="noConversion"/>
  </si>
  <si>
    <t>서울, 부산</t>
    <phoneticPr fontId="4" type="noConversion"/>
  </si>
  <si>
    <t>[표1]</t>
    <phoneticPr fontId="4" type="noConversion"/>
  </si>
  <si>
    <t>[표2] 반영비율표</t>
    <phoneticPr fontId="4" type="noConversion"/>
  </si>
  <si>
    <t>이름</t>
    <phoneticPr fontId="4" type="noConversion"/>
  </si>
  <si>
    <t>학생코드</t>
    <phoneticPr fontId="4" type="noConversion"/>
  </si>
  <si>
    <t>반-번호</t>
    <phoneticPr fontId="4" type="noConversion"/>
  </si>
  <si>
    <t>과목</t>
    <phoneticPr fontId="4" type="noConversion"/>
  </si>
  <si>
    <t>구분</t>
    <phoneticPr fontId="4" type="noConversion"/>
  </si>
  <si>
    <t>항목</t>
    <phoneticPr fontId="4" type="noConversion"/>
  </si>
  <si>
    <t>받은점수</t>
    <phoneticPr fontId="4" type="noConversion"/>
  </si>
  <si>
    <t>반영점수</t>
    <phoneticPr fontId="4" type="noConversion"/>
  </si>
  <si>
    <t>기타</t>
    <phoneticPr fontId="4" type="noConversion"/>
  </si>
  <si>
    <t>국어</t>
    <phoneticPr fontId="4" type="noConversion"/>
  </si>
  <si>
    <t>과학</t>
    <phoneticPr fontId="4" type="noConversion"/>
  </si>
  <si>
    <t>사회</t>
    <phoneticPr fontId="4" type="noConversion"/>
  </si>
  <si>
    <t>이민정</t>
    <phoneticPr fontId="4" type="noConversion"/>
  </si>
  <si>
    <t>J1009021</t>
    <phoneticPr fontId="4" type="noConversion"/>
  </si>
  <si>
    <t>지필</t>
    <phoneticPr fontId="4" type="noConversion"/>
  </si>
  <si>
    <t>중간고사</t>
    <phoneticPr fontId="4" type="noConversion"/>
  </si>
  <si>
    <t>이민정</t>
    <phoneticPr fontId="4" type="noConversion"/>
  </si>
  <si>
    <t>J1009021</t>
    <phoneticPr fontId="4" type="noConversion"/>
  </si>
  <si>
    <t>과학</t>
    <phoneticPr fontId="4" type="noConversion"/>
  </si>
  <si>
    <t>수행</t>
    <phoneticPr fontId="4" type="noConversion"/>
  </si>
  <si>
    <t>실험</t>
    <phoneticPr fontId="4" type="noConversion"/>
  </si>
  <si>
    <t>기말고사</t>
    <phoneticPr fontId="4" type="noConversion"/>
  </si>
  <si>
    <t>수행</t>
    <phoneticPr fontId="4" type="noConversion"/>
  </si>
  <si>
    <t>발표</t>
    <phoneticPr fontId="4" type="noConversion"/>
  </si>
  <si>
    <t>실험</t>
    <phoneticPr fontId="4" type="noConversion"/>
  </si>
  <si>
    <t>포트폴리오</t>
    <phoneticPr fontId="4" type="noConversion"/>
  </si>
  <si>
    <t>사회</t>
    <phoneticPr fontId="4" type="noConversion"/>
  </si>
  <si>
    <t>지필</t>
    <phoneticPr fontId="4" type="noConversion"/>
  </si>
  <si>
    <t>중간고사</t>
    <phoneticPr fontId="4" type="noConversion"/>
  </si>
  <si>
    <t>포트폴리오</t>
    <phoneticPr fontId="4" type="noConversion"/>
  </si>
  <si>
    <t>강호민</t>
    <phoneticPr fontId="4" type="noConversion"/>
  </si>
  <si>
    <t>J2012019</t>
    <phoneticPr fontId="4" type="noConversion"/>
  </si>
  <si>
    <t>기말고사</t>
    <phoneticPr fontId="4" type="noConversion"/>
  </si>
  <si>
    <t>강호민</t>
    <phoneticPr fontId="4" type="noConversion"/>
  </si>
  <si>
    <t>J2012019</t>
    <phoneticPr fontId="4" type="noConversion"/>
  </si>
  <si>
    <t>[표3]</t>
    <phoneticPr fontId="4" type="noConversion"/>
  </si>
  <si>
    <t>발표</t>
    <phoneticPr fontId="4" type="noConversion"/>
  </si>
  <si>
    <t>국어</t>
    <phoneticPr fontId="4" type="noConversion"/>
  </si>
  <si>
    <t>평균(표준편차)</t>
    <phoneticPr fontId="4" type="noConversion"/>
  </si>
  <si>
    <t>김영길</t>
    <phoneticPr fontId="4" type="noConversion"/>
  </si>
  <si>
    <t>J1010003</t>
    <phoneticPr fontId="4" type="noConversion"/>
  </si>
  <si>
    <t>김영길</t>
    <phoneticPr fontId="4" type="noConversion"/>
  </si>
  <si>
    <t>J1010003</t>
    <phoneticPr fontId="4" type="noConversion"/>
  </si>
  <si>
    <t>민호선</t>
    <phoneticPr fontId="4" type="noConversion"/>
  </si>
  <si>
    <t>J1007029</t>
    <phoneticPr fontId="4" type="noConversion"/>
  </si>
  <si>
    <t>민호선</t>
    <phoneticPr fontId="4" type="noConversion"/>
  </si>
  <si>
    <t>J1007029</t>
    <phoneticPr fontId="4" type="noConversion"/>
  </si>
  <si>
    <t>김종희</t>
    <phoneticPr fontId="4" type="noConversion"/>
  </si>
  <si>
    <t>J2013031</t>
    <phoneticPr fontId="4" type="noConversion"/>
  </si>
  <si>
    <t>김종희</t>
    <phoneticPr fontId="4" type="noConversion"/>
  </si>
  <si>
    <t>J2013031</t>
    <phoneticPr fontId="4" type="noConversion"/>
  </si>
  <si>
    <t>[표1]</t>
    <phoneticPr fontId="4" type="noConversion"/>
  </si>
  <si>
    <t>코드</t>
    <phoneticPr fontId="4" type="noConversion"/>
  </si>
  <si>
    <t>강의코드</t>
    <phoneticPr fontId="4" type="noConversion"/>
  </si>
  <si>
    <t>강의년도</t>
    <phoneticPr fontId="4" type="noConversion"/>
  </si>
  <si>
    <t>강사</t>
    <phoneticPr fontId="4" type="noConversion"/>
  </si>
  <si>
    <t>학년</t>
    <phoneticPr fontId="4" type="noConversion"/>
  </si>
  <si>
    <t>과목</t>
    <phoneticPr fontId="4" type="noConversion"/>
  </si>
  <si>
    <t>수강료할인율</t>
    <phoneticPr fontId="4" type="noConversion"/>
  </si>
  <si>
    <t>현재강의수</t>
    <phoneticPr fontId="4" type="noConversion"/>
  </si>
  <si>
    <t>수강인원</t>
    <phoneticPr fontId="4" type="noConversion"/>
  </si>
  <si>
    <t>전체강의수</t>
    <phoneticPr fontId="4" type="noConversion"/>
  </si>
  <si>
    <t>진행율</t>
    <phoneticPr fontId="4" type="noConversion"/>
  </si>
  <si>
    <t>비고</t>
    <phoneticPr fontId="4" type="noConversion"/>
  </si>
  <si>
    <t>S001</t>
    <phoneticPr fontId="4" type="noConversion"/>
  </si>
  <si>
    <t>이남석</t>
    <phoneticPr fontId="4" type="noConversion"/>
  </si>
  <si>
    <t>고1</t>
    <phoneticPr fontId="4" type="noConversion"/>
  </si>
  <si>
    <t>수학</t>
    <phoneticPr fontId="4" type="noConversion"/>
  </si>
  <si>
    <t>S002</t>
  </si>
  <si>
    <t>박준혁</t>
  </si>
  <si>
    <t>고3</t>
    <phoneticPr fontId="4" type="noConversion"/>
  </si>
  <si>
    <t>영어</t>
    <phoneticPr fontId="4" type="noConversion"/>
  </si>
  <si>
    <t>S003</t>
  </si>
  <si>
    <t>황성호</t>
  </si>
  <si>
    <t>국어</t>
    <phoneticPr fontId="4" type="noConversion"/>
  </si>
  <si>
    <t>S004</t>
  </si>
  <si>
    <t>박찬훈</t>
    <phoneticPr fontId="5" type="noConversion"/>
  </si>
  <si>
    <t>S005</t>
  </si>
  <si>
    <t>김인하</t>
    <phoneticPr fontId="5" type="noConversion"/>
  </si>
  <si>
    <t>고2</t>
    <phoneticPr fontId="4" type="noConversion"/>
  </si>
  <si>
    <t>S006</t>
  </si>
  <si>
    <t>정재익</t>
  </si>
  <si>
    <t>S007</t>
  </si>
  <si>
    <t>S008</t>
  </si>
  <si>
    <t>S009</t>
  </si>
  <si>
    <t>한우규</t>
    <phoneticPr fontId="5" type="noConversion"/>
  </si>
  <si>
    <t>S010</t>
  </si>
  <si>
    <t>S011</t>
  </si>
  <si>
    <t>성유희</t>
    <phoneticPr fontId="5" type="noConversion"/>
  </si>
  <si>
    <t>S012</t>
  </si>
  <si>
    <t>진희수</t>
  </si>
  <si>
    <t>S013</t>
  </si>
  <si>
    <t>S014</t>
  </si>
  <si>
    <t>홍길동</t>
    <phoneticPr fontId="5" type="noConversion"/>
  </si>
  <si>
    <t>S015</t>
  </si>
  <si>
    <t>S016</t>
  </si>
  <si>
    <t>이소라</t>
    <phoneticPr fontId="5" type="noConversion"/>
  </si>
  <si>
    <t>S017</t>
  </si>
  <si>
    <t>S018</t>
  </si>
  <si>
    <t>정영일</t>
    <phoneticPr fontId="5" type="noConversion"/>
  </si>
  <si>
    <t>S019</t>
  </si>
  <si>
    <t>이명섭</t>
    <phoneticPr fontId="5" type="noConversion"/>
  </si>
  <si>
    <t>S020</t>
  </si>
  <si>
    <t>S021</t>
  </si>
  <si>
    <t>S022</t>
  </si>
  <si>
    <t>S023</t>
  </si>
  <si>
    <t>S024</t>
  </si>
  <si>
    <t>S025</t>
  </si>
  <si>
    <t>S026</t>
  </si>
  <si>
    <t>S027</t>
  </si>
  <si>
    <t>S028</t>
  </si>
  <si>
    <t>[표2] 할인율표</t>
    <phoneticPr fontId="4" type="noConversion"/>
  </si>
  <si>
    <t>[표3] 과목별 수강인원 순위별 강사</t>
    <phoneticPr fontId="4" type="noConversion"/>
  </si>
  <si>
    <t>순위</t>
    <phoneticPr fontId="4" type="noConversion"/>
  </si>
  <si>
    <t>기타</t>
    <phoneticPr fontId="4" type="noConversion"/>
  </si>
  <si>
    <t>가입나이</t>
    <phoneticPr fontId="4" type="noConversion"/>
  </si>
  <si>
    <t>구분-성별</t>
    <phoneticPr fontId="4" type="noConversion"/>
  </si>
  <si>
    <t>가입금액</t>
    <phoneticPr fontId="4" type="noConversion"/>
  </si>
  <si>
    <t>가입기간</t>
    <phoneticPr fontId="4" type="noConversion"/>
  </si>
  <si>
    <t>미납기간</t>
    <phoneticPr fontId="4" type="noConversion"/>
  </si>
  <si>
    <t>가입상태</t>
    <phoneticPr fontId="4" type="noConversion"/>
  </si>
  <si>
    <t xml:space="preserve">[표2] </t>
    <phoneticPr fontId="4" type="noConversion"/>
  </si>
  <si>
    <t>BM</t>
    <phoneticPr fontId="4" type="noConversion"/>
  </si>
  <si>
    <t>BW</t>
    <phoneticPr fontId="4" type="noConversion"/>
  </si>
  <si>
    <t>기본형</t>
    <phoneticPr fontId="4" type="noConversion"/>
  </si>
  <si>
    <t>남자</t>
  </si>
  <si>
    <t>SM</t>
    <phoneticPr fontId="4" type="noConversion"/>
  </si>
  <si>
    <t>추가보장</t>
    <phoneticPr fontId="4" type="noConversion"/>
  </si>
  <si>
    <t>SW</t>
    <phoneticPr fontId="4" type="noConversion"/>
  </si>
  <si>
    <t>여자</t>
  </si>
  <si>
    <t>[표3] 코드별 가입나이별 가입금액</t>
    <phoneticPr fontId="4" type="noConversion"/>
  </si>
  <si>
    <t>[표4] 나이대별 가입자수</t>
    <phoneticPr fontId="4" type="noConversion"/>
  </si>
  <si>
    <t>[표5] 코드별 나이별 평균 가입기간</t>
    <phoneticPr fontId="4" type="noConversion"/>
  </si>
  <si>
    <t>가입자수</t>
    <phoneticPr fontId="4" type="noConversion"/>
  </si>
  <si>
    <t>관계</t>
  </si>
  <si>
    <t>부양공제</t>
  </si>
  <si>
    <t>소득공제</t>
    <phoneticPr fontId="5" type="noConversion"/>
  </si>
  <si>
    <t>소득공제내용</t>
    <phoneticPr fontId="5" type="noConversion"/>
  </si>
  <si>
    <t>법인명</t>
    <phoneticPr fontId="5" type="noConversion"/>
  </si>
  <si>
    <t>사업자번호</t>
    <phoneticPr fontId="5" type="noConversion"/>
  </si>
  <si>
    <t>금액</t>
    <phoneticPr fontId="5" type="noConversion"/>
  </si>
  <si>
    <t>의료비보조</t>
    <phoneticPr fontId="5" type="noConversion"/>
  </si>
  <si>
    <t>김가인</t>
  </si>
  <si>
    <t>모</t>
  </si>
  <si>
    <t>일반의료비</t>
  </si>
  <si>
    <t>간소화자료</t>
  </si>
  <si>
    <t>사랑의원</t>
    <phoneticPr fontId="4" type="noConversion"/>
  </si>
  <si>
    <t>주인철</t>
  </si>
  <si>
    <t>한국대학교</t>
    <phoneticPr fontId="5" type="noConversion"/>
  </si>
  <si>
    <t>123-45-6789</t>
    <phoneticPr fontId="4" type="noConversion"/>
  </si>
  <si>
    <t>신용카드</t>
  </si>
  <si>
    <t>대중교통</t>
  </si>
  <si>
    <t>상공카드</t>
  </si>
  <si>
    <t>미래카드</t>
  </si>
  <si>
    <t>123-45-6790</t>
  </si>
  <si>
    <t>주호백</t>
  </si>
  <si>
    <t>본인</t>
  </si>
  <si>
    <t>123-45-6791</t>
  </si>
  <si>
    <t>현금영수증</t>
  </si>
  <si>
    <t>일반사용분</t>
  </si>
  <si>
    <t/>
  </si>
  <si>
    <t>주인해</t>
  </si>
  <si>
    <t>자</t>
  </si>
  <si>
    <t>알파고카드</t>
  </si>
  <si>
    <t>123-45-6792</t>
  </si>
  <si>
    <t>사랑의원</t>
    <phoneticPr fontId="4" type="noConversion"/>
  </si>
  <si>
    <t>123-45-6793</t>
  </si>
  <si>
    <t>중앙병원</t>
  </si>
  <si>
    <t>123-45-6794</t>
  </si>
  <si>
    <t>중앙병원</t>
    <phoneticPr fontId="4" type="noConversion"/>
  </si>
  <si>
    <t>[표4]</t>
    <phoneticPr fontId="4" type="noConversion"/>
  </si>
  <si>
    <t>(단위: 천원)</t>
    <phoneticPr fontId="4" type="noConversion"/>
  </si>
  <si>
    <t>임윤아</t>
    <phoneticPr fontId="4" type="noConversion"/>
  </si>
  <si>
    <t>처</t>
    <phoneticPr fontId="4" type="noConversion"/>
  </si>
  <si>
    <t>지정기부금</t>
  </si>
  <si>
    <t>법인</t>
  </si>
  <si>
    <t>사단법인</t>
    <phoneticPr fontId="4" type="noConversion"/>
  </si>
  <si>
    <t>소득공제</t>
    <phoneticPr fontId="5" type="noConversion"/>
  </si>
  <si>
    <t>일반사용분</t>
    <phoneticPr fontId="5" type="noConversion"/>
  </si>
  <si>
    <t>대중교통</t>
    <phoneticPr fontId="5" type="noConversion"/>
  </si>
  <si>
    <t>전통시장</t>
    <phoneticPr fontId="5" type="noConversion"/>
  </si>
  <si>
    <t>직불카드</t>
  </si>
  <si>
    <t>부</t>
  </si>
  <si>
    <t>[표5]</t>
    <phoneticPr fontId="4" type="noConversion"/>
  </si>
  <si>
    <t>관계</t>
    <phoneticPr fontId="5" type="noConversion"/>
  </si>
  <si>
    <t>일반의료비</t>
    <phoneticPr fontId="5" type="noConversion"/>
  </si>
  <si>
    <t>본인</t>
    <phoneticPr fontId="4" type="noConversion"/>
  </si>
  <si>
    <t>부</t>
    <phoneticPr fontId="4" type="noConversion"/>
  </si>
  <si>
    <t>모</t>
    <phoneticPr fontId="4" type="noConversion"/>
  </si>
  <si>
    <t>자</t>
    <phoneticPr fontId="4" type="noConversion"/>
  </si>
  <si>
    <t>상공카드</t>
    <phoneticPr fontId="4" type="noConversion"/>
  </si>
  <si>
    <t>전통시장</t>
  </si>
  <si>
    <t>사랑의원</t>
  </si>
  <si>
    <t>680120-1546210</t>
    <phoneticPr fontId="5" type="noConversion"/>
  </si>
  <si>
    <t>950915-2231426</t>
    <phoneticPr fontId="5" type="noConversion"/>
  </si>
  <si>
    <t>810723-1068524</t>
    <phoneticPr fontId="5" type="noConversion"/>
  </si>
  <si>
    <t>901230-1125341</t>
    <phoneticPr fontId="5" type="noConversion"/>
  </si>
  <si>
    <t>930706-2685422</t>
    <phoneticPr fontId="5" type="noConversion"/>
  </si>
  <si>
    <t>810120-2547512</t>
    <phoneticPr fontId="5" type="noConversion"/>
  </si>
  <si>
    <t>920519-1785423</t>
    <phoneticPr fontId="5" type="noConversion"/>
  </si>
  <si>
    <t>850125-1265845</t>
    <phoneticPr fontId="5" type="noConversion"/>
  </si>
  <si>
    <t>881120-2153632</t>
    <phoneticPr fontId="5" type="noConversion"/>
  </si>
  <si>
    <t>830418-2651472</t>
    <phoneticPr fontId="5" type="noConversion"/>
  </si>
  <si>
    <t>[표1]</t>
    <phoneticPr fontId="4" type="noConversion"/>
  </si>
  <si>
    <t>과목코드</t>
    <phoneticPr fontId="4" type="noConversion"/>
  </si>
  <si>
    <t>응시자코드</t>
    <phoneticPr fontId="4" type="noConversion"/>
  </si>
  <si>
    <t>3월</t>
    <phoneticPr fontId="4" type="noConversion"/>
  </si>
  <si>
    <t>4월</t>
  </si>
  <si>
    <t>5월</t>
  </si>
  <si>
    <t>6월</t>
  </si>
  <si>
    <t>합계</t>
    <phoneticPr fontId="4" type="noConversion"/>
  </si>
  <si>
    <t>결석수</t>
    <phoneticPr fontId="4" type="noConversion"/>
  </si>
  <si>
    <t>결과</t>
    <phoneticPr fontId="4" type="noConversion"/>
  </si>
  <si>
    <t>이해수준</t>
    <phoneticPr fontId="4" type="noConversion"/>
  </si>
  <si>
    <t>5B-39</t>
    <phoneticPr fontId="4" type="noConversion"/>
  </si>
  <si>
    <t>2A-34</t>
    <phoneticPr fontId="4" type="noConversion"/>
  </si>
  <si>
    <t>6C-46</t>
    <phoneticPr fontId="4" type="noConversion"/>
  </si>
  <si>
    <t>3B-78</t>
    <phoneticPr fontId="4" type="noConversion"/>
  </si>
  <si>
    <t>5B-39</t>
    <phoneticPr fontId="4" type="noConversion"/>
  </si>
  <si>
    <t>3B-78</t>
    <phoneticPr fontId="4" type="noConversion"/>
  </si>
  <si>
    <t>2C-43</t>
    <phoneticPr fontId="4" type="noConversion"/>
  </si>
  <si>
    <t>2C-43</t>
    <phoneticPr fontId="4" type="noConversion"/>
  </si>
  <si>
    <t>3A-33</t>
    <phoneticPr fontId="4" type="noConversion"/>
  </si>
  <si>
    <t>3A-33</t>
    <phoneticPr fontId="4" type="noConversion"/>
  </si>
  <si>
    <t>2C-43</t>
    <phoneticPr fontId="4" type="noConversion"/>
  </si>
  <si>
    <t>5B-39</t>
    <phoneticPr fontId="4" type="noConversion"/>
  </si>
  <si>
    <t>3A-33</t>
    <phoneticPr fontId="4" type="noConversion"/>
  </si>
  <si>
    <t>3B-78</t>
    <phoneticPr fontId="4" type="noConversion"/>
  </si>
  <si>
    <t>[표2] 구분별 개수</t>
    <phoneticPr fontId="4" type="noConversion"/>
  </si>
  <si>
    <t>[표3] 과목코드별 합계/결석의 평균</t>
    <phoneticPr fontId="4" type="noConversion"/>
  </si>
  <si>
    <t>코드</t>
    <phoneticPr fontId="4" type="noConversion"/>
  </si>
  <si>
    <t>구분</t>
    <phoneticPr fontId="4" type="noConversion"/>
  </si>
  <si>
    <t>4월</t>
    <phoneticPr fontId="4" type="noConversion"/>
  </si>
  <si>
    <t>5월</t>
    <phoneticPr fontId="4" type="noConversion"/>
  </si>
  <si>
    <t>과목코드</t>
    <phoneticPr fontId="4" type="noConversion"/>
  </si>
  <si>
    <t>합계 평균</t>
    <phoneticPr fontId="4" type="noConversion"/>
  </si>
  <si>
    <t>결석수 평균</t>
    <phoneticPr fontId="4" type="noConversion"/>
  </si>
  <si>
    <t>C</t>
    <phoneticPr fontId="4" type="noConversion"/>
  </si>
  <si>
    <t>심화</t>
    <phoneticPr fontId="4" type="noConversion"/>
  </si>
  <si>
    <t>2A-34</t>
    <phoneticPr fontId="4" type="noConversion"/>
  </si>
  <si>
    <t>B</t>
    <phoneticPr fontId="4" type="noConversion"/>
  </si>
  <si>
    <t>응용</t>
    <phoneticPr fontId="4" type="noConversion"/>
  </si>
  <si>
    <t>A</t>
    <phoneticPr fontId="4" type="noConversion"/>
  </si>
  <si>
    <t>기초</t>
    <phoneticPr fontId="4" type="noConversion"/>
  </si>
  <si>
    <t>6C-46</t>
    <phoneticPr fontId="4" type="noConversion"/>
  </si>
  <si>
    <t>3A-33</t>
    <phoneticPr fontId="4" type="noConversion"/>
  </si>
  <si>
    <t>[표4] 점수대별 개수</t>
    <phoneticPr fontId="4" type="noConversion"/>
  </si>
  <si>
    <t>3B-78</t>
    <phoneticPr fontId="4" type="noConversion"/>
  </si>
  <si>
    <t>점수</t>
    <phoneticPr fontId="4" type="noConversion"/>
  </si>
  <si>
    <t>3월</t>
    <phoneticPr fontId="4" type="noConversion"/>
  </si>
  <si>
    <t>2C-43</t>
    <phoneticPr fontId="4" type="noConversion"/>
  </si>
  <si>
    <t>[표1]</t>
    <phoneticPr fontId="4" type="noConversion"/>
  </si>
  <si>
    <t xml:space="preserve">시작일 : </t>
    <phoneticPr fontId="4" type="noConversion"/>
  </si>
  <si>
    <t>[표2]</t>
    <phoneticPr fontId="4" type="noConversion"/>
  </si>
  <si>
    <t>성명</t>
    <phoneticPr fontId="4" type="noConversion"/>
  </si>
  <si>
    <t>행사내용</t>
    <phoneticPr fontId="4" type="noConversion"/>
  </si>
  <si>
    <t>인원</t>
    <phoneticPr fontId="4" type="noConversion"/>
  </si>
  <si>
    <t>홀이름</t>
    <phoneticPr fontId="4" type="noConversion"/>
  </si>
  <si>
    <t>행사일</t>
    <phoneticPr fontId="4" type="noConversion"/>
  </si>
  <si>
    <t>작업일</t>
    <phoneticPr fontId="4" type="noConversion"/>
  </si>
  <si>
    <t>비고</t>
    <phoneticPr fontId="4" type="noConversion"/>
  </si>
  <si>
    <t>김기완</t>
    <phoneticPr fontId="4" type="noConversion"/>
  </si>
  <si>
    <t>돌잔치</t>
    <phoneticPr fontId="4" type="noConversion"/>
  </si>
  <si>
    <t>성정아</t>
    <phoneticPr fontId="4" type="noConversion"/>
  </si>
  <si>
    <t>돌잔치</t>
    <phoneticPr fontId="4" type="noConversion"/>
  </si>
  <si>
    <t>crystal hall</t>
    <phoneticPr fontId="4" type="noConversion"/>
  </si>
  <si>
    <t xml:space="preserve">diamond hall </t>
    <phoneticPr fontId="4" type="noConversion"/>
  </si>
  <si>
    <t xml:space="preserve">ruby hall </t>
    <phoneticPr fontId="4" type="noConversion"/>
  </si>
  <si>
    <t>이기봉</t>
    <phoneticPr fontId="4" type="noConversion"/>
  </si>
  <si>
    <t>돌잔치</t>
    <phoneticPr fontId="4" type="noConversion"/>
  </si>
  <si>
    <t>결혼식</t>
    <phoneticPr fontId="4" type="noConversion"/>
  </si>
  <si>
    <t xml:space="preserve">ruby hall </t>
    <phoneticPr fontId="4" type="noConversion"/>
  </si>
  <si>
    <t xml:space="preserve">emerald hall </t>
    <phoneticPr fontId="4" type="noConversion"/>
  </si>
  <si>
    <t>안산진</t>
    <phoneticPr fontId="4" type="noConversion"/>
  </si>
  <si>
    <t>이석호</t>
    <phoneticPr fontId="4" type="noConversion"/>
  </si>
  <si>
    <t>결혼식</t>
    <phoneticPr fontId="4" type="noConversion"/>
  </si>
  <si>
    <t>[표3] 행사내용과 인원에 따른 빈도수</t>
    <phoneticPr fontId="4" type="noConversion"/>
  </si>
  <si>
    <t>양미진</t>
    <phoneticPr fontId="4" type="noConversion"/>
  </si>
  <si>
    <t>돌잔치</t>
    <phoneticPr fontId="4" type="noConversion"/>
  </si>
  <si>
    <t>인원수</t>
    <phoneticPr fontId="4" type="noConversion"/>
  </si>
  <si>
    <t>유인하</t>
    <phoneticPr fontId="4" type="noConversion"/>
  </si>
  <si>
    <t>김경지</t>
    <phoneticPr fontId="4" type="noConversion"/>
  </si>
  <si>
    <t>결혼식</t>
    <phoneticPr fontId="4" type="noConversion"/>
  </si>
  <si>
    <t>이신호</t>
    <phoneticPr fontId="4" type="noConversion"/>
  </si>
  <si>
    <t>돌잔치</t>
    <phoneticPr fontId="4" type="noConversion"/>
  </si>
  <si>
    <t>최익현</t>
    <phoneticPr fontId="4" type="noConversion"/>
  </si>
  <si>
    <t>김상중</t>
    <phoneticPr fontId="4" type="noConversion"/>
  </si>
  <si>
    <t>윤미화</t>
    <phoneticPr fontId="4" type="noConversion"/>
  </si>
  <si>
    <t>이연경</t>
    <phoneticPr fontId="4" type="noConversion"/>
  </si>
  <si>
    <t>[표4] 월별 행사건수</t>
    <phoneticPr fontId="4" type="noConversion"/>
  </si>
  <si>
    <t>김호야</t>
    <phoneticPr fontId="4" type="noConversion"/>
  </si>
  <si>
    <t>월</t>
    <phoneticPr fontId="4" type="noConversion"/>
  </si>
  <si>
    <t>행사건수</t>
    <phoneticPr fontId="4" type="noConversion"/>
  </si>
  <si>
    <t>이솔비</t>
    <phoneticPr fontId="4" type="noConversion"/>
  </si>
  <si>
    <t>김은희</t>
    <phoneticPr fontId="4" type="noConversion"/>
  </si>
  <si>
    <t>이미영</t>
    <phoneticPr fontId="4" type="noConversion"/>
  </si>
  <si>
    <t>조신정</t>
    <phoneticPr fontId="4" type="noConversion"/>
  </si>
  <si>
    <t>안혜정</t>
    <phoneticPr fontId="4" type="noConversion"/>
  </si>
  <si>
    <t>김윤희</t>
    <phoneticPr fontId="4" type="noConversion"/>
  </si>
  <si>
    <t>이남동</t>
    <phoneticPr fontId="4" type="noConversion"/>
  </si>
  <si>
    <t>김윤남</t>
    <phoneticPr fontId="4" type="noConversion"/>
  </si>
  <si>
    <t>[표5] 상반기 공휴일</t>
    <phoneticPr fontId="4" type="noConversion"/>
  </si>
  <si>
    <t>윤석현</t>
    <phoneticPr fontId="4" type="noConversion"/>
  </si>
  <si>
    <t>날짜</t>
    <phoneticPr fontId="4" type="noConversion"/>
  </si>
  <si>
    <t>공휴일</t>
    <phoneticPr fontId="4" type="noConversion"/>
  </si>
  <si>
    <t>최동국</t>
    <phoneticPr fontId="4" type="noConversion"/>
  </si>
  <si>
    <t>신정</t>
    <phoneticPr fontId="4" type="noConversion"/>
  </si>
  <si>
    <t>양용진</t>
    <phoneticPr fontId="4" type="noConversion"/>
  </si>
  <si>
    <t>설 연휴</t>
    <phoneticPr fontId="4" type="noConversion"/>
  </si>
  <si>
    <t>김원성</t>
    <phoneticPr fontId="4" type="noConversion"/>
  </si>
  <si>
    <t>양숙경</t>
    <phoneticPr fontId="4" type="noConversion"/>
  </si>
  <si>
    <t>삼일절</t>
    <phoneticPr fontId="4" type="noConversion"/>
  </si>
  <si>
    <t>홍인식</t>
    <phoneticPr fontId="4" type="noConversion"/>
  </si>
  <si>
    <t>석가탄신일</t>
    <phoneticPr fontId="4" type="noConversion"/>
  </si>
  <si>
    <t>김봉선</t>
    <phoneticPr fontId="4" type="noConversion"/>
  </si>
  <si>
    <t>현충일</t>
    <phoneticPr fontId="4" type="noConversion"/>
  </si>
  <si>
    <t>최동민</t>
    <phoneticPr fontId="4" type="noConversion"/>
  </si>
  <si>
    <t>[표1]</t>
    <phoneticPr fontId="4" type="noConversion"/>
  </si>
  <si>
    <t>[표2] 성별별 구분별 취업률</t>
    <phoneticPr fontId="4" type="noConversion"/>
  </si>
  <si>
    <t>단과대학</t>
    <phoneticPr fontId="4" type="noConversion"/>
  </si>
  <si>
    <t>학과</t>
    <phoneticPr fontId="4" type="noConversion"/>
  </si>
  <si>
    <t>성별</t>
    <phoneticPr fontId="4" type="noConversion"/>
  </si>
  <si>
    <t>졸업자</t>
    <phoneticPr fontId="4" type="noConversion"/>
  </si>
  <si>
    <t>건강보험연계</t>
    <phoneticPr fontId="4" type="noConversion"/>
  </si>
  <si>
    <t>해외취업자</t>
    <phoneticPr fontId="4" type="noConversion"/>
  </si>
  <si>
    <t>창업자</t>
    <phoneticPr fontId="4" type="noConversion"/>
  </si>
  <si>
    <t>프리랜서</t>
    <phoneticPr fontId="4" type="noConversion"/>
  </si>
  <si>
    <t>진학자</t>
    <phoneticPr fontId="4" type="noConversion"/>
  </si>
  <si>
    <t>입대자</t>
    <phoneticPr fontId="4" type="noConversion"/>
  </si>
  <si>
    <t>취업률</t>
    <phoneticPr fontId="4" type="noConversion"/>
  </si>
  <si>
    <t>취업분석</t>
    <phoneticPr fontId="4" type="noConversion"/>
  </si>
  <si>
    <t>비고</t>
    <phoneticPr fontId="4" type="noConversion"/>
  </si>
  <si>
    <t>인문대학</t>
    <phoneticPr fontId="4" type="noConversion"/>
  </si>
  <si>
    <t>국어국문학과</t>
    <phoneticPr fontId="4" type="noConversion"/>
  </si>
  <si>
    <t>남</t>
    <phoneticPr fontId="4" type="noConversion"/>
  </si>
  <si>
    <t>여</t>
    <phoneticPr fontId="4" type="noConversion"/>
  </si>
  <si>
    <t>영어영문학과</t>
    <phoneticPr fontId="4" type="noConversion"/>
  </si>
  <si>
    <t>[표3] 단과대학별 구분별 최대 취업자 배출 학과</t>
    <phoneticPr fontId="4" type="noConversion"/>
  </si>
  <si>
    <t>철학과</t>
    <phoneticPr fontId="4" type="noConversion"/>
  </si>
  <si>
    <t>문헌정보학과</t>
    <phoneticPr fontId="4" type="noConversion"/>
  </si>
  <si>
    <t>사회과학대학</t>
    <phoneticPr fontId="4" type="noConversion"/>
  </si>
  <si>
    <t>역사학과</t>
    <phoneticPr fontId="4" type="noConversion"/>
  </si>
  <si>
    <t>[표4] 성별별 취업률과 창업률</t>
    <phoneticPr fontId="4" type="noConversion"/>
  </si>
  <si>
    <t>중어중문학과</t>
    <phoneticPr fontId="4" type="noConversion"/>
  </si>
  <si>
    <t>창업률</t>
    <phoneticPr fontId="4" type="noConversion"/>
  </si>
  <si>
    <t>행정학과</t>
    <phoneticPr fontId="4" type="noConversion"/>
  </si>
  <si>
    <t>정치외교학과</t>
    <phoneticPr fontId="4" type="noConversion"/>
  </si>
  <si>
    <t>사회학과</t>
    <phoneticPr fontId="4" type="noConversion"/>
  </si>
  <si>
    <t>심리학과</t>
    <phoneticPr fontId="4" type="noConversion"/>
  </si>
  <si>
    <t>사회복지학과</t>
    <phoneticPr fontId="4" type="noConversion"/>
  </si>
  <si>
    <t>사범대학</t>
    <phoneticPr fontId="4" type="noConversion"/>
  </si>
  <si>
    <t>교육학과</t>
    <phoneticPr fontId="4" type="noConversion"/>
  </si>
  <si>
    <t>국어교육과</t>
    <phoneticPr fontId="4" type="noConversion"/>
  </si>
  <si>
    <t>영어 교육과</t>
    <phoneticPr fontId="4" type="noConversion"/>
  </si>
  <si>
    <t>수학교육과</t>
    <phoneticPr fontId="4" type="noConversion"/>
  </si>
  <si>
    <t>[표2] 종목코드표</t>
    <phoneticPr fontId="4" type="noConversion"/>
  </si>
  <si>
    <t>접수번호</t>
    <phoneticPr fontId="4" type="noConversion"/>
  </si>
  <si>
    <t>대회종목</t>
    <phoneticPr fontId="4" type="noConversion"/>
  </si>
  <si>
    <t>성명</t>
    <phoneticPr fontId="4" type="noConversion"/>
  </si>
  <si>
    <t>생년월일</t>
    <phoneticPr fontId="4" type="noConversion"/>
  </si>
  <si>
    <t>소속</t>
    <phoneticPr fontId="4" type="noConversion"/>
  </si>
  <si>
    <t>성적</t>
    <phoneticPr fontId="4" type="noConversion"/>
  </si>
  <si>
    <t>종목별순위</t>
    <phoneticPr fontId="4" type="noConversion"/>
  </si>
  <si>
    <t>종목코드</t>
    <phoneticPr fontId="4" type="noConversion"/>
  </si>
  <si>
    <t>글짓기-국어</t>
    <phoneticPr fontId="4" type="noConversion"/>
  </si>
  <si>
    <t>이미영</t>
    <phoneticPr fontId="5" type="noConversion"/>
  </si>
  <si>
    <t>그리기-미술</t>
    <phoneticPr fontId="4" type="noConversion"/>
  </si>
  <si>
    <t>D</t>
    <phoneticPr fontId="4" type="noConversion"/>
  </si>
  <si>
    <t>합창-음악</t>
    <phoneticPr fontId="4" type="noConversion"/>
  </si>
  <si>
    <t>구기자</t>
    <phoneticPr fontId="5" type="noConversion"/>
  </si>
  <si>
    <t>남</t>
    <phoneticPr fontId="4" type="noConversion"/>
  </si>
  <si>
    <t>글짓기-국어</t>
    <phoneticPr fontId="4" type="noConversion"/>
  </si>
  <si>
    <t>W</t>
    <phoneticPr fontId="4" type="noConversion"/>
  </si>
  <si>
    <t>그리기-미술</t>
    <phoneticPr fontId="4" type="noConversion"/>
  </si>
  <si>
    <t>한명구</t>
    <phoneticPr fontId="5" type="noConversion"/>
  </si>
  <si>
    <t>독창-음악</t>
    <phoneticPr fontId="4" type="noConversion"/>
  </si>
  <si>
    <t>S</t>
    <phoneticPr fontId="4" type="noConversion"/>
  </si>
  <si>
    <t>구연동화-국어</t>
    <phoneticPr fontId="4" type="noConversion"/>
  </si>
  <si>
    <t>사오정</t>
    <phoneticPr fontId="5" type="noConversion"/>
  </si>
  <si>
    <t>여</t>
    <phoneticPr fontId="4" type="noConversion"/>
  </si>
  <si>
    <t>중창-음악</t>
    <phoneticPr fontId="4" type="noConversion"/>
  </si>
  <si>
    <t>P</t>
    <phoneticPr fontId="4" type="noConversion"/>
  </si>
  <si>
    <t>오동추</t>
    <phoneticPr fontId="5" type="noConversion"/>
  </si>
  <si>
    <t>남</t>
    <phoneticPr fontId="4" type="noConversion"/>
  </si>
  <si>
    <t>합창-음악</t>
    <phoneticPr fontId="4" type="noConversion"/>
  </si>
  <si>
    <t>C</t>
    <phoneticPr fontId="4" type="noConversion"/>
  </si>
  <si>
    <t>글짓기-국어</t>
    <phoneticPr fontId="4" type="noConversion"/>
  </si>
  <si>
    <t>윤수아</t>
    <phoneticPr fontId="5" type="noConversion"/>
  </si>
  <si>
    <t>여</t>
    <phoneticPr fontId="4" type="noConversion"/>
  </si>
  <si>
    <t>구연동화-국어</t>
    <phoneticPr fontId="4" type="noConversion"/>
  </si>
  <si>
    <t>F</t>
    <phoneticPr fontId="4" type="noConversion"/>
  </si>
  <si>
    <t>김기자</t>
    <phoneticPr fontId="5" type="noConversion"/>
  </si>
  <si>
    <t>우주민</t>
    <phoneticPr fontId="5" type="noConversion"/>
  </si>
  <si>
    <t>[표3] 분류와 성별별 인원수</t>
    <phoneticPr fontId="4" type="noConversion"/>
  </si>
  <si>
    <t>그리기-미술</t>
    <phoneticPr fontId="4" type="noConversion"/>
  </si>
  <si>
    <t>윤광수</t>
    <phoneticPr fontId="5" type="noConversion"/>
  </si>
  <si>
    <t>분류</t>
    <phoneticPr fontId="4" type="noConversion"/>
  </si>
  <si>
    <t>최석훈</t>
    <phoneticPr fontId="5" type="noConversion"/>
  </si>
  <si>
    <t>국어</t>
    <phoneticPr fontId="4" type="noConversion"/>
  </si>
  <si>
    <t>합창-음악</t>
    <phoneticPr fontId="4" type="noConversion"/>
  </si>
  <si>
    <t>김명윤</t>
    <phoneticPr fontId="5" type="noConversion"/>
  </si>
  <si>
    <t>음악</t>
    <phoneticPr fontId="4" type="noConversion"/>
  </si>
  <si>
    <t>박경미</t>
    <phoneticPr fontId="5" type="noConversion"/>
  </si>
  <si>
    <t>미술</t>
    <phoneticPr fontId="4" type="noConversion"/>
  </si>
  <si>
    <t>박은경</t>
    <phoneticPr fontId="5" type="noConversion"/>
  </si>
  <si>
    <t>독창-음악</t>
    <phoneticPr fontId="4" type="noConversion"/>
  </si>
  <si>
    <t>박동수</t>
    <phoneticPr fontId="5" type="noConversion"/>
  </si>
  <si>
    <t>[표4]</t>
    <phoneticPr fontId="4" type="noConversion"/>
  </si>
  <si>
    <t>김유신</t>
    <phoneticPr fontId="5" type="noConversion"/>
  </si>
  <si>
    <t>김수정</t>
    <phoneticPr fontId="5" type="noConversion"/>
  </si>
  <si>
    <t>구연동화-국어</t>
    <phoneticPr fontId="4" type="noConversion"/>
  </si>
  <si>
    <t>박정호</t>
    <phoneticPr fontId="5" type="noConversion"/>
  </si>
  <si>
    <t>최아름</t>
    <phoneticPr fontId="5" type="noConversion"/>
  </si>
  <si>
    <t>김기자</t>
    <phoneticPr fontId="5" type="noConversion"/>
  </si>
  <si>
    <t>중창-음악</t>
    <phoneticPr fontId="4" type="noConversion"/>
  </si>
  <si>
    <t>박진수</t>
    <phoneticPr fontId="5" type="noConversion"/>
  </si>
  <si>
    <t>이영진</t>
    <phoneticPr fontId="5" type="noConversion"/>
  </si>
  <si>
    <t>박동희</t>
    <phoneticPr fontId="5" type="noConversion"/>
  </si>
  <si>
    <t>권민수</t>
    <phoneticPr fontId="5" type="noConversion"/>
  </si>
  <si>
    <t>이강호</t>
    <phoneticPr fontId="5" type="noConversion"/>
  </si>
  <si>
    <t>서영희</t>
    <phoneticPr fontId="5" type="noConversion"/>
  </si>
  <si>
    <t>등급</t>
    <phoneticPr fontId="4" type="noConversion"/>
  </si>
  <si>
    <t>고급반</t>
    <phoneticPr fontId="4" type="noConversion"/>
  </si>
  <si>
    <t>경력점수</t>
    <phoneticPr fontId="4" type="noConversion"/>
  </si>
  <si>
    <t>&gt;=5</t>
    <phoneticPr fontId="4" type="noConversion"/>
  </si>
  <si>
    <t>판매실적</t>
    <phoneticPr fontId="4" type="noConversion"/>
  </si>
  <si>
    <t>&lt;=15000</t>
    <phoneticPr fontId="4" type="noConversion"/>
  </si>
  <si>
    <t>성과급</t>
    <phoneticPr fontId="4" type="noConversion"/>
  </si>
  <si>
    <t>&lt;=1000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</si>
</sst>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2">
    <numFmt numFmtId="6" formatCode="&quot;₩&quot;#,##0;[Red]\-&quot;₩&quot;#,##0"/>
    <numFmt numFmtId="42" formatCode="_-&quot;₩&quot;* #,##0_-;\-&quot;₩&quot;* #,##0_-;_-&quot;₩&quot;* &quot;-&quot;_-;_-@_-"/>
    <numFmt numFmtId="41" formatCode="_-* #,##0_-;\-* #,##0_-;_-* &quot;-&quot;_-;_-@_-"/>
    <numFmt numFmtId="176" formatCode="yy&quot;-&quot;mm&quot;-&quot;dd"/>
    <numFmt numFmtId="177" formatCode="#,##0_ "/>
    <numFmt numFmtId="178" formatCode="0.0%"/>
    <numFmt numFmtId="179" formatCode="0.0_ "/>
    <numFmt numFmtId="180" formatCode="0&quot;㎡&quot;"/>
    <numFmt numFmtId="181" formatCode="0&quot;㎡ 이상&quot;"/>
    <numFmt numFmtId="182" formatCode="0\ \~"/>
    <numFmt numFmtId="183" formatCode="0\ &quot;세&quot;"/>
    <numFmt numFmtId="184" formatCode="0&quot;세 이상&quot;"/>
    <numFmt numFmtId="185" formatCode="0&quot;세 미만&quot;"/>
    <numFmt numFmtId="186" formatCode="0&quot;세 ~&quot;"/>
    <numFmt numFmtId="187" formatCode="\ 0&quot;세&quot;"/>
    <numFmt numFmtId="188" formatCode="0.00_ "/>
    <numFmt numFmtId="189" formatCode="General&quot; 이상&quot;"/>
    <numFmt numFmtId="190" formatCode="General&quot; 미만&quot;"/>
    <numFmt numFmtId="191" formatCode="General&quot; ~&quot;"/>
    <numFmt numFmtId="192" formatCode="General&quot;월&quot;"/>
    <numFmt numFmtId="193" formatCode="mm&quot;월&quot;\ dd&quot;일&quot;"/>
    <numFmt numFmtId="194" formatCode="0_);[Red]\(0\)"/>
  </numFmts>
  <fonts count="17"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  <scheme val="major"/>
    </font>
    <font>
      <sz val="11"/>
      <color theme="1"/>
      <name val="맑은 고딕"/>
      <family val="3"/>
      <charset val="129"/>
      <scheme val="maj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8"/>
      <name val="돋움체"/>
      <family val="3"/>
      <charset val="129"/>
    </font>
    <font>
      <b/>
      <sz val="11"/>
      <name val="맑은 고딕"/>
      <family val="3"/>
      <charset val="129"/>
      <scheme val="major"/>
    </font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  <scheme val="minor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</borders>
  <cellStyleXfs count="12">
    <xf numFmtId="0" fontId="0" fillId="0" borderId="0">
      <alignment vertical="center"/>
    </xf>
    <xf numFmtId="0" fontId="1" fillId="0" borderId="0"/>
    <xf numFmtId="41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0" fontId="1" fillId="0" borderId="0"/>
    <xf numFmtId="41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42" fontId="9" fillId="0" borderId="0" applyFont="0" applyFill="0" applyBorder="0" applyAlignment="0" applyProtection="0">
      <alignment vertical="center"/>
    </xf>
    <xf numFmtId="0" fontId="10" fillId="5" borderId="0" applyNumberFormat="0" applyBorder="0" applyAlignment="0" applyProtection="0">
      <alignment vertical="center"/>
    </xf>
    <xf numFmtId="0" fontId="11" fillId="6" borderId="0" applyNumberFormat="0" applyBorder="0" applyAlignment="0" applyProtection="0">
      <alignment vertical="center"/>
    </xf>
    <xf numFmtId="0" fontId="15" fillId="0" borderId="0"/>
  </cellStyleXfs>
  <cellXfs count="213">
    <xf numFmtId="0" fontId="0" fillId="0" borderId="0" xfId="0">
      <alignment vertical="center"/>
    </xf>
    <xf numFmtId="0" fontId="2" fillId="0" borderId="0" xfId="1" applyFont="1"/>
    <xf numFmtId="0" fontId="2" fillId="0" borderId="1" xfId="1" applyFont="1" applyBorder="1" applyAlignment="1">
      <alignment horizontal="center"/>
    </xf>
    <xf numFmtId="0" fontId="2" fillId="2" borderId="1" xfId="1" applyFont="1" applyFill="1" applyBorder="1" applyAlignment="1">
      <alignment horizontal="center"/>
    </xf>
    <xf numFmtId="0" fontId="2" fillId="0" borderId="0" xfId="1" applyFont="1" applyFill="1"/>
    <xf numFmtId="0" fontId="2" fillId="0" borderId="1" xfId="1" applyFont="1" applyFill="1" applyBorder="1" applyAlignment="1">
      <alignment horizontal="center"/>
    </xf>
    <xf numFmtId="0" fontId="2" fillId="0" borderId="1" xfId="1" applyFont="1" applyFill="1" applyBorder="1"/>
    <xf numFmtId="0" fontId="2" fillId="0" borderId="0" xfId="1" applyFont="1" applyFill="1" applyBorder="1"/>
    <xf numFmtId="14" fontId="2" fillId="0" borderId="1" xfId="1" applyNumberFormat="1" applyFont="1" applyBorder="1" applyAlignment="1">
      <alignment horizontal="center"/>
    </xf>
    <xf numFmtId="0" fontId="2" fillId="0" borderId="1" xfId="1" applyFont="1" applyFill="1" applyBorder="1" applyAlignment="1">
      <alignment horizontal="center" vertical="center"/>
    </xf>
    <xf numFmtId="0" fontId="2" fillId="0" borderId="1" xfId="1" applyFont="1" applyBorder="1" applyAlignment="1">
      <alignment horizontal="center" vertical="center"/>
    </xf>
    <xf numFmtId="0" fontId="2" fillId="2" borderId="1" xfId="1" applyFont="1" applyFill="1" applyBorder="1" applyAlignment="1">
      <alignment horizontal="center" vertical="center"/>
    </xf>
    <xf numFmtId="41" fontId="2" fillId="0" borderId="1" xfId="2" applyFont="1" applyBorder="1"/>
    <xf numFmtId="41" fontId="2" fillId="0" borderId="1" xfId="1" applyNumberFormat="1" applyFont="1" applyBorder="1"/>
    <xf numFmtId="0" fontId="2" fillId="0" borderId="1" xfId="1" applyFont="1" applyBorder="1"/>
    <xf numFmtId="9" fontId="2" fillId="0" borderId="1" xfId="1" applyNumberFormat="1" applyFont="1" applyBorder="1"/>
    <xf numFmtId="0" fontId="2" fillId="0" borderId="2" xfId="1" applyFont="1" applyFill="1" applyBorder="1"/>
    <xf numFmtId="0" fontId="2" fillId="0" borderId="2" xfId="1" applyFont="1" applyBorder="1" applyAlignment="1">
      <alignment horizontal="left" vertical="center"/>
    </xf>
    <xf numFmtId="0" fontId="2" fillId="0" borderId="3" xfId="1" applyFont="1" applyBorder="1" applyAlignment="1">
      <alignment horizontal="center" vertical="center"/>
    </xf>
    <xf numFmtId="0" fontId="2" fillId="3" borderId="1" xfId="1" applyFont="1" applyFill="1" applyBorder="1" applyAlignment="1">
      <alignment horizontal="center" vertical="center"/>
    </xf>
    <xf numFmtId="0" fontId="2" fillId="0" borderId="1" xfId="1" applyFont="1" applyBorder="1" applyAlignment="1">
      <alignment vertical="center"/>
    </xf>
    <xf numFmtId="0" fontId="2" fillId="0" borderId="0" xfId="1" applyFont="1" applyAlignment="1">
      <alignment vertical="center"/>
    </xf>
    <xf numFmtId="9" fontId="2" fillId="0" borderId="1" xfId="1" applyNumberFormat="1" applyFont="1" applyBorder="1" applyAlignment="1">
      <alignment vertical="center"/>
    </xf>
    <xf numFmtId="0" fontId="2" fillId="0" borderId="1" xfId="1" applyFont="1" applyBorder="1" applyAlignment="1">
      <alignment horizontal="right" vertical="center"/>
    </xf>
    <xf numFmtId="0" fontId="2" fillId="0" borderId="0" xfId="1" applyFont="1" applyFill="1" applyAlignment="1">
      <alignment horizontal="left"/>
    </xf>
    <xf numFmtId="41" fontId="2" fillId="0" borderId="1" xfId="2" applyFont="1" applyFill="1" applyBorder="1" applyAlignment="1">
      <alignment horizontal="right"/>
    </xf>
    <xf numFmtId="41" fontId="2" fillId="0" borderId="1" xfId="3" applyNumberFormat="1" applyFont="1" applyFill="1" applyBorder="1"/>
    <xf numFmtId="41" fontId="2" fillId="0" borderId="1" xfId="2" applyFont="1" applyFill="1" applyBorder="1"/>
    <xf numFmtId="14" fontId="2" fillId="0" borderId="0" xfId="1" applyNumberFormat="1" applyFont="1"/>
    <xf numFmtId="0" fontId="2" fillId="3" borderId="1" xfId="1" applyFont="1" applyFill="1" applyBorder="1" applyAlignment="1">
      <alignment horizontal="center"/>
    </xf>
    <xf numFmtId="176" fontId="2" fillId="0" borderId="1" xfId="1" applyNumberFormat="1" applyFont="1" applyBorder="1" applyAlignment="1">
      <alignment horizontal="right"/>
    </xf>
    <xf numFmtId="41" fontId="3" fillId="0" borderId="1" xfId="2" applyFont="1" applyBorder="1"/>
    <xf numFmtId="0" fontId="2" fillId="0" borderId="0" xfId="1" applyFont="1" applyAlignment="1">
      <alignment horizontal="center"/>
    </xf>
    <xf numFmtId="0" fontId="2" fillId="0" borderId="1" xfId="1" applyFont="1" applyBorder="1" applyAlignment="1">
      <alignment horizontal="right"/>
    </xf>
    <xf numFmtId="0" fontId="2" fillId="2" borderId="1" xfId="1" applyFont="1" applyFill="1" applyBorder="1"/>
    <xf numFmtId="0" fontId="2" fillId="0" borderId="4" xfId="1" applyFont="1" applyBorder="1" applyAlignment="1">
      <alignment horizontal="center"/>
    </xf>
    <xf numFmtId="177" fontId="3" fillId="0" borderId="1" xfId="2" applyNumberFormat="1" applyFont="1" applyBorder="1"/>
    <xf numFmtId="41" fontId="2" fillId="0" borderId="0" xfId="1" applyNumberFormat="1" applyFont="1"/>
    <xf numFmtId="0" fontId="2" fillId="0" borderId="0" xfId="1" applyFont="1" applyBorder="1" applyAlignment="1">
      <alignment horizontal="center"/>
    </xf>
    <xf numFmtId="177" fontId="3" fillId="0" borderId="1" xfId="4" applyNumberFormat="1" applyFont="1" applyBorder="1"/>
    <xf numFmtId="6" fontId="2" fillId="0" borderId="0" xfId="1" applyNumberFormat="1" applyFont="1"/>
    <xf numFmtId="0" fontId="2" fillId="0" borderId="2" xfId="1" applyFont="1" applyBorder="1" applyAlignment="1">
      <alignment horizontal="left"/>
    </xf>
    <xf numFmtId="0" fontId="2" fillId="0" borderId="2" xfId="1" applyFont="1" applyBorder="1" applyAlignment="1">
      <alignment horizontal="center"/>
    </xf>
    <xf numFmtId="0" fontId="2" fillId="0" borderId="0" xfId="1" applyFont="1" applyBorder="1"/>
    <xf numFmtId="42" fontId="2" fillId="0" borderId="1" xfId="4" applyFont="1" applyBorder="1"/>
    <xf numFmtId="178" fontId="2" fillId="0" borderId="1" xfId="3" applyNumberFormat="1" applyFont="1" applyBorder="1" applyAlignment="1">
      <alignment horizontal="center"/>
    </xf>
    <xf numFmtId="41" fontId="2" fillId="0" borderId="1" xfId="2" applyFont="1" applyBorder="1" applyAlignment="1">
      <alignment horizontal="center"/>
    </xf>
    <xf numFmtId="0" fontId="2" fillId="0" borderId="1" xfId="1" applyNumberFormat="1" applyFont="1" applyBorder="1" applyAlignment="1">
      <alignment horizontal="center"/>
    </xf>
    <xf numFmtId="9" fontId="2" fillId="0" borderId="1" xfId="1" applyNumberFormat="1" applyFont="1" applyBorder="1" applyAlignment="1">
      <alignment horizontal="center"/>
    </xf>
    <xf numFmtId="41" fontId="3" fillId="0" borderId="1" xfId="2" applyFont="1" applyFill="1" applyBorder="1" applyAlignment="1">
      <alignment horizontal="center"/>
    </xf>
    <xf numFmtId="0" fontId="2" fillId="0" borderId="0" xfId="1" applyFont="1" applyFill="1" applyBorder="1" applyAlignment="1">
      <alignment horizontal="center"/>
    </xf>
    <xf numFmtId="0" fontId="2" fillId="0" borderId="0" xfId="1" applyFont="1" applyFill="1" applyBorder="1" applyAlignment="1">
      <alignment horizontal="left"/>
    </xf>
    <xf numFmtId="41" fontId="3" fillId="0" borderId="1" xfId="2" applyFont="1" applyBorder="1" applyAlignment="1">
      <alignment horizontal="center"/>
    </xf>
    <xf numFmtId="41" fontId="3" fillId="0" borderId="0" xfId="2" applyFont="1" applyFill="1" applyBorder="1" applyAlignment="1">
      <alignment horizontal="center"/>
    </xf>
    <xf numFmtId="41" fontId="3" fillId="0" borderId="0" xfId="2" applyFont="1" applyBorder="1"/>
    <xf numFmtId="0" fontId="7" fillId="0" borderId="2" xfId="1" applyFont="1" applyBorder="1" applyAlignment="1">
      <alignment horizontal="left"/>
    </xf>
    <xf numFmtId="0" fontId="7" fillId="0" borderId="2" xfId="1" applyFont="1" applyBorder="1" applyAlignment="1">
      <alignment horizontal="center"/>
    </xf>
    <xf numFmtId="0" fontId="2" fillId="0" borderId="0" xfId="1" applyFont="1" applyAlignment="1">
      <alignment horizontal="right"/>
    </xf>
    <xf numFmtId="9" fontId="2" fillId="0" borderId="1" xfId="3" applyFont="1" applyBorder="1"/>
    <xf numFmtId="49" fontId="2" fillId="0" borderId="1" xfId="5" applyNumberFormat="1" applyFont="1" applyBorder="1" applyAlignment="1">
      <alignment horizontal="center" vertical="center"/>
    </xf>
    <xf numFmtId="1" fontId="2" fillId="0" borderId="1" xfId="5" applyNumberFormat="1" applyFont="1" applyBorder="1" applyAlignment="1">
      <alignment horizontal="center" vertical="center"/>
    </xf>
    <xf numFmtId="0" fontId="2" fillId="0" borderId="1" xfId="5" applyFont="1" applyBorder="1" applyAlignment="1">
      <alignment horizontal="center"/>
    </xf>
    <xf numFmtId="1" fontId="2" fillId="0" borderId="1" xfId="5" applyNumberFormat="1" applyFont="1" applyBorder="1" applyAlignment="1">
      <alignment horizontal="left" vertical="center" indent="1"/>
    </xf>
    <xf numFmtId="0" fontId="2" fillId="0" borderId="1" xfId="5" applyFont="1" applyFill="1" applyBorder="1" applyAlignment="1">
      <alignment horizontal="center"/>
    </xf>
    <xf numFmtId="0" fontId="2" fillId="0" borderId="1" xfId="3" applyNumberFormat="1" applyFont="1" applyBorder="1"/>
    <xf numFmtId="41" fontId="2" fillId="0" borderId="0" xfId="2" applyFont="1" applyBorder="1"/>
    <xf numFmtId="0" fontId="2" fillId="0" borderId="0" xfId="1" applyNumberFormat="1" applyFont="1"/>
    <xf numFmtId="9" fontId="2" fillId="0" borderId="0" xfId="1" applyNumberFormat="1" applyFont="1"/>
    <xf numFmtId="41" fontId="2" fillId="0" borderId="0" xfId="1" applyNumberFormat="1" applyFont="1" applyBorder="1"/>
    <xf numFmtId="42" fontId="2" fillId="0" borderId="0" xfId="4" applyFont="1" applyBorder="1"/>
    <xf numFmtId="0" fontId="2" fillId="0" borderId="0" xfId="1" applyFont="1" applyAlignment="1">
      <alignment horizontal="left"/>
    </xf>
    <xf numFmtId="14" fontId="2" fillId="0" borderId="0" xfId="1" applyNumberFormat="1" applyFont="1" applyBorder="1" applyAlignment="1">
      <alignment horizontal="center"/>
    </xf>
    <xf numFmtId="41" fontId="2" fillId="0" borderId="0" xfId="2" applyFont="1" applyFill="1" applyBorder="1" applyAlignment="1">
      <alignment horizontal="right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14" fontId="0" fillId="0" borderId="1" xfId="0" applyNumberFormat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9" fontId="0" fillId="0" borderId="1" xfId="0" applyNumberFormat="1" applyBorder="1">
      <alignment vertical="center"/>
    </xf>
    <xf numFmtId="0" fontId="2" fillId="2" borderId="1" xfId="1" applyFont="1" applyFill="1" applyBorder="1" applyAlignment="1">
      <alignment horizontal="center"/>
    </xf>
    <xf numFmtId="49" fontId="2" fillId="0" borderId="0" xfId="1" applyNumberFormat="1" applyFont="1"/>
    <xf numFmtId="0" fontId="0" fillId="0" borderId="0" xfId="0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9" fontId="0" fillId="0" borderId="1" xfId="0" applyNumberFormat="1" applyBorder="1" applyAlignment="1">
      <alignment horizontal="center" vertical="center"/>
    </xf>
    <xf numFmtId="0" fontId="8" fillId="0" borderId="0" xfId="0" applyFont="1" applyFill="1">
      <alignment vertical="center"/>
    </xf>
    <xf numFmtId="0" fontId="8" fillId="0" borderId="1" xfId="0" applyFont="1" applyFill="1" applyBorder="1" applyAlignment="1">
      <alignment horizontal="center" vertical="center"/>
    </xf>
    <xf numFmtId="0" fontId="2" fillId="0" borderId="2" xfId="1" applyFont="1" applyBorder="1" applyAlignment="1">
      <alignment horizontal="center" vertical="center"/>
    </xf>
    <xf numFmtId="0" fontId="2" fillId="2" borderId="1" xfId="1" applyFont="1" applyFill="1" applyBorder="1" applyAlignment="1">
      <alignment horizontal="center"/>
    </xf>
    <xf numFmtId="0" fontId="2" fillId="0" borderId="0" xfId="1" applyFont="1" applyFill="1" applyAlignment="1">
      <alignment horizontal="center"/>
    </xf>
    <xf numFmtId="9" fontId="2" fillId="0" borderId="1" xfId="7" applyFont="1" applyFill="1" applyBorder="1" applyAlignment="1"/>
    <xf numFmtId="0" fontId="3" fillId="0" borderId="0" xfId="1" applyFont="1" applyFill="1" applyAlignment="1">
      <alignment horizontal="left"/>
    </xf>
    <xf numFmtId="0" fontId="0" fillId="4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42" fontId="0" fillId="0" borderId="1" xfId="8" applyFont="1" applyBorder="1" applyAlignment="1">
      <alignment horizontal="center" vertical="center"/>
    </xf>
    <xf numFmtId="42" fontId="0" fillId="0" borderId="0" xfId="0" applyNumberFormat="1">
      <alignment vertical="center"/>
    </xf>
    <xf numFmtId="0" fontId="0" fillId="0" borderId="1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78" fontId="0" fillId="0" borderId="1" xfId="7" applyNumberFormat="1" applyFont="1" applyBorder="1" applyAlignment="1">
      <alignment horizontal="center" vertical="center"/>
    </xf>
    <xf numFmtId="0" fontId="0" fillId="0" borderId="1" xfId="8" applyNumberFormat="1" applyFont="1" applyBorder="1" applyAlignment="1">
      <alignment horizontal="center" vertical="center"/>
    </xf>
    <xf numFmtId="14" fontId="0" fillId="0" borderId="0" xfId="0" applyNumberFormat="1">
      <alignment vertical="center"/>
    </xf>
    <xf numFmtId="180" fontId="0" fillId="0" borderId="1" xfId="0" applyNumberFormat="1" applyBorder="1">
      <alignment vertical="center"/>
    </xf>
    <xf numFmtId="0" fontId="0" fillId="0" borderId="1" xfId="0" applyBorder="1" applyAlignment="1">
      <alignment horizontal="left" vertical="center"/>
    </xf>
    <xf numFmtId="181" fontId="0" fillId="0" borderId="1" xfId="0" applyNumberFormat="1" applyBorder="1">
      <alignment vertical="center"/>
    </xf>
    <xf numFmtId="181" fontId="0" fillId="0" borderId="1" xfId="0" applyNumberFormat="1" applyFill="1" applyBorder="1">
      <alignment vertical="center"/>
    </xf>
    <xf numFmtId="0" fontId="0" fillId="0" borderId="1" xfId="0" applyFill="1" applyBorder="1">
      <alignment vertical="center"/>
    </xf>
    <xf numFmtId="180" fontId="0" fillId="4" borderId="1" xfId="0" applyNumberFormat="1" applyFill="1" applyBorder="1" applyAlignment="1">
      <alignment horizontal="center" vertical="center"/>
    </xf>
    <xf numFmtId="182" fontId="0" fillId="0" borderId="1" xfId="0" applyNumberFormat="1" applyBorder="1" applyAlignment="1">
      <alignment horizontal="center" vertical="center"/>
    </xf>
    <xf numFmtId="179" fontId="0" fillId="0" borderId="1" xfId="7" applyNumberFormat="1" applyFont="1" applyBorder="1">
      <alignment vertical="center"/>
    </xf>
    <xf numFmtId="0" fontId="0" fillId="0" borderId="0" xfId="0" applyFill="1">
      <alignment vertical="center"/>
    </xf>
    <xf numFmtId="0" fontId="0" fillId="0" borderId="1" xfId="0" quotePrefix="1" applyFill="1" applyBorder="1" applyAlignment="1">
      <alignment horizontal="center" vertical="center"/>
    </xf>
    <xf numFmtId="0" fontId="0" fillId="0" borderId="1" xfId="7" applyNumberFormat="1" applyFont="1" applyFill="1" applyBorder="1" applyAlignment="1">
      <alignment horizontal="center" vertical="center"/>
    </xf>
    <xf numFmtId="9" fontId="0" fillId="0" borderId="1" xfId="7" applyFont="1" applyFill="1" applyBorder="1">
      <alignment vertical="center"/>
    </xf>
    <xf numFmtId="9" fontId="0" fillId="0" borderId="0" xfId="7" applyFont="1" applyFill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0" xfId="0" quotePrefix="1" applyFill="1" applyAlignment="1">
      <alignment horizontal="center" vertical="center"/>
    </xf>
    <xf numFmtId="0" fontId="0" fillId="0" borderId="1" xfId="0" quotePrefix="1" applyBorder="1" applyAlignment="1">
      <alignment horizontal="center" vertical="center"/>
    </xf>
    <xf numFmtId="9" fontId="0" fillId="0" borderId="1" xfId="7" applyFon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0" xfId="0" applyAlignment="1">
      <alignment vertical="center"/>
    </xf>
    <xf numFmtId="0" fontId="0" fillId="0" borderId="0" xfId="0" applyBorder="1">
      <alignment vertical="center"/>
    </xf>
    <xf numFmtId="0" fontId="0" fillId="0" borderId="0" xfId="0" quotePrefix="1" applyAlignment="1">
      <alignment horizontal="center" vertical="center"/>
    </xf>
    <xf numFmtId="0" fontId="8" fillId="0" borderId="0" xfId="0" applyFont="1" applyFill="1" applyAlignment="1">
      <alignment horizontal="left" vertical="center"/>
    </xf>
    <xf numFmtId="0" fontId="8" fillId="0" borderId="0" xfId="0" applyFont="1" applyFill="1" applyAlignment="1">
      <alignment horizontal="center" vertical="center"/>
    </xf>
    <xf numFmtId="41" fontId="8" fillId="0" borderId="0" xfId="6" applyFont="1" applyFill="1">
      <alignment vertical="center"/>
    </xf>
    <xf numFmtId="14" fontId="8" fillId="0" borderId="0" xfId="6" applyNumberFormat="1" applyFont="1" applyFill="1">
      <alignment vertical="center"/>
    </xf>
    <xf numFmtId="0" fontId="12" fillId="0" borderId="1" xfId="0" applyFont="1" applyFill="1" applyBorder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41" fontId="12" fillId="4" borderId="1" xfId="6" applyFont="1" applyFill="1" applyBorder="1" applyAlignment="1">
      <alignment horizontal="center" vertical="center"/>
    </xf>
    <xf numFmtId="41" fontId="12" fillId="0" borderId="1" xfId="6" applyFont="1" applyFill="1" applyBorder="1" applyAlignment="1">
      <alignment horizontal="center" vertical="center"/>
    </xf>
    <xf numFmtId="183" fontId="8" fillId="0" borderId="3" xfId="0" applyNumberFormat="1" applyFont="1" applyFill="1" applyBorder="1" applyAlignment="1">
      <alignment horizontal="center" vertical="center"/>
    </xf>
    <xf numFmtId="0" fontId="13" fillId="0" borderId="3" xfId="0" applyFont="1" applyFill="1" applyBorder="1" applyAlignment="1">
      <alignment horizontal="center" vertical="center" wrapText="1"/>
    </xf>
    <xf numFmtId="41" fontId="8" fillId="0" borderId="3" xfId="6" applyFont="1" applyFill="1" applyBorder="1">
      <alignment vertical="center"/>
    </xf>
    <xf numFmtId="0" fontId="8" fillId="0" borderId="3" xfId="0" applyFont="1" applyFill="1" applyBorder="1">
      <alignment vertical="center"/>
    </xf>
    <xf numFmtId="0" fontId="8" fillId="0" borderId="3" xfId="0" applyNumberFormat="1" applyFont="1" applyFill="1" applyBorder="1" applyAlignment="1">
      <alignment horizontal="center" vertical="center"/>
    </xf>
    <xf numFmtId="0" fontId="14" fillId="0" borderId="1" xfId="0" applyFont="1" applyFill="1" applyBorder="1" applyAlignment="1">
      <alignment horizontal="center" vertical="center" wrapText="1"/>
    </xf>
    <xf numFmtId="183" fontId="8" fillId="0" borderId="1" xfId="0" applyNumberFormat="1" applyFont="1" applyFill="1" applyBorder="1" applyAlignment="1">
      <alignment horizontal="center" vertical="center"/>
    </xf>
    <xf numFmtId="0" fontId="13" fillId="0" borderId="1" xfId="0" applyFont="1" applyFill="1" applyBorder="1" applyAlignment="1">
      <alignment horizontal="center" vertical="center" wrapText="1"/>
    </xf>
    <xf numFmtId="0" fontId="8" fillId="0" borderId="1" xfId="0" applyFont="1" applyFill="1" applyBorder="1">
      <alignment vertical="center"/>
    </xf>
    <xf numFmtId="0" fontId="14" fillId="0" borderId="4" xfId="0" applyFont="1" applyFill="1" applyBorder="1" applyAlignment="1">
      <alignment horizontal="center" vertical="center" wrapText="1"/>
    </xf>
    <xf numFmtId="184" fontId="14" fillId="0" borderId="1" xfId="0" applyNumberFormat="1" applyFont="1" applyFill="1" applyBorder="1" applyAlignment="1">
      <alignment horizontal="center" vertical="center" wrapText="1"/>
    </xf>
    <xf numFmtId="0" fontId="14" fillId="0" borderId="3" xfId="0" applyFont="1" applyFill="1" applyBorder="1" applyAlignment="1">
      <alignment horizontal="center" vertical="center" wrapText="1"/>
    </xf>
    <xf numFmtId="185" fontId="14" fillId="0" borderId="1" xfId="0" applyNumberFormat="1" applyFont="1" applyFill="1" applyBorder="1" applyAlignment="1">
      <alignment horizontal="center" vertical="center" wrapText="1"/>
    </xf>
    <xf numFmtId="3" fontId="13" fillId="0" borderId="1" xfId="0" applyNumberFormat="1" applyFont="1" applyFill="1" applyBorder="1" applyAlignment="1">
      <alignment vertical="center" wrapText="1"/>
    </xf>
    <xf numFmtId="0" fontId="14" fillId="4" borderId="1" xfId="0" applyFont="1" applyFill="1" applyBorder="1" applyAlignment="1">
      <alignment horizontal="center" vertical="center" wrapText="1"/>
    </xf>
    <xf numFmtId="184" fontId="14" fillId="4" borderId="1" xfId="0" applyNumberFormat="1" applyFont="1" applyFill="1" applyBorder="1" applyAlignment="1">
      <alignment horizontal="center" vertical="center" wrapText="1"/>
    </xf>
    <xf numFmtId="186" fontId="13" fillId="0" borderId="5" xfId="0" applyNumberFormat="1" applyFont="1" applyFill="1" applyBorder="1" applyAlignment="1">
      <alignment horizontal="right" vertical="center" wrapText="1"/>
    </xf>
    <xf numFmtId="187" fontId="13" fillId="0" borderId="7" xfId="0" applyNumberFormat="1" applyFont="1" applyFill="1" applyBorder="1" applyAlignment="1">
      <alignment horizontal="left" vertical="center" wrapText="1"/>
    </xf>
    <xf numFmtId="185" fontId="14" fillId="4" borderId="1" xfId="0" applyNumberFormat="1" applyFont="1" applyFill="1" applyBorder="1" applyAlignment="1">
      <alignment horizontal="center" vertical="center" wrapText="1"/>
    </xf>
    <xf numFmtId="0" fontId="13" fillId="0" borderId="5" xfId="0" applyFont="1" applyFill="1" applyBorder="1" applyAlignment="1">
      <alignment horizontal="center" vertical="center" wrapText="1"/>
    </xf>
    <xf numFmtId="188" fontId="8" fillId="0" borderId="1" xfId="0" applyNumberFormat="1" applyFont="1" applyFill="1" applyBorder="1" applyAlignment="1">
      <alignment vertical="center"/>
    </xf>
    <xf numFmtId="0" fontId="12" fillId="0" borderId="1" xfId="1" applyFont="1" applyFill="1" applyBorder="1" applyAlignment="1">
      <alignment horizontal="center" vertical="center"/>
    </xf>
    <xf numFmtId="0" fontId="12" fillId="4" borderId="1" xfId="10" applyFont="1" applyFill="1" applyBorder="1" applyAlignment="1">
      <alignment horizontal="center" vertical="center"/>
    </xf>
    <xf numFmtId="0" fontId="8" fillId="0" borderId="0" xfId="10" applyFont="1" applyFill="1" applyBorder="1" applyAlignment="1">
      <alignment horizontal="center" vertical="center"/>
    </xf>
    <xf numFmtId="0" fontId="8" fillId="0" borderId="12" xfId="0" applyFont="1" applyFill="1" applyBorder="1" applyAlignment="1">
      <alignment horizontal="center" vertical="center" wrapText="1"/>
    </xf>
    <xf numFmtId="0" fontId="8" fillId="0" borderId="12" xfId="0" applyFont="1" applyFill="1" applyBorder="1" applyAlignment="1">
      <alignment vertical="center" wrapText="1"/>
    </xf>
    <xf numFmtId="3" fontId="8" fillId="0" borderId="13" xfId="0" applyNumberFormat="1" applyFont="1" applyFill="1" applyBorder="1" applyAlignment="1">
      <alignment horizontal="right" vertical="center" wrapText="1"/>
    </xf>
    <xf numFmtId="3" fontId="8" fillId="0" borderId="3" xfId="6" applyNumberFormat="1" applyFont="1" applyFill="1" applyBorder="1">
      <alignment vertical="center"/>
    </xf>
    <xf numFmtId="3" fontId="8" fillId="0" borderId="0" xfId="6" applyNumberFormat="1" applyFont="1" applyFill="1" applyBorder="1">
      <alignment vertical="center"/>
    </xf>
    <xf numFmtId="0" fontId="8" fillId="0" borderId="1" xfId="0" applyFont="1" applyFill="1" applyBorder="1" applyAlignment="1">
      <alignment horizontal="center" vertical="center" wrapText="1"/>
    </xf>
    <xf numFmtId="0" fontId="8" fillId="0" borderId="14" xfId="1" applyFont="1" applyFill="1" applyBorder="1" applyAlignment="1">
      <alignment horizontal="center" vertical="center" wrapText="1"/>
    </xf>
    <xf numFmtId="0" fontId="8" fillId="0" borderId="14" xfId="1" applyFont="1" applyFill="1" applyBorder="1" applyAlignment="1">
      <alignment vertical="center" wrapText="1"/>
    </xf>
    <xf numFmtId="3" fontId="8" fillId="0" borderId="15" xfId="1" applyNumberFormat="1" applyFont="1" applyFill="1" applyBorder="1" applyAlignment="1">
      <alignment horizontal="right" vertical="center" wrapText="1"/>
    </xf>
    <xf numFmtId="0" fontId="8" fillId="0" borderId="1" xfId="1" applyFont="1" applyFill="1" applyBorder="1" applyAlignment="1">
      <alignment horizontal="center" vertical="center" wrapText="1"/>
    </xf>
    <xf numFmtId="0" fontId="8" fillId="0" borderId="14" xfId="0" applyFont="1" applyFill="1" applyBorder="1" applyAlignment="1">
      <alignment horizontal="center" vertical="center" wrapText="1"/>
    </xf>
    <xf numFmtId="0" fontId="8" fillId="0" borderId="14" xfId="0" applyFont="1" applyFill="1" applyBorder="1" applyAlignment="1">
      <alignment vertical="center" wrapText="1"/>
    </xf>
    <xf numFmtId="3" fontId="8" fillId="0" borderId="15" xfId="0" applyNumberFormat="1" applyFont="1" applyFill="1" applyBorder="1" applyAlignment="1">
      <alignment horizontal="right" vertical="center" wrapText="1"/>
    </xf>
    <xf numFmtId="0" fontId="8" fillId="0" borderId="0" xfId="0" applyFont="1" applyFill="1" applyAlignment="1">
      <alignment horizontal="right" vertical="center"/>
    </xf>
    <xf numFmtId="0" fontId="8" fillId="0" borderId="1" xfId="9" applyFont="1" applyFill="1" applyBorder="1" applyAlignment="1">
      <alignment vertical="center" wrapText="1"/>
    </xf>
    <xf numFmtId="3" fontId="8" fillId="0" borderId="1" xfId="6" applyNumberFormat="1" applyFont="1" applyFill="1" applyBorder="1" applyAlignment="1">
      <alignment horizontal="right" vertical="center"/>
    </xf>
    <xf numFmtId="0" fontId="8" fillId="0" borderId="0" xfId="9" applyFont="1" applyFill="1" applyBorder="1" applyAlignment="1">
      <alignment vertical="center" wrapText="1"/>
    </xf>
    <xf numFmtId="3" fontId="8" fillId="0" borderId="1" xfId="6" applyNumberFormat="1" applyFont="1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89" fontId="0" fillId="0" borderId="1" xfId="0" applyNumberFormat="1" applyFill="1" applyBorder="1" applyAlignment="1">
      <alignment horizontal="center" vertical="center"/>
    </xf>
    <xf numFmtId="190" fontId="0" fillId="0" borderId="1" xfId="0" applyNumberFormat="1" applyFill="1" applyBorder="1" applyAlignment="1">
      <alignment horizontal="center" vertical="center"/>
    </xf>
    <xf numFmtId="191" fontId="0" fillId="0" borderId="1" xfId="0" applyNumberFormat="1" applyBorder="1" applyAlignment="1">
      <alignment horizontal="center" vertical="center"/>
    </xf>
    <xf numFmtId="192" fontId="0" fillId="0" borderId="1" xfId="0" applyNumberFormat="1" applyFill="1" applyBorder="1" applyAlignment="1">
      <alignment horizontal="center" vertical="center"/>
    </xf>
    <xf numFmtId="193" fontId="0" fillId="0" borderId="1" xfId="0" applyNumberFormat="1" applyBorder="1" applyAlignment="1">
      <alignment horizontal="center" vertical="center"/>
    </xf>
    <xf numFmtId="193" fontId="0" fillId="0" borderId="0" xfId="0" applyNumberFormat="1">
      <alignment vertical="center"/>
    </xf>
    <xf numFmtId="10" fontId="0" fillId="0" borderId="1" xfId="7" applyNumberFormat="1" applyFont="1" applyBorder="1" applyAlignment="1">
      <alignment horizontal="center" vertical="center"/>
    </xf>
    <xf numFmtId="14" fontId="0" fillId="0" borderId="1" xfId="0" applyNumberFormat="1" applyFill="1" applyBorder="1" applyAlignment="1">
      <alignment horizontal="center" vertical="center"/>
    </xf>
    <xf numFmtId="14" fontId="2" fillId="0" borderId="1" xfId="1" applyNumberFormat="1" applyFont="1" applyFill="1" applyBorder="1" applyAlignment="1">
      <alignment horizontal="center"/>
    </xf>
    <xf numFmtId="14" fontId="2" fillId="0" borderId="1" xfId="1" quotePrefix="1" applyNumberFormat="1" applyFont="1" applyFill="1" applyBorder="1" applyAlignment="1">
      <alignment horizontal="center"/>
    </xf>
    <xf numFmtId="14" fontId="16" fillId="0" borderId="1" xfId="11" applyNumberFormat="1" applyFont="1" applyFill="1" applyBorder="1" applyAlignment="1">
      <alignment horizontal="center" wrapText="1"/>
    </xf>
    <xf numFmtId="41" fontId="0" fillId="0" borderId="0" xfId="6" applyFont="1">
      <alignment vertical="center"/>
    </xf>
    <xf numFmtId="0" fontId="0" fillId="0" borderId="1" xfId="0" applyBorder="1" applyAlignment="1">
      <alignment horizontal="center" vertical="center"/>
    </xf>
    <xf numFmtId="194" fontId="2" fillId="0" borderId="1" xfId="1" applyNumberFormat="1" applyFont="1" applyBorder="1"/>
    <xf numFmtId="0" fontId="0" fillId="0" borderId="1" xfId="0" applyBorder="1" applyAlignment="1">
      <alignment horizontal="center" vertical="center"/>
    </xf>
    <xf numFmtId="0" fontId="2" fillId="0" borderId="2" xfId="1" applyFont="1" applyBorder="1" applyAlignment="1">
      <alignment horizontal="center" vertical="center"/>
    </xf>
    <xf numFmtId="0" fontId="2" fillId="0" borderId="4" xfId="1" applyFont="1" applyBorder="1" applyAlignment="1">
      <alignment horizontal="center" vertical="center" wrapText="1"/>
    </xf>
    <xf numFmtId="0" fontId="2" fillId="0" borderId="3" xfId="1" applyFont="1" applyBorder="1" applyAlignment="1">
      <alignment horizontal="center" vertical="center" wrapText="1"/>
    </xf>
    <xf numFmtId="0" fontId="2" fillId="2" borderId="1" xfId="1" applyFont="1" applyFill="1" applyBorder="1" applyAlignment="1">
      <alignment horizontal="center"/>
    </xf>
    <xf numFmtId="42" fontId="2" fillId="0" borderId="5" xfId="4" applyFont="1" applyFill="1" applyBorder="1" applyAlignment="1">
      <alignment horizontal="center"/>
    </xf>
    <xf numFmtId="0" fontId="2" fillId="0" borderId="6" xfId="1" applyFont="1" applyFill="1" applyBorder="1"/>
    <xf numFmtId="0" fontId="2" fillId="0" borderId="7" xfId="1" applyFont="1" applyFill="1" applyBorder="1"/>
    <xf numFmtId="0" fontId="2" fillId="0" borderId="5" xfId="1" applyFont="1" applyBorder="1" applyAlignment="1">
      <alignment horizontal="center"/>
    </xf>
    <xf numFmtId="0" fontId="2" fillId="0" borderId="7" xfId="1" applyFont="1" applyBorder="1" applyAlignment="1">
      <alignment horizontal="center"/>
    </xf>
    <xf numFmtId="0" fontId="0" fillId="0" borderId="4" xfId="0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4" fillId="0" borderId="5" xfId="0" applyFont="1" applyFill="1" applyBorder="1" applyAlignment="1">
      <alignment horizontal="center" vertical="center" wrapText="1"/>
    </xf>
    <xf numFmtId="0" fontId="14" fillId="0" borderId="7" xfId="0" applyFont="1" applyFill="1" applyBorder="1" applyAlignment="1">
      <alignment horizontal="center" vertical="center" wrapText="1"/>
    </xf>
    <xf numFmtId="0" fontId="14" fillId="0" borderId="1" xfId="0" applyFon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 wrapText="1"/>
    </xf>
    <xf numFmtId="0" fontId="0" fillId="2" borderId="9" xfId="0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6" fontId="0" fillId="0" borderId="1" xfId="8" applyNumberFormat="1" applyFont="1" applyBorder="1" applyAlignment="1">
      <alignment horizontal="center" vertical="center"/>
    </xf>
  </cellXfs>
  <cellStyles count="12">
    <cellStyle name="백분율" xfId="7" builtinId="5"/>
    <cellStyle name="백분율 2" xfId="3"/>
    <cellStyle name="보통" xfId="10" builtinId="28"/>
    <cellStyle name="쉼표 [0]" xfId="6" builtinId="6"/>
    <cellStyle name="쉼표 [0] 2" xfId="2"/>
    <cellStyle name="좋음" xfId="9" builtinId="26"/>
    <cellStyle name="통화 [0]" xfId="8" builtinId="7"/>
    <cellStyle name="통화 [0] 2" xfId="4"/>
    <cellStyle name="표준" xfId="0" builtinId="0"/>
    <cellStyle name="표준 2" xfId="1"/>
    <cellStyle name="표준_분석작업-1" xfId="11"/>
    <cellStyle name="표준_상공회의소문제" xfId="5"/>
  </cellStyles>
  <dxfs count="5">
    <dxf>
      <font>
        <b/>
        <i/>
        <color rgb="FFFF0000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48"/>
  <sheetViews>
    <sheetView topLeftCell="A38" workbookViewId="0">
      <selection activeCell="F61" sqref="F61"/>
    </sheetView>
  </sheetViews>
  <sheetFormatPr defaultRowHeight="16.5"/>
  <cols>
    <col min="1" max="1" width="12.875" style="1" bestFit="1" customWidth="1"/>
    <col min="2" max="2" width="12.25" style="1" customWidth="1"/>
    <col min="3" max="3" width="10.25" style="1" customWidth="1"/>
    <col min="4" max="4" width="12.75" style="1" bestFit="1" customWidth="1"/>
    <col min="5" max="5" width="12.375" style="1" customWidth="1"/>
    <col min="6" max="6" width="11.875" style="1" customWidth="1"/>
    <col min="7" max="7" width="2.25" style="1" customWidth="1"/>
    <col min="8" max="8" width="9.25" style="1" bestFit="1" customWidth="1"/>
    <col min="9" max="9" width="11.75" style="1" customWidth="1"/>
    <col min="10" max="10" width="8.125" style="1" customWidth="1"/>
  </cols>
  <sheetData>
    <row r="1" spans="1:6">
      <c r="A1" s="1" t="s">
        <v>411</v>
      </c>
      <c r="E1" s="1" t="s">
        <v>412</v>
      </c>
    </row>
    <row r="2" spans="1:6">
      <c r="A2" s="2" t="s">
        <v>413</v>
      </c>
      <c r="B2" s="88" t="s">
        <v>414</v>
      </c>
      <c r="D2" s="4"/>
      <c r="E2" s="5" t="s">
        <v>415</v>
      </c>
      <c r="F2" s="88" t="s">
        <v>416</v>
      </c>
    </row>
    <row r="3" spans="1:6">
      <c r="A3" s="2">
        <v>300</v>
      </c>
      <c r="B3" s="5" t="str">
        <f>COUNTIFS($B$9:$B$35, "*영", $E$9:$E$35, "&lt;=" &amp; A3) &amp; "건"</f>
        <v>7건</v>
      </c>
      <c r="D3" s="4"/>
      <c r="E3" s="2" t="s">
        <v>417</v>
      </c>
      <c r="F3" s="2" t="str">
        <f t="array" ref="F3">INDEX($A$9:$F$35,MATCH(LARGE(($C$9:$C$35=$E3)*$D$9:$D$35,3),($C$9:$C$35 = $E3) * $D$9:$D$35, 0), 2)</f>
        <v>장동욱</v>
      </c>
    </row>
    <row r="4" spans="1:6">
      <c r="A4" s="2">
        <v>600</v>
      </c>
      <c r="B4" s="5" t="str">
        <f>COUNTIFS($B$9:$B$35, "*영", $E$9:$E$35, "&lt;=" &amp; A4) &amp; "건"</f>
        <v>12건</v>
      </c>
      <c r="D4" s="4"/>
      <c r="E4" s="2" t="s">
        <v>418</v>
      </c>
      <c r="F4" s="2" t="str">
        <f t="array" ref="F4">INDEX($A$9:$F$35,MATCH(LARGE(($C$9:$C$35=$E4)*$D$9:$D$35,3),($C$9:$C$35 = $E4) * $D$9:$D$35, 0), 2)</f>
        <v>장동욱</v>
      </c>
    </row>
    <row r="5" spans="1:6">
      <c r="A5" s="2">
        <v>1000</v>
      </c>
      <c r="B5" s="5" t="str">
        <f>COUNTIFS($B$9:$B$35, "*영", $E$9:$E$35, "&lt;=" &amp; A5) &amp; "건"</f>
        <v>16건</v>
      </c>
      <c r="D5" s="4"/>
      <c r="E5" s="2" t="s">
        <v>419</v>
      </c>
      <c r="F5" s="2" t="str">
        <f t="array" ref="F5">INDEX($A$9:$F$35,MATCH(LARGE(($C$9:$C$35=$E5)*$D$9:$D$35,3),($C$9:$C$35 = $E5) * $D$9:$D$35, 0), 2)</f>
        <v>도부영</v>
      </c>
    </row>
    <row r="6" spans="1:6">
      <c r="A6" s="4"/>
      <c r="B6" s="4"/>
      <c r="C6" s="4"/>
      <c r="D6" s="4"/>
      <c r="E6" s="2" t="s">
        <v>420</v>
      </c>
      <c r="F6" s="2" t="str">
        <f t="array" ref="F6">INDEX($A$9:$F$35,MATCH(LARGE(($C$9:$C$35=$E6)*$D$9:$D$35,3),($C$9:$C$35 = $E6) * $D$9:$D$35, 0), 2)</f>
        <v>배무영</v>
      </c>
    </row>
    <row r="7" spans="1:6">
      <c r="A7" s="7" t="s">
        <v>421</v>
      </c>
      <c r="B7" s="4"/>
      <c r="C7" s="4"/>
      <c r="D7" s="4"/>
      <c r="E7" s="4"/>
      <c r="F7" s="4"/>
    </row>
    <row r="8" spans="1:6">
      <c r="A8" s="2" t="s">
        <v>422</v>
      </c>
      <c r="B8" s="2" t="s">
        <v>416</v>
      </c>
      <c r="C8" s="2" t="s">
        <v>415</v>
      </c>
      <c r="D8" s="2" t="s">
        <v>1</v>
      </c>
      <c r="E8" s="2" t="s">
        <v>413</v>
      </c>
      <c r="F8" s="2" t="s">
        <v>377</v>
      </c>
    </row>
    <row r="9" spans="1:6">
      <c r="A9" s="8">
        <v>42381</v>
      </c>
      <c r="B9" s="2" t="s">
        <v>423</v>
      </c>
      <c r="C9" s="2" t="s">
        <v>417</v>
      </c>
      <c r="D9" s="2">
        <v>63</v>
      </c>
      <c r="E9" s="2">
        <v>48</v>
      </c>
      <c r="F9" s="2"/>
    </row>
    <row r="10" spans="1:6">
      <c r="A10" s="8">
        <v>42381</v>
      </c>
      <c r="B10" s="2" t="s">
        <v>423</v>
      </c>
      <c r="C10" s="2" t="s">
        <v>418</v>
      </c>
      <c r="D10" s="2">
        <v>37</v>
      </c>
      <c r="E10" s="2">
        <v>331</v>
      </c>
      <c r="F10" s="2"/>
    </row>
    <row r="11" spans="1:6">
      <c r="A11" s="8">
        <v>42381</v>
      </c>
      <c r="B11" s="2" t="s">
        <v>424</v>
      </c>
      <c r="C11" s="2" t="s">
        <v>419</v>
      </c>
      <c r="D11" s="2">
        <v>70</v>
      </c>
      <c r="E11" s="2">
        <v>433</v>
      </c>
      <c r="F11" s="2"/>
    </row>
    <row r="12" spans="1:6">
      <c r="A12" s="8">
        <v>42381</v>
      </c>
      <c r="B12" s="2" t="s">
        <v>425</v>
      </c>
      <c r="C12" s="2" t="s">
        <v>420</v>
      </c>
      <c r="D12" s="2">
        <v>11</v>
      </c>
      <c r="E12" s="2">
        <v>362</v>
      </c>
      <c r="F12" s="2"/>
    </row>
    <row r="13" spans="1:6">
      <c r="A13" s="8">
        <v>42381</v>
      </c>
      <c r="B13" s="2" t="s">
        <v>425</v>
      </c>
      <c r="C13" s="2" t="s">
        <v>420</v>
      </c>
      <c r="D13" s="2">
        <v>28</v>
      </c>
      <c r="E13" s="2">
        <v>2</v>
      </c>
      <c r="F13" s="2" t="s">
        <v>426</v>
      </c>
    </row>
    <row r="14" spans="1:6">
      <c r="A14" s="8">
        <v>42382</v>
      </c>
      <c r="B14" s="2" t="s">
        <v>423</v>
      </c>
      <c r="C14" s="2" t="s">
        <v>419</v>
      </c>
      <c r="D14" s="2">
        <v>28</v>
      </c>
      <c r="E14" s="2">
        <v>62</v>
      </c>
      <c r="F14" s="2"/>
    </row>
    <row r="15" spans="1:6">
      <c r="A15" s="8">
        <v>42382</v>
      </c>
      <c r="B15" s="2" t="s">
        <v>423</v>
      </c>
      <c r="C15" s="2" t="s">
        <v>419</v>
      </c>
      <c r="D15" s="2">
        <v>42</v>
      </c>
      <c r="E15" s="2">
        <v>3</v>
      </c>
      <c r="F15" s="2" t="s">
        <v>426</v>
      </c>
    </row>
    <row r="16" spans="1:6">
      <c r="A16" s="8">
        <v>42382</v>
      </c>
      <c r="B16" s="2" t="s">
        <v>424</v>
      </c>
      <c r="C16" s="2" t="s">
        <v>420</v>
      </c>
      <c r="D16" s="2">
        <v>67</v>
      </c>
      <c r="E16" s="2">
        <v>76</v>
      </c>
      <c r="F16" s="2"/>
    </row>
    <row r="17" spans="1:6">
      <c r="A17" s="8">
        <v>42382</v>
      </c>
      <c r="B17" s="2" t="s">
        <v>425</v>
      </c>
      <c r="C17" s="2" t="s">
        <v>417</v>
      </c>
      <c r="D17" s="2">
        <v>83</v>
      </c>
      <c r="E17" s="2">
        <v>471</v>
      </c>
      <c r="F17" s="2"/>
    </row>
    <row r="18" spans="1:6">
      <c r="A18" s="8">
        <v>42382</v>
      </c>
      <c r="B18" s="2" t="s">
        <v>425</v>
      </c>
      <c r="C18" s="2" t="s">
        <v>418</v>
      </c>
      <c r="D18" s="2">
        <v>36</v>
      </c>
      <c r="E18" s="2">
        <v>750</v>
      </c>
      <c r="F18" s="2"/>
    </row>
    <row r="19" spans="1:6">
      <c r="A19" s="8">
        <v>42383</v>
      </c>
      <c r="B19" s="2" t="s">
        <v>423</v>
      </c>
      <c r="C19" s="2" t="s">
        <v>419</v>
      </c>
      <c r="D19" s="2">
        <v>13</v>
      </c>
      <c r="E19" s="2">
        <v>914</v>
      </c>
      <c r="F19" s="2"/>
    </row>
    <row r="20" spans="1:6">
      <c r="A20" s="8">
        <v>42383</v>
      </c>
      <c r="B20" s="2" t="s">
        <v>424</v>
      </c>
      <c r="C20" s="2" t="s">
        <v>417</v>
      </c>
      <c r="D20" s="2">
        <v>97</v>
      </c>
      <c r="E20" s="2">
        <v>790</v>
      </c>
      <c r="F20" s="2"/>
    </row>
    <row r="21" spans="1:6">
      <c r="A21" s="8">
        <v>42383</v>
      </c>
      <c r="B21" s="2" t="s">
        <v>424</v>
      </c>
      <c r="C21" s="2" t="s">
        <v>418</v>
      </c>
      <c r="D21" s="2">
        <v>91</v>
      </c>
      <c r="E21" s="2">
        <v>356</v>
      </c>
      <c r="F21" s="2"/>
    </row>
    <row r="22" spans="1:6">
      <c r="A22" s="8">
        <v>42383</v>
      </c>
      <c r="B22" s="2" t="s">
        <v>425</v>
      </c>
      <c r="C22" s="2" t="s">
        <v>419</v>
      </c>
      <c r="D22" s="2">
        <v>5</v>
      </c>
      <c r="E22" s="2">
        <v>336</v>
      </c>
      <c r="F22" s="2"/>
    </row>
    <row r="23" spans="1:6">
      <c r="A23" s="8">
        <v>42383</v>
      </c>
      <c r="B23" s="2" t="s">
        <v>425</v>
      </c>
      <c r="C23" s="2" t="s">
        <v>419</v>
      </c>
      <c r="D23" s="2">
        <v>14</v>
      </c>
      <c r="E23" s="2">
        <v>4</v>
      </c>
      <c r="F23" s="2" t="s">
        <v>426</v>
      </c>
    </row>
    <row r="24" spans="1:6">
      <c r="A24" s="8">
        <v>42384</v>
      </c>
      <c r="B24" s="2" t="s">
        <v>423</v>
      </c>
      <c r="C24" s="2" t="s">
        <v>417</v>
      </c>
      <c r="D24" s="2">
        <v>16</v>
      </c>
      <c r="E24" s="2">
        <v>322</v>
      </c>
      <c r="F24" s="2"/>
    </row>
    <row r="25" spans="1:6">
      <c r="A25" s="8">
        <v>42384</v>
      </c>
      <c r="B25" s="2" t="s">
        <v>423</v>
      </c>
      <c r="C25" s="2" t="s">
        <v>418</v>
      </c>
      <c r="D25" s="2">
        <v>32</v>
      </c>
      <c r="E25" s="2">
        <v>247</v>
      </c>
      <c r="F25" s="2"/>
    </row>
    <row r="26" spans="1:6">
      <c r="A26" s="8">
        <v>42384</v>
      </c>
      <c r="B26" s="2" t="s">
        <v>424</v>
      </c>
      <c r="C26" s="2" t="s">
        <v>419</v>
      </c>
      <c r="D26" s="2">
        <v>11</v>
      </c>
      <c r="E26" s="2">
        <v>365</v>
      </c>
      <c r="F26" s="2"/>
    </row>
    <row r="27" spans="1:6">
      <c r="A27" s="8">
        <v>42384</v>
      </c>
      <c r="B27" s="2" t="s">
        <v>425</v>
      </c>
      <c r="C27" s="2" t="s">
        <v>420</v>
      </c>
      <c r="D27" s="2">
        <v>85</v>
      </c>
      <c r="E27" s="2">
        <v>423</v>
      </c>
      <c r="F27" s="2"/>
    </row>
    <row r="28" spans="1:6">
      <c r="A28" s="8">
        <v>42385</v>
      </c>
      <c r="B28" s="2" t="s">
        <v>423</v>
      </c>
      <c r="C28" s="2" t="s">
        <v>419</v>
      </c>
      <c r="D28" s="2">
        <v>94</v>
      </c>
      <c r="E28" s="2">
        <v>177</v>
      </c>
      <c r="F28" s="2"/>
    </row>
    <row r="29" spans="1:6">
      <c r="A29" s="8">
        <v>42385</v>
      </c>
      <c r="B29" s="2" t="s">
        <v>424</v>
      </c>
      <c r="C29" s="2" t="s">
        <v>420</v>
      </c>
      <c r="D29" s="2">
        <v>56</v>
      </c>
      <c r="E29" s="2">
        <v>209</v>
      </c>
      <c r="F29" s="2"/>
    </row>
    <row r="30" spans="1:6">
      <c r="A30" s="8">
        <v>42385</v>
      </c>
      <c r="B30" s="2" t="s">
        <v>425</v>
      </c>
      <c r="C30" s="2" t="s">
        <v>417</v>
      </c>
      <c r="D30" s="2">
        <v>44</v>
      </c>
      <c r="E30" s="2">
        <v>5</v>
      </c>
      <c r="F30" s="2" t="s">
        <v>426</v>
      </c>
    </row>
    <row r="31" spans="1:6">
      <c r="A31" s="8">
        <v>42385</v>
      </c>
      <c r="B31" s="2" t="s">
        <v>425</v>
      </c>
      <c r="C31" s="2" t="s">
        <v>418</v>
      </c>
      <c r="D31" s="2">
        <v>51</v>
      </c>
      <c r="E31" s="2">
        <v>908</v>
      </c>
      <c r="F31" s="2"/>
    </row>
    <row r="32" spans="1:6">
      <c r="A32" s="8">
        <v>42386</v>
      </c>
      <c r="B32" s="2" t="s">
        <v>423</v>
      </c>
      <c r="C32" s="2" t="s">
        <v>419</v>
      </c>
      <c r="D32" s="2">
        <v>11</v>
      </c>
      <c r="E32" s="2">
        <v>626</v>
      </c>
      <c r="F32" s="2"/>
    </row>
    <row r="33" spans="1:10">
      <c r="A33" s="8">
        <v>42386</v>
      </c>
      <c r="B33" s="2" t="s">
        <v>424</v>
      </c>
      <c r="C33" s="2" t="s">
        <v>420</v>
      </c>
      <c r="D33" s="2">
        <v>38</v>
      </c>
      <c r="E33" s="2">
        <v>874</v>
      </c>
      <c r="F33" s="2"/>
    </row>
    <row r="34" spans="1:10">
      <c r="A34" s="8">
        <v>42386</v>
      </c>
      <c r="B34" s="2" t="s">
        <v>425</v>
      </c>
      <c r="C34" s="2" t="s">
        <v>417</v>
      </c>
      <c r="D34" s="2">
        <v>74</v>
      </c>
      <c r="E34" s="2">
        <v>359</v>
      </c>
      <c r="F34" s="2"/>
    </row>
    <row r="35" spans="1:10">
      <c r="A35" s="8">
        <v>42386</v>
      </c>
      <c r="B35" s="2" t="s">
        <v>425</v>
      </c>
      <c r="C35" s="2" t="s">
        <v>418</v>
      </c>
      <c r="D35" s="2">
        <v>95</v>
      </c>
      <c r="E35" s="2">
        <v>767</v>
      </c>
      <c r="F35" s="2"/>
    </row>
    <row r="37" spans="1:10">
      <c r="A37" s="1" t="s">
        <v>427</v>
      </c>
    </row>
    <row r="38" spans="1:10">
      <c r="A38" s="9" t="s">
        <v>428</v>
      </c>
      <c r="B38" s="88" t="s">
        <v>429</v>
      </c>
      <c r="C38" s="9" t="s">
        <v>430</v>
      </c>
      <c r="D38" s="10" t="s">
        <v>431</v>
      </c>
      <c r="E38" s="11" t="s">
        <v>432</v>
      </c>
      <c r="F38" s="11" t="s">
        <v>433</v>
      </c>
    </row>
    <row r="39" spans="1:10">
      <c r="A39" s="2" t="s">
        <v>3</v>
      </c>
      <c r="B39" s="2" t="str">
        <f t="shared" ref="B39:B46" si="0">UPPER(SUBSTITUTE(A39, 0, 9))</f>
        <v>Y291K</v>
      </c>
      <c r="C39" s="2" t="s">
        <v>434</v>
      </c>
      <c r="D39" s="12">
        <v>45</v>
      </c>
      <c r="E39" s="13">
        <f t="shared" ref="E39:E46" si="1">VLOOKUP(RIGHT(B39, 1), $H$42:$J$46, 2, FALSE) * D39 - D39 * VLOOKUP(RIGHT(B39, 1), $H$42:$J$46, 2, FALSE) * VLOOKUP(RIGHT(B39, 1), $H$42:$J$46, 3, FALSE)</f>
        <v>128250</v>
      </c>
      <c r="F39" s="12">
        <f t="shared" ref="F39:F46" si="2">fn이익금(E39, C39, D39)</f>
        <v>38475</v>
      </c>
    </row>
    <row r="40" spans="1:10">
      <c r="A40" s="2" t="s">
        <v>4</v>
      </c>
      <c r="B40" s="2" t="str">
        <f t="shared" si="0"/>
        <v>B459N</v>
      </c>
      <c r="C40" s="2" t="s">
        <v>435</v>
      </c>
      <c r="D40" s="12">
        <v>89</v>
      </c>
      <c r="E40" s="13">
        <f t="shared" si="1"/>
        <v>372465</v>
      </c>
      <c r="F40" s="12">
        <f t="shared" si="2"/>
        <v>111739.50000000003</v>
      </c>
      <c r="H40" s="1" t="s">
        <v>436</v>
      </c>
    </row>
    <row r="41" spans="1:10">
      <c r="A41" s="2" t="s">
        <v>5</v>
      </c>
      <c r="B41" s="2" t="str">
        <f t="shared" si="0"/>
        <v>Y293D</v>
      </c>
      <c r="C41" s="2" t="s">
        <v>437</v>
      </c>
      <c r="D41" s="12">
        <v>230</v>
      </c>
      <c r="E41" s="13">
        <f t="shared" si="1"/>
        <v>338100</v>
      </c>
      <c r="F41" s="12">
        <f t="shared" si="2"/>
        <v>169050</v>
      </c>
      <c r="H41" s="5" t="s">
        <v>438</v>
      </c>
      <c r="I41" s="14" t="s">
        <v>439</v>
      </c>
      <c r="J41" s="14" t="s">
        <v>440</v>
      </c>
    </row>
    <row r="42" spans="1:10">
      <c r="A42" s="2" t="s">
        <v>6</v>
      </c>
      <c r="B42" s="2" t="str">
        <f t="shared" si="0"/>
        <v>Y912G</v>
      </c>
      <c r="C42" s="2" t="s">
        <v>441</v>
      </c>
      <c r="D42" s="12">
        <v>30</v>
      </c>
      <c r="E42" s="13">
        <f t="shared" si="1"/>
        <v>151200</v>
      </c>
      <c r="F42" s="12">
        <f t="shared" si="2"/>
        <v>45360</v>
      </c>
      <c r="H42" s="5" t="s">
        <v>442</v>
      </c>
      <c r="I42" s="14">
        <v>3000</v>
      </c>
      <c r="J42" s="15">
        <v>0.05</v>
      </c>
    </row>
    <row r="43" spans="1:10">
      <c r="A43" s="2" t="s">
        <v>7</v>
      </c>
      <c r="B43" s="2" t="str">
        <f t="shared" si="0"/>
        <v>Y395K</v>
      </c>
      <c r="C43" s="2" t="s">
        <v>434</v>
      </c>
      <c r="D43" s="12">
        <v>120</v>
      </c>
      <c r="E43" s="13">
        <f t="shared" si="1"/>
        <v>342000</v>
      </c>
      <c r="F43" s="12">
        <f t="shared" si="2"/>
        <v>102600.00000000003</v>
      </c>
      <c r="H43" s="5" t="s">
        <v>443</v>
      </c>
      <c r="I43" s="14">
        <v>4500</v>
      </c>
      <c r="J43" s="15">
        <v>7.0000000000000007E-2</v>
      </c>
    </row>
    <row r="44" spans="1:10">
      <c r="A44" s="2" t="s">
        <v>8</v>
      </c>
      <c r="B44" s="2" t="str">
        <f t="shared" si="0"/>
        <v>Y365Y</v>
      </c>
      <c r="C44" s="2" t="s">
        <v>444</v>
      </c>
      <c r="D44" s="12">
        <v>120</v>
      </c>
      <c r="E44" s="13">
        <f t="shared" si="1"/>
        <v>360960</v>
      </c>
      <c r="F44" s="12">
        <f t="shared" si="2"/>
        <v>180480</v>
      </c>
      <c r="H44" s="5" t="s">
        <v>445</v>
      </c>
      <c r="I44" s="14">
        <v>1500</v>
      </c>
      <c r="J44" s="15">
        <v>0.02</v>
      </c>
    </row>
    <row r="45" spans="1:10">
      <c r="A45" s="2" t="s">
        <v>9</v>
      </c>
      <c r="B45" s="2" t="str">
        <f t="shared" si="0"/>
        <v>B394N</v>
      </c>
      <c r="C45" s="2" t="s">
        <v>435</v>
      </c>
      <c r="D45" s="12">
        <v>325</v>
      </c>
      <c r="E45" s="13">
        <f t="shared" si="1"/>
        <v>1360125</v>
      </c>
      <c r="F45" s="12">
        <f t="shared" si="2"/>
        <v>408037.50000000012</v>
      </c>
      <c r="H45" s="5" t="s">
        <v>446</v>
      </c>
      <c r="I45" s="6">
        <v>5600</v>
      </c>
      <c r="J45" s="15">
        <v>0.1</v>
      </c>
    </row>
    <row r="46" spans="1:10">
      <c r="A46" s="2" t="s">
        <v>10</v>
      </c>
      <c r="B46" s="2" t="str">
        <f t="shared" si="0"/>
        <v>B123D</v>
      </c>
      <c r="C46" s="2" t="s">
        <v>437</v>
      </c>
      <c r="D46" s="12">
        <v>60</v>
      </c>
      <c r="E46" s="13">
        <f t="shared" si="1"/>
        <v>88200</v>
      </c>
      <c r="F46" s="12">
        <f t="shared" si="2"/>
        <v>26460.000000000007</v>
      </c>
      <c r="H46" s="5" t="s">
        <v>447</v>
      </c>
      <c r="I46" s="6">
        <v>3200</v>
      </c>
      <c r="J46" s="15">
        <v>0.06</v>
      </c>
    </row>
    <row r="48" spans="1:10">
      <c r="C48" s="81"/>
    </row>
  </sheetData>
  <phoneticPr fontId="4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36"/>
  <sheetViews>
    <sheetView workbookViewId="0">
      <selection activeCell="B35" sqref="B35"/>
    </sheetView>
  </sheetViews>
  <sheetFormatPr defaultRowHeight="16.5"/>
  <cols>
    <col min="1" max="1" width="7.375" bestFit="1" customWidth="1"/>
    <col min="2" max="2" width="12.375" customWidth="1"/>
    <col min="3" max="4" width="13.875" bestFit="1" customWidth="1"/>
    <col min="5" max="5" width="13.25" customWidth="1"/>
    <col min="6" max="6" width="12.875" customWidth="1"/>
    <col min="7" max="7" width="10.25" customWidth="1"/>
    <col min="8" max="8" width="7.875" bestFit="1" customWidth="1"/>
    <col min="9" max="9" width="9.25" bestFit="1" customWidth="1"/>
  </cols>
  <sheetData>
    <row r="1" spans="1:11">
      <c r="A1" s="16" t="s">
        <v>411</v>
      </c>
      <c r="B1" s="17" t="s">
        <v>448</v>
      </c>
      <c r="C1" s="87"/>
      <c r="D1" s="87"/>
      <c r="E1" s="87"/>
      <c r="F1" s="87"/>
      <c r="G1" s="4"/>
      <c r="H1" s="4"/>
      <c r="I1" s="4"/>
      <c r="J1" s="4"/>
      <c r="K1" s="4"/>
    </row>
    <row r="2" spans="1:11">
      <c r="A2" s="18" t="s">
        <v>449</v>
      </c>
      <c r="B2" s="5" t="s">
        <v>450</v>
      </c>
      <c r="C2" s="10" t="s">
        <v>451</v>
      </c>
      <c r="D2" s="19" t="s">
        <v>452</v>
      </c>
      <c r="E2" s="89" t="s">
        <v>453</v>
      </c>
      <c r="F2" s="11" t="s">
        <v>454</v>
      </c>
      <c r="G2" s="11" t="s">
        <v>455</v>
      </c>
      <c r="H2" s="4"/>
      <c r="I2" s="4"/>
      <c r="J2" s="4"/>
      <c r="K2" s="4"/>
    </row>
    <row r="3" spans="1:11">
      <c r="A3" s="10" t="s">
        <v>456</v>
      </c>
      <c r="B3" s="5" t="s">
        <v>457</v>
      </c>
      <c r="C3" s="20">
        <v>85</v>
      </c>
      <c r="D3" s="20">
        <v>85</v>
      </c>
      <c r="E3" s="20">
        <v>94</v>
      </c>
      <c r="F3" s="20">
        <f ca="1">SUMPRODUCT(C3:E3, OFFSET($A$13, MATCH(B3, $A$14:$A$16, 0), 1, 1, 3))</f>
        <v>96.2</v>
      </c>
      <c r="G3" s="10" t="str">
        <f ca="1">LOOKUP(F3, $F$14:$F$18,$G$14:$G$18)</f>
        <v>A</v>
      </c>
      <c r="H3" s="4"/>
      <c r="I3" s="4"/>
      <c r="J3" s="4"/>
      <c r="K3" s="4"/>
    </row>
    <row r="4" spans="1:11">
      <c r="A4" s="2" t="s">
        <v>458</v>
      </c>
      <c r="B4" s="5" t="s">
        <v>459</v>
      </c>
      <c r="C4" s="20">
        <v>95</v>
      </c>
      <c r="D4" s="20">
        <v>74</v>
      </c>
      <c r="E4" s="20">
        <v>78</v>
      </c>
      <c r="F4" s="20">
        <f ca="1">SUMPRODUCT(C4:E4, OFFSET($A$13, MATCH(B4, $A$14:$A$16, 0), 1, 1, 3))</f>
        <v>81.900000000000006</v>
      </c>
      <c r="G4" s="10" t="str">
        <f t="shared" ref="G4:G10" ca="1" si="0">LOOKUP(F4, $F$14:$F$18,$G$14:$G$18)</f>
        <v>B</v>
      </c>
      <c r="H4" s="4"/>
      <c r="I4" s="4"/>
      <c r="J4" s="4"/>
      <c r="K4" s="4"/>
    </row>
    <row r="5" spans="1:11">
      <c r="A5" s="10" t="s">
        <v>460</v>
      </c>
      <c r="B5" s="5" t="s">
        <v>461</v>
      </c>
      <c r="C5" s="20">
        <v>95</v>
      </c>
      <c r="D5" s="20">
        <v>90</v>
      </c>
      <c r="E5" s="20">
        <v>97</v>
      </c>
      <c r="F5" s="20">
        <f t="shared" ref="F5:F10" ca="1" si="1">SUMPRODUCT(C5:E5, OFFSET($A$13, MATCH(B5, $A$14:$A$16, 0), 1, 1, 3))</f>
        <v>92.9</v>
      </c>
      <c r="G5" s="10" t="str">
        <f t="shared" ca="1" si="0"/>
        <v>A</v>
      </c>
      <c r="H5" s="4"/>
      <c r="I5" s="4"/>
      <c r="J5" s="4"/>
      <c r="K5" s="4"/>
    </row>
    <row r="6" spans="1:11">
      <c r="A6" s="10" t="s">
        <v>462</v>
      </c>
      <c r="B6" s="5" t="s">
        <v>461</v>
      </c>
      <c r="C6" s="20">
        <v>100</v>
      </c>
      <c r="D6" s="20">
        <v>69</v>
      </c>
      <c r="E6" s="20">
        <v>70</v>
      </c>
      <c r="F6" s="20">
        <f t="shared" ca="1" si="1"/>
        <v>78.5</v>
      </c>
      <c r="G6" s="10" t="str">
        <f t="shared" ca="1" si="0"/>
        <v>C</v>
      </c>
      <c r="H6" s="4"/>
      <c r="I6" s="4"/>
      <c r="J6" s="4"/>
      <c r="K6" s="4"/>
    </row>
    <row r="7" spans="1:11">
      <c r="A7" s="10" t="s">
        <v>463</v>
      </c>
      <c r="B7" s="5" t="s">
        <v>459</v>
      </c>
      <c r="C7" s="20">
        <v>65</v>
      </c>
      <c r="D7" s="20">
        <v>93</v>
      </c>
      <c r="E7" s="20">
        <v>82</v>
      </c>
      <c r="F7" s="20">
        <f t="shared" ca="1" si="1"/>
        <v>80.2</v>
      </c>
      <c r="G7" s="10" t="str">
        <f t="shared" ca="1" si="0"/>
        <v>B</v>
      </c>
      <c r="H7" s="4"/>
      <c r="I7" s="4"/>
      <c r="J7" s="4"/>
      <c r="K7" s="4"/>
    </row>
    <row r="8" spans="1:11">
      <c r="A8" s="10" t="s">
        <v>464</v>
      </c>
      <c r="B8" s="5" t="s">
        <v>457</v>
      </c>
      <c r="C8" s="20">
        <v>95</v>
      </c>
      <c r="D8" s="20">
        <v>60</v>
      </c>
      <c r="E8" s="20">
        <v>57</v>
      </c>
      <c r="F8" s="20">
        <f t="shared" ca="1" si="1"/>
        <v>79.099999999999994</v>
      </c>
      <c r="G8" s="10" t="str">
        <f t="shared" ca="1" si="0"/>
        <v>C</v>
      </c>
      <c r="H8" s="4"/>
      <c r="I8" s="4"/>
      <c r="J8" s="4"/>
      <c r="K8" s="4"/>
    </row>
    <row r="9" spans="1:11">
      <c r="A9" s="10" t="s">
        <v>465</v>
      </c>
      <c r="B9" s="5" t="s">
        <v>461</v>
      </c>
      <c r="C9" s="20">
        <v>100</v>
      </c>
      <c r="D9" s="20">
        <v>91</v>
      </c>
      <c r="E9" s="20">
        <v>74</v>
      </c>
      <c r="F9" s="20">
        <f t="shared" ca="1" si="1"/>
        <v>90.3</v>
      </c>
      <c r="G9" s="10" t="str">
        <f t="shared" ca="1" si="0"/>
        <v>A</v>
      </c>
      <c r="H9" s="4"/>
      <c r="I9" s="4"/>
      <c r="J9" s="4"/>
      <c r="K9" s="4"/>
    </row>
    <row r="10" spans="1:11">
      <c r="A10" s="10" t="s">
        <v>466</v>
      </c>
      <c r="B10" s="5" t="s">
        <v>459</v>
      </c>
      <c r="C10" s="20">
        <v>90</v>
      </c>
      <c r="D10" s="20">
        <v>64</v>
      </c>
      <c r="E10" s="20">
        <v>80</v>
      </c>
      <c r="F10" s="20">
        <f t="shared" ca="1" si="1"/>
        <v>78.2</v>
      </c>
      <c r="G10" s="10" t="str">
        <f t="shared" ca="1" si="0"/>
        <v>C</v>
      </c>
      <c r="H10" s="4"/>
      <c r="I10" s="4"/>
      <c r="J10" s="4"/>
      <c r="K10" s="4"/>
    </row>
    <row r="11" spans="1:11">
      <c r="A11" s="21"/>
      <c r="B11" s="21"/>
      <c r="C11" s="21"/>
      <c r="D11" s="21"/>
      <c r="E11" s="21"/>
      <c r="F11" s="21"/>
      <c r="G11" s="21"/>
      <c r="H11" s="21"/>
      <c r="I11" s="21"/>
      <c r="J11" s="4"/>
      <c r="K11" s="4"/>
    </row>
    <row r="12" spans="1:11">
      <c r="A12" s="191" t="s">
        <v>467</v>
      </c>
      <c r="B12" s="191"/>
      <c r="C12" s="191"/>
      <c r="D12" s="191"/>
      <c r="E12" s="21"/>
      <c r="F12" s="4" t="s">
        <v>412</v>
      </c>
      <c r="G12" s="4" t="s">
        <v>468</v>
      </c>
      <c r="H12" s="21"/>
      <c r="I12" s="4"/>
      <c r="J12" s="4"/>
      <c r="K12" s="4"/>
    </row>
    <row r="13" spans="1:11">
      <c r="A13" s="10" t="s">
        <v>469</v>
      </c>
      <c r="B13" s="10" t="s">
        <v>451</v>
      </c>
      <c r="C13" s="10" t="s">
        <v>452</v>
      </c>
      <c r="D13" s="10" t="s">
        <v>470</v>
      </c>
      <c r="E13" s="21"/>
      <c r="F13" s="20" t="s">
        <v>454</v>
      </c>
      <c r="G13" s="20" t="s">
        <v>455</v>
      </c>
      <c r="H13" s="11" t="s">
        <v>471</v>
      </c>
      <c r="I13" s="4"/>
      <c r="J13" s="4"/>
      <c r="K13" s="4"/>
    </row>
    <row r="14" spans="1:11">
      <c r="A14" s="5" t="s">
        <v>459</v>
      </c>
      <c r="B14" s="22">
        <v>0.3</v>
      </c>
      <c r="C14" s="22">
        <v>0.3</v>
      </c>
      <c r="D14" s="22">
        <v>0.4</v>
      </c>
      <c r="E14" s="21"/>
      <c r="F14" s="6">
        <v>60</v>
      </c>
      <c r="G14" s="6" t="s">
        <v>472</v>
      </c>
      <c r="H14" s="23" t="str">
        <f t="array" aca="1" ref="H14:H18" ca="1">TEXT(FREQUENCY(F3:F10, F14:F18), "0개")</f>
        <v>0개</v>
      </c>
      <c r="I14" s="4"/>
      <c r="J14" s="4"/>
      <c r="K14" s="4"/>
    </row>
    <row r="15" spans="1:11">
      <c r="A15" s="5" t="s">
        <v>457</v>
      </c>
      <c r="B15" s="90">
        <v>0.4</v>
      </c>
      <c r="C15" s="90">
        <v>0.4</v>
      </c>
      <c r="D15" s="90">
        <v>0.3</v>
      </c>
      <c r="E15" s="4"/>
      <c r="F15" s="6">
        <v>70</v>
      </c>
      <c r="G15" s="6" t="s">
        <v>473</v>
      </c>
      <c r="H15" s="23" t="str">
        <f ca="1"/>
        <v>0개</v>
      </c>
      <c r="I15" s="4"/>
      <c r="J15" s="4"/>
      <c r="K15" s="4"/>
    </row>
    <row r="16" spans="1:11">
      <c r="A16" s="5" t="s">
        <v>461</v>
      </c>
      <c r="B16" s="90">
        <v>0.3</v>
      </c>
      <c r="C16" s="90">
        <v>0.5</v>
      </c>
      <c r="D16" s="90">
        <v>0.2</v>
      </c>
      <c r="E16" s="4"/>
      <c r="F16" s="6">
        <v>80</v>
      </c>
      <c r="G16" s="6" t="s">
        <v>474</v>
      </c>
      <c r="H16" s="23" t="str">
        <f ca="1"/>
        <v>3개</v>
      </c>
      <c r="I16" s="4"/>
      <c r="J16" s="4"/>
      <c r="K16" s="4"/>
    </row>
    <row r="17" spans="1:11">
      <c r="A17" s="4"/>
      <c r="B17" s="4"/>
      <c r="C17" s="4"/>
      <c r="D17" s="4"/>
      <c r="E17" s="4"/>
      <c r="F17" s="6">
        <v>90</v>
      </c>
      <c r="G17" s="6" t="s">
        <v>475</v>
      </c>
      <c r="H17" s="23" t="str">
        <f ca="1"/>
        <v>2개</v>
      </c>
      <c r="I17" s="4"/>
      <c r="J17" s="4"/>
      <c r="K17" s="4"/>
    </row>
    <row r="18" spans="1:11">
      <c r="A18" s="4"/>
      <c r="B18" s="4"/>
      <c r="C18" s="4"/>
      <c r="D18" s="4"/>
      <c r="E18" s="4"/>
      <c r="F18" s="6">
        <v>100</v>
      </c>
      <c r="G18" s="6" t="s">
        <v>476</v>
      </c>
      <c r="H18" s="23" t="str">
        <f ca="1"/>
        <v>3개</v>
      </c>
      <c r="I18" s="4"/>
      <c r="J18" s="4"/>
      <c r="K18" s="4"/>
    </row>
    <row r="19" spans="1:11">
      <c r="A19" s="16" t="s">
        <v>477</v>
      </c>
      <c r="B19" s="91" t="s">
        <v>478</v>
      </c>
      <c r="C19" s="24"/>
      <c r="D19" s="24"/>
      <c r="E19" s="24"/>
      <c r="F19" s="24"/>
      <c r="G19" s="4"/>
      <c r="H19" s="4"/>
      <c r="I19" s="4"/>
      <c r="J19" s="4"/>
      <c r="K19" s="4"/>
    </row>
    <row r="20" spans="1:11">
      <c r="A20" s="5" t="s">
        <v>479</v>
      </c>
      <c r="B20" s="9" t="s">
        <v>15</v>
      </c>
      <c r="C20" s="9" t="s">
        <v>480</v>
      </c>
      <c r="D20" s="9" t="s">
        <v>481</v>
      </c>
      <c r="E20" s="9" t="s">
        <v>482</v>
      </c>
      <c r="F20" s="5" t="s">
        <v>483</v>
      </c>
      <c r="G20" s="11" t="s">
        <v>484</v>
      </c>
      <c r="H20" s="4"/>
      <c r="I20" s="4"/>
      <c r="J20" s="4"/>
      <c r="K20" s="4"/>
    </row>
    <row r="21" spans="1:11">
      <c r="A21" s="5" t="s">
        <v>485</v>
      </c>
      <c r="B21" s="5" t="s">
        <v>486</v>
      </c>
      <c r="C21" s="25">
        <v>34</v>
      </c>
      <c r="D21" s="25">
        <v>34000</v>
      </c>
      <c r="E21" s="25">
        <v>30</v>
      </c>
      <c r="F21" s="25">
        <v>30000</v>
      </c>
      <c r="G21" s="26">
        <f>총판매액(D21, F21)</f>
        <v>64000</v>
      </c>
      <c r="H21" s="4"/>
      <c r="I21" s="4"/>
      <c r="J21" s="4"/>
      <c r="K21" s="4"/>
    </row>
    <row r="22" spans="1:11">
      <c r="A22" s="5" t="s">
        <v>485</v>
      </c>
      <c r="B22" s="5" t="s">
        <v>487</v>
      </c>
      <c r="C22" s="25">
        <v>34</v>
      </c>
      <c r="D22" s="25">
        <v>61200</v>
      </c>
      <c r="E22" s="25">
        <v>78</v>
      </c>
      <c r="F22" s="25">
        <v>140400</v>
      </c>
      <c r="G22" s="26">
        <f t="shared" ref="G22:G29" si="2">총판매액(D22, F22)</f>
        <v>201600</v>
      </c>
      <c r="H22" s="4"/>
      <c r="I22" s="4"/>
      <c r="J22" s="4"/>
      <c r="K22" s="4"/>
    </row>
    <row r="23" spans="1:11">
      <c r="A23" s="5" t="s">
        <v>488</v>
      </c>
      <c r="B23" s="5" t="s">
        <v>486</v>
      </c>
      <c r="C23" s="25">
        <v>68</v>
      </c>
      <c r="D23" s="25">
        <v>68000</v>
      </c>
      <c r="E23" s="25">
        <v>50</v>
      </c>
      <c r="F23" s="25">
        <v>50000</v>
      </c>
      <c r="G23" s="26">
        <f t="shared" si="2"/>
        <v>118000</v>
      </c>
      <c r="H23" s="4"/>
      <c r="I23" s="4"/>
      <c r="J23" s="4"/>
      <c r="K23" s="4"/>
    </row>
    <row r="24" spans="1:11">
      <c r="A24" s="5" t="s">
        <v>489</v>
      </c>
      <c r="B24" s="5" t="s">
        <v>486</v>
      </c>
      <c r="C24" s="25">
        <v>70</v>
      </c>
      <c r="D24" s="25">
        <v>70000</v>
      </c>
      <c r="E24" s="25">
        <v>67</v>
      </c>
      <c r="F24" s="25">
        <v>67000</v>
      </c>
      <c r="G24" s="26">
        <f t="shared" si="2"/>
        <v>137000</v>
      </c>
      <c r="H24" s="4"/>
      <c r="I24" s="4"/>
      <c r="J24" s="4"/>
      <c r="K24" s="4"/>
    </row>
    <row r="25" spans="1:11">
      <c r="A25" s="5" t="s">
        <v>490</v>
      </c>
      <c r="B25" s="5" t="s">
        <v>491</v>
      </c>
      <c r="C25" s="25">
        <v>54</v>
      </c>
      <c r="D25" s="25">
        <v>81000</v>
      </c>
      <c r="E25" s="25">
        <v>50</v>
      </c>
      <c r="F25" s="25">
        <v>75000</v>
      </c>
      <c r="G25" s="26">
        <f t="shared" si="2"/>
        <v>156000</v>
      </c>
      <c r="H25" s="4"/>
      <c r="I25" s="4"/>
      <c r="J25" s="4"/>
      <c r="K25" s="4"/>
    </row>
    <row r="26" spans="1:11">
      <c r="A26" s="5" t="s">
        <v>492</v>
      </c>
      <c r="B26" s="5" t="s">
        <v>17</v>
      </c>
      <c r="C26" s="25">
        <v>56</v>
      </c>
      <c r="D26" s="25">
        <v>84000</v>
      </c>
      <c r="E26" s="25">
        <v>67</v>
      </c>
      <c r="F26" s="25">
        <v>100500</v>
      </c>
      <c r="G26" s="26">
        <f t="shared" si="2"/>
        <v>184500</v>
      </c>
      <c r="H26" s="4"/>
      <c r="I26" s="4"/>
      <c r="J26" s="4"/>
      <c r="K26" s="4"/>
    </row>
    <row r="27" spans="1:11">
      <c r="A27" s="5" t="s">
        <v>490</v>
      </c>
      <c r="B27" s="5" t="s">
        <v>491</v>
      </c>
      <c r="C27" s="25">
        <v>56</v>
      </c>
      <c r="D27" s="25">
        <v>84000</v>
      </c>
      <c r="E27" s="25">
        <v>56</v>
      </c>
      <c r="F27" s="25">
        <v>84000</v>
      </c>
      <c r="G27" s="26">
        <f t="shared" si="2"/>
        <v>168000</v>
      </c>
      <c r="H27" s="4"/>
      <c r="I27" s="4"/>
      <c r="J27" s="4"/>
      <c r="K27" s="4"/>
    </row>
    <row r="28" spans="1:11">
      <c r="A28" s="5" t="s">
        <v>493</v>
      </c>
      <c r="B28" s="5" t="s">
        <v>494</v>
      </c>
      <c r="C28" s="25">
        <v>85</v>
      </c>
      <c r="D28" s="25">
        <v>85000</v>
      </c>
      <c r="E28" s="25">
        <v>80</v>
      </c>
      <c r="F28" s="25">
        <v>80000</v>
      </c>
      <c r="G28" s="26">
        <f t="shared" si="2"/>
        <v>165000</v>
      </c>
      <c r="H28" s="4"/>
      <c r="I28" s="4"/>
      <c r="J28" s="4"/>
      <c r="K28" s="4"/>
    </row>
    <row r="29" spans="1:11">
      <c r="A29" s="5" t="s">
        <v>490</v>
      </c>
      <c r="B29" s="5" t="s">
        <v>18</v>
      </c>
      <c r="C29" s="25">
        <v>87</v>
      </c>
      <c r="D29" s="25">
        <v>87000</v>
      </c>
      <c r="E29" s="25">
        <v>75</v>
      </c>
      <c r="F29" s="25">
        <v>75000</v>
      </c>
      <c r="G29" s="26">
        <f t="shared" si="2"/>
        <v>162000</v>
      </c>
      <c r="H29" s="4"/>
      <c r="I29" s="4"/>
      <c r="J29" s="4"/>
      <c r="K29" s="4"/>
    </row>
    <row r="30" spans="1:11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</row>
    <row r="31" spans="1:11">
      <c r="A31" s="5" t="s">
        <v>495</v>
      </c>
      <c r="B31" s="88" t="s">
        <v>496</v>
      </c>
      <c r="C31" s="4"/>
      <c r="D31" s="4"/>
      <c r="E31" s="4"/>
      <c r="F31" s="4"/>
      <c r="G31" s="4"/>
      <c r="H31" s="4"/>
      <c r="I31" s="4"/>
      <c r="J31" s="4"/>
      <c r="K31" s="4"/>
    </row>
    <row r="32" spans="1:11">
      <c r="A32" s="5" t="s">
        <v>492</v>
      </c>
      <c r="B32" s="27">
        <f t="array" ref="B32">MIN(MAX(($A$21:$A$29 = A32) * $D$21:$D$29), MAX(($A$21:$A$29 = A32) * $F$21:$F$29))</f>
        <v>84000</v>
      </c>
      <c r="C32" s="4"/>
      <c r="D32" s="4"/>
      <c r="E32" s="4"/>
      <c r="F32" s="4"/>
      <c r="G32" s="4"/>
      <c r="H32" s="4"/>
      <c r="I32" s="4"/>
      <c r="J32" s="4"/>
      <c r="K32" s="4"/>
    </row>
    <row r="33" spans="1:11">
      <c r="A33" s="5" t="s">
        <v>497</v>
      </c>
      <c r="B33" s="27">
        <f t="array" ref="B33">MIN(MAX(($A$21:$A$29 = A33) * $D$21:$D$29), MAX(($A$21:$A$29 = A33) * $F$21:$F$29))</f>
        <v>61200</v>
      </c>
      <c r="C33" s="4"/>
      <c r="D33" s="4"/>
      <c r="E33" s="4"/>
      <c r="F33" s="4"/>
      <c r="G33" s="4"/>
      <c r="H33" s="4"/>
      <c r="I33" s="4"/>
      <c r="J33" s="4"/>
      <c r="K33" s="4"/>
    </row>
    <row r="34" spans="1:11">
      <c r="A34" s="5" t="s">
        <v>493</v>
      </c>
      <c r="B34" s="27">
        <f t="array" ref="B34">MIN(MAX(($A$21:$A$29 = A34) * $D$21:$D$29), MAX(($A$21:$A$29 = A34) * $F$21:$F$29))</f>
        <v>80000</v>
      </c>
      <c r="C34" s="4"/>
      <c r="D34" s="4"/>
      <c r="E34" s="4"/>
      <c r="F34" s="4"/>
      <c r="G34" s="4"/>
      <c r="H34" s="4"/>
      <c r="I34" s="4"/>
      <c r="J34" s="4"/>
      <c r="K34" s="4"/>
    </row>
    <row r="35" spans="1:11">
      <c r="A35" s="5" t="s">
        <v>490</v>
      </c>
      <c r="B35" s="27">
        <f t="array" ref="B35">MIN(MAX(($A$21:$A$29 = A35) * $D$21:$D$29), MAX(($A$21:$A$29 = A35) * $F$21:$F$29))</f>
        <v>84000</v>
      </c>
      <c r="C35" s="4"/>
      <c r="D35" s="4"/>
      <c r="E35" s="4"/>
      <c r="F35" s="4"/>
      <c r="G35" s="4"/>
      <c r="H35" s="4"/>
      <c r="I35" s="4"/>
      <c r="J35" s="4"/>
      <c r="K35" s="4"/>
    </row>
    <row r="36" spans="1:11">
      <c r="A36" s="4"/>
      <c r="B36" s="4"/>
      <c r="C36" s="4"/>
      <c r="D36" s="4"/>
      <c r="E36" s="4"/>
      <c r="F36" s="4"/>
      <c r="G36" s="4"/>
      <c r="H36" s="4"/>
      <c r="I36" s="4"/>
      <c r="J36" s="4"/>
      <c r="K36" s="4"/>
    </row>
  </sheetData>
  <mergeCells count="1">
    <mergeCell ref="A12:D12"/>
  </mergeCells>
  <phoneticPr fontId="4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20"/>
  <sheetViews>
    <sheetView workbookViewId="0">
      <selection activeCell="G17" sqref="G17"/>
    </sheetView>
  </sheetViews>
  <sheetFormatPr defaultRowHeight="16.5"/>
  <cols>
    <col min="1" max="1" width="10.375" style="1" customWidth="1"/>
    <col min="2" max="2" width="9.125" style="1" customWidth="1"/>
    <col min="3" max="3" width="9" style="1" customWidth="1"/>
    <col min="4" max="4" width="6.25" style="1" customWidth="1"/>
    <col min="5" max="5" width="10.5" style="1" customWidth="1"/>
    <col min="6" max="6" width="11.75" style="1" bestFit="1" customWidth="1"/>
    <col min="7" max="7" width="13.75" style="1" bestFit="1" customWidth="1"/>
    <col min="8" max="8" width="12.875" style="1" customWidth="1"/>
    <col min="9" max="9" width="12.875" style="1" bestFit="1" customWidth="1"/>
    <col min="10" max="16384" width="9" style="1"/>
  </cols>
  <sheetData>
    <row r="1" spans="1:9">
      <c r="A1" s="1" t="s">
        <v>19</v>
      </c>
      <c r="B1" s="1" t="s">
        <v>20</v>
      </c>
      <c r="H1" s="1" t="s">
        <v>21</v>
      </c>
      <c r="I1" s="28">
        <v>42569</v>
      </c>
    </row>
    <row r="2" spans="1:9">
      <c r="A2" s="2" t="s">
        <v>22</v>
      </c>
      <c r="B2" s="2" t="s">
        <v>23</v>
      </c>
      <c r="C2" s="2" t="s">
        <v>24</v>
      </c>
      <c r="D2" s="29" t="s">
        <v>25</v>
      </c>
      <c r="E2" s="2" t="s">
        <v>26</v>
      </c>
      <c r="F2" s="3" t="s">
        <v>27</v>
      </c>
      <c r="G2" s="3" t="s">
        <v>28</v>
      </c>
      <c r="H2" s="29" t="s">
        <v>29</v>
      </c>
      <c r="I2" s="3" t="s">
        <v>30</v>
      </c>
    </row>
    <row r="3" spans="1:9">
      <c r="A3" s="2" t="s">
        <v>31</v>
      </c>
      <c r="B3" s="2" t="s">
        <v>32</v>
      </c>
      <c r="C3" s="2" t="s">
        <v>33</v>
      </c>
      <c r="D3" s="2" t="s">
        <v>34</v>
      </c>
      <c r="E3" s="30">
        <v>38122</v>
      </c>
      <c r="F3" s="189">
        <f>INT(DAYS360(E3, $I$1) / 360)</f>
        <v>12</v>
      </c>
      <c r="G3" s="31">
        <f>kb기본급(E3, F3, $B$13)</f>
        <v>1600000</v>
      </c>
      <c r="H3" s="31">
        <v>640000</v>
      </c>
      <c r="I3" s="31">
        <f t="shared" ref="I3:I4" si="0">IF(OR(F3&gt;=10,D3="과장"),(VLOOKUP(F3,$A$17:$B$20,2,TRUE) + 0.05) * G3, VLOOKUP(F3,$A$17:$B$20,2,TRUE) * G3)</f>
        <v>208000</v>
      </c>
    </row>
    <row r="4" spans="1:9">
      <c r="A4" s="2" t="s">
        <v>35</v>
      </c>
      <c r="B4" s="2" t="s">
        <v>36</v>
      </c>
      <c r="C4" s="2" t="s">
        <v>37</v>
      </c>
      <c r="D4" s="2" t="s">
        <v>38</v>
      </c>
      <c r="E4" s="30">
        <v>40339</v>
      </c>
      <c r="F4" s="189">
        <f t="shared" ref="F4:F11" si="1">INT(DAYS360(E4, $I$1) / 360)</f>
        <v>6</v>
      </c>
      <c r="G4" s="31">
        <f t="shared" ref="G4:G11" si="2">kb기본급(E4, F4, $B$13)</f>
        <v>1100000</v>
      </c>
      <c r="H4" s="31">
        <v>375000</v>
      </c>
      <c r="I4" s="31">
        <f t="shared" si="0"/>
        <v>110000</v>
      </c>
    </row>
    <row r="5" spans="1:9">
      <c r="A5" s="2" t="s">
        <v>39</v>
      </c>
      <c r="B5" s="2" t="s">
        <v>40</v>
      </c>
      <c r="C5" s="2" t="s">
        <v>33</v>
      </c>
      <c r="D5" s="2" t="s">
        <v>41</v>
      </c>
      <c r="E5" s="30">
        <v>40471</v>
      </c>
      <c r="F5" s="189">
        <f t="shared" si="1"/>
        <v>5</v>
      </c>
      <c r="G5" s="31">
        <f t="shared" si="2"/>
        <v>1050000</v>
      </c>
      <c r="H5" s="31">
        <v>200000</v>
      </c>
      <c r="I5" s="31">
        <f>IF(OR(F5&gt;=10,D5="과장"),(VLOOKUP(F5,$A$17:$B$20,2,TRUE) + 0.05) * G5, VLOOKUP(F5,$A$17:$B$20,2,TRUE) * G5)</f>
        <v>52500</v>
      </c>
    </row>
    <row r="6" spans="1:9">
      <c r="A6" s="2" t="s">
        <v>42</v>
      </c>
      <c r="B6" s="2" t="s">
        <v>43</v>
      </c>
      <c r="C6" s="2" t="s">
        <v>44</v>
      </c>
      <c r="D6" s="2" t="s">
        <v>34</v>
      </c>
      <c r="E6" s="30">
        <v>38794</v>
      </c>
      <c r="F6" s="189">
        <f t="shared" si="1"/>
        <v>10</v>
      </c>
      <c r="G6" s="31">
        <f t="shared" si="2"/>
        <v>1500000</v>
      </c>
      <c r="H6" s="31">
        <v>560000</v>
      </c>
      <c r="I6" s="31">
        <f t="shared" ref="I6:I11" si="3">IF(OR(F6&gt;=10,D6="과장"),(VLOOKUP(F6,$A$17:$B$20,2,TRUE) + 0.05) * G6, VLOOKUP(F6,$A$17:$B$20,2,TRUE) * G6)</f>
        <v>195000</v>
      </c>
    </row>
    <row r="7" spans="1:9">
      <c r="A7" s="2" t="s">
        <v>45</v>
      </c>
      <c r="B7" s="2" t="s">
        <v>46</v>
      </c>
      <c r="C7" s="2" t="s">
        <v>37</v>
      </c>
      <c r="D7" s="2" t="s">
        <v>41</v>
      </c>
      <c r="E7" s="30">
        <v>40322</v>
      </c>
      <c r="F7" s="189">
        <f t="shared" si="1"/>
        <v>6</v>
      </c>
      <c r="G7" s="31">
        <f t="shared" si="2"/>
        <v>1100000</v>
      </c>
      <c r="H7" s="31">
        <v>190000</v>
      </c>
      <c r="I7" s="31">
        <f t="shared" si="3"/>
        <v>55000</v>
      </c>
    </row>
    <row r="8" spans="1:9">
      <c r="A8" s="2" t="s">
        <v>47</v>
      </c>
      <c r="B8" s="2" t="s">
        <v>48</v>
      </c>
      <c r="C8" s="2" t="s">
        <v>44</v>
      </c>
      <c r="D8" s="2" t="s">
        <v>41</v>
      </c>
      <c r="E8" s="30">
        <v>39741</v>
      </c>
      <c r="F8" s="189">
        <f t="shared" si="1"/>
        <v>7</v>
      </c>
      <c r="G8" s="31">
        <f t="shared" si="2"/>
        <v>1350000</v>
      </c>
      <c r="H8" s="31">
        <v>200000</v>
      </c>
      <c r="I8" s="31">
        <f t="shared" si="3"/>
        <v>67500</v>
      </c>
    </row>
    <row r="9" spans="1:9">
      <c r="A9" s="2" t="s">
        <v>49</v>
      </c>
      <c r="B9" s="2" t="s">
        <v>50</v>
      </c>
      <c r="C9" s="2" t="s">
        <v>33</v>
      </c>
      <c r="D9" s="2" t="s">
        <v>38</v>
      </c>
      <c r="E9" s="30">
        <v>40313</v>
      </c>
      <c r="F9" s="189">
        <f t="shared" si="1"/>
        <v>6</v>
      </c>
      <c r="G9" s="31">
        <f t="shared" si="2"/>
        <v>1100000</v>
      </c>
      <c r="H9" s="31">
        <v>360000</v>
      </c>
      <c r="I9" s="31">
        <f t="shared" si="3"/>
        <v>110000</v>
      </c>
    </row>
    <row r="10" spans="1:9">
      <c r="A10" s="2" t="s">
        <v>51</v>
      </c>
      <c r="B10" s="2" t="s">
        <v>52</v>
      </c>
      <c r="C10" s="2" t="s">
        <v>44</v>
      </c>
      <c r="D10" s="2" t="s">
        <v>38</v>
      </c>
      <c r="E10" s="30">
        <v>41070</v>
      </c>
      <c r="F10" s="189">
        <f t="shared" si="1"/>
        <v>4</v>
      </c>
      <c r="G10" s="31">
        <f t="shared" si="2"/>
        <v>1000000</v>
      </c>
      <c r="H10" s="31">
        <v>375000</v>
      </c>
      <c r="I10" s="31">
        <f t="shared" si="3"/>
        <v>70000</v>
      </c>
    </row>
    <row r="11" spans="1:9">
      <c r="A11" s="2" t="s">
        <v>53</v>
      </c>
      <c r="B11" s="2" t="s">
        <v>54</v>
      </c>
      <c r="C11" s="2" t="s">
        <v>37</v>
      </c>
      <c r="D11" s="2" t="s">
        <v>34</v>
      </c>
      <c r="E11" s="30">
        <v>39693</v>
      </c>
      <c r="F11" s="189">
        <f t="shared" si="1"/>
        <v>7</v>
      </c>
      <c r="G11" s="31">
        <f t="shared" si="2"/>
        <v>1350000</v>
      </c>
      <c r="H11" s="31">
        <v>520000</v>
      </c>
      <c r="I11" s="31">
        <f t="shared" si="3"/>
        <v>67500</v>
      </c>
    </row>
    <row r="13" spans="1:9">
      <c r="A13" s="14" t="s">
        <v>55</v>
      </c>
      <c r="B13" s="31">
        <v>50000</v>
      </c>
      <c r="E13" s="1" t="s">
        <v>56</v>
      </c>
      <c r="F13" s="32"/>
    </row>
    <row r="14" spans="1:9">
      <c r="E14" s="2" t="s">
        <v>24</v>
      </c>
      <c r="F14" s="3" t="s">
        <v>57</v>
      </c>
      <c r="G14" s="3" t="s">
        <v>58</v>
      </c>
    </row>
    <row r="15" spans="1:9">
      <c r="A15" s="1" t="s">
        <v>59</v>
      </c>
      <c r="E15" s="2" t="s">
        <v>33</v>
      </c>
      <c r="F15" s="14">
        <f t="array" ref="F15">SUM(($C$3:$C$11 = E15) * $H$3:$H$11)</f>
        <v>1200000</v>
      </c>
      <c r="G15" s="14">
        <f>AVERAGEIF($C$3:$C$11, E15, $H$3:$H$11)</f>
        <v>400000</v>
      </c>
    </row>
    <row r="16" spans="1:9">
      <c r="A16" s="2" t="s">
        <v>27</v>
      </c>
      <c r="B16" s="2" t="s">
        <v>60</v>
      </c>
      <c r="E16" s="2" t="s">
        <v>37</v>
      </c>
      <c r="F16" s="14">
        <f t="array" ref="F16">SUM(($C$3:$C$11 = E16) * $H$3:$H$11)</f>
        <v>1085000</v>
      </c>
      <c r="G16" s="14">
        <f>AVERAGEIF($C$3:$C$11, E16, $H$3:$H$11)</f>
        <v>361666.66666666669</v>
      </c>
    </row>
    <row r="17" spans="1:7">
      <c r="A17" s="33">
        <v>1</v>
      </c>
      <c r="B17" s="14">
        <v>0.02</v>
      </c>
      <c r="E17" s="2" t="s">
        <v>44</v>
      </c>
      <c r="F17" s="14">
        <f t="array" ref="F17">SUM(($C$3:$C$11 = E17) * $H$3:$H$11)</f>
        <v>1135000</v>
      </c>
      <c r="G17" s="14">
        <f>AVERAGEIF($C$3:$C$11, E17, $H$3:$H$11)</f>
        <v>378333.33333333331</v>
      </c>
    </row>
    <row r="18" spans="1:7">
      <c r="A18" s="33">
        <v>5</v>
      </c>
      <c r="B18" s="14">
        <v>0.05</v>
      </c>
    </row>
    <row r="19" spans="1:7">
      <c r="A19" s="33">
        <v>10</v>
      </c>
      <c r="B19" s="14">
        <v>0.08</v>
      </c>
    </row>
    <row r="20" spans="1:7">
      <c r="A20" s="33">
        <v>15</v>
      </c>
      <c r="B20" s="14">
        <v>0.13</v>
      </c>
    </row>
  </sheetData>
  <phoneticPr fontId="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27"/>
  <sheetViews>
    <sheetView workbookViewId="0">
      <selection activeCell="N22" sqref="N22"/>
    </sheetView>
  </sheetViews>
  <sheetFormatPr defaultRowHeight="16.5"/>
  <cols>
    <col min="1" max="1" width="7.125" style="1" bestFit="1" customWidth="1"/>
    <col min="2" max="2" width="14.75" style="1" bestFit="1" customWidth="1"/>
    <col min="3" max="3" width="13.125" style="1" bestFit="1" customWidth="1"/>
    <col min="4" max="4" width="8.875" style="1" bestFit="1" customWidth="1"/>
    <col min="5" max="5" width="6.875" style="1" bestFit="1" customWidth="1"/>
    <col min="6" max="6" width="10.875" style="1" bestFit="1" customWidth="1"/>
    <col min="7" max="7" width="9.375" style="1" bestFit="1" customWidth="1"/>
    <col min="8" max="8" width="10.875" style="1" bestFit="1" customWidth="1"/>
    <col min="9" max="9" width="11" style="1" bestFit="1" customWidth="1"/>
    <col min="10" max="10" width="10.875" style="1" bestFit="1" customWidth="1"/>
    <col min="11" max="11" width="13.625" style="1" bestFit="1" customWidth="1"/>
    <col min="12" max="12" width="12.375" style="1" customWidth="1"/>
    <col min="13" max="13" width="13.875" style="1" bestFit="1" customWidth="1"/>
    <col min="14" max="16384" width="9" style="1"/>
  </cols>
  <sheetData>
    <row r="1" spans="1:12">
      <c r="A1" s="1" t="s">
        <v>378</v>
      </c>
      <c r="E1" s="1" t="s">
        <v>379</v>
      </c>
      <c r="F1" s="1" t="s">
        <v>380</v>
      </c>
    </row>
    <row r="2" spans="1:12">
      <c r="A2" s="2" t="s">
        <v>61</v>
      </c>
      <c r="B2" s="80" t="s">
        <v>381</v>
      </c>
      <c r="C2" s="80" t="s">
        <v>382</v>
      </c>
      <c r="E2" s="35"/>
      <c r="F2" s="2" t="s">
        <v>383</v>
      </c>
      <c r="G2" s="2" t="s">
        <v>384</v>
      </c>
      <c r="H2" s="2" t="s">
        <v>385</v>
      </c>
      <c r="I2" s="2" t="s">
        <v>386</v>
      </c>
      <c r="J2" s="2" t="s">
        <v>387</v>
      </c>
    </row>
    <row r="3" spans="1:12">
      <c r="A3" s="14" t="s">
        <v>388</v>
      </c>
      <c r="B3" s="2" t="str">
        <f t="array" ref="B3">SUM(IF(($B$12:$B$27 = $A3) * (($E$12:$E$27 = "2호봉") + ($E$12:$E$27 = "3호봉")), 1)) &amp; "명"</f>
        <v>3명</v>
      </c>
      <c r="C3" s="36">
        <f t="array" ref="C3">MAX(($B$12:$B$27=A3)*$F$12:$F$27)-AVERAGE(IF(($B$12:$B$27=A3),$F$12:$F$27))</f>
        <v>574950</v>
      </c>
      <c r="E3" s="2" t="s">
        <v>389</v>
      </c>
      <c r="F3" s="31">
        <v>633400</v>
      </c>
      <c r="G3" s="31">
        <v>766300</v>
      </c>
      <c r="H3" s="31">
        <v>989200</v>
      </c>
      <c r="I3" s="31">
        <v>1250000</v>
      </c>
      <c r="J3" s="31">
        <v>1388900</v>
      </c>
    </row>
    <row r="4" spans="1:12">
      <c r="A4" s="14" t="s">
        <v>390</v>
      </c>
      <c r="B4" s="2" t="str">
        <f t="array" ref="B4">SUM(IF(($B$12:$B$27 = $A4) * (($E$12:$E$27 = "2호봉") + ($E$12:$E$27 = "3호봉")), 1)) &amp; "명"</f>
        <v>2명</v>
      </c>
      <c r="C4" s="36">
        <f t="array" ref="C4">MAX(($B$12:$B$27=A4)*$F$12:$F$27)-AVERAGE(IF(($B$12:$B$27=A4),$F$12:$F$27))</f>
        <v>363050</v>
      </c>
      <c r="E4" s="2" t="s">
        <v>62</v>
      </c>
      <c r="F4" s="31">
        <v>653500</v>
      </c>
      <c r="G4" s="31">
        <v>792600</v>
      </c>
      <c r="H4" s="31">
        <v>798900</v>
      </c>
      <c r="I4" s="31">
        <v>1280000</v>
      </c>
      <c r="J4" s="31">
        <v>1428900</v>
      </c>
    </row>
    <row r="5" spans="1:12">
      <c r="A5" s="14" t="s">
        <v>391</v>
      </c>
      <c r="B5" s="2" t="str">
        <f t="array" ref="B5">SUM(IF(($B$12:$B$27 = $A5) * (($E$12:$E$27 = "2호봉") + ($E$12:$E$27 = "3호봉")), 1)) &amp; "명"</f>
        <v>3명</v>
      </c>
      <c r="C5" s="36">
        <f t="array" ref="C5">MAX(($B$12:$B$27=A5)*$F$12:$F$27)-AVERAGE(IF(($B$12:$B$27=A5),$F$12:$F$27))</f>
        <v>105525</v>
      </c>
      <c r="E5" s="2" t="s">
        <v>63</v>
      </c>
      <c r="F5" s="31">
        <v>673600</v>
      </c>
      <c r="G5" s="31">
        <v>818900</v>
      </c>
      <c r="H5" s="31">
        <v>1020000</v>
      </c>
      <c r="I5" s="31">
        <v>1310000</v>
      </c>
      <c r="J5" s="31">
        <v>1468900</v>
      </c>
    </row>
    <row r="6" spans="1:12">
      <c r="E6" s="2" t="s">
        <v>64</v>
      </c>
      <c r="F6" s="31">
        <v>693700</v>
      </c>
      <c r="G6" s="31">
        <v>845200</v>
      </c>
      <c r="H6" s="31">
        <v>1342600</v>
      </c>
      <c r="I6" s="31">
        <v>1340000</v>
      </c>
      <c r="J6" s="31">
        <v>1508900</v>
      </c>
    </row>
    <row r="7" spans="1:12">
      <c r="E7" s="2" t="s">
        <v>65</v>
      </c>
      <c r="F7" s="31">
        <v>713800</v>
      </c>
      <c r="G7" s="31">
        <v>871500</v>
      </c>
      <c r="H7" s="31">
        <v>1465000</v>
      </c>
      <c r="I7" s="31">
        <v>1370000</v>
      </c>
      <c r="J7" s="31">
        <v>1548900</v>
      </c>
    </row>
    <row r="8" spans="1:12">
      <c r="E8" s="2" t="s">
        <v>66</v>
      </c>
      <c r="F8" s="31">
        <v>733900</v>
      </c>
      <c r="G8" s="31">
        <v>897800</v>
      </c>
      <c r="H8" s="31">
        <v>2151100</v>
      </c>
      <c r="I8" s="31">
        <v>1400000</v>
      </c>
      <c r="J8" s="31">
        <v>1588900</v>
      </c>
    </row>
    <row r="9" spans="1:12">
      <c r="C9" s="37"/>
      <c r="E9" s="38"/>
    </row>
    <row r="10" spans="1:12">
      <c r="A10" s="1" t="s">
        <v>392</v>
      </c>
    </row>
    <row r="11" spans="1:12" s="32" customFormat="1">
      <c r="A11" s="2" t="s">
        <v>67</v>
      </c>
      <c r="B11" s="2" t="s">
        <v>61</v>
      </c>
      <c r="C11" s="2" t="s">
        <v>68</v>
      </c>
      <c r="D11" s="80" t="s">
        <v>69</v>
      </c>
      <c r="E11" s="2" t="s">
        <v>70</v>
      </c>
      <c r="F11" s="29" t="s">
        <v>393</v>
      </c>
      <c r="G11" s="2" t="s">
        <v>394</v>
      </c>
      <c r="H11" s="2" t="s">
        <v>395</v>
      </c>
      <c r="I11" s="2" t="s">
        <v>396</v>
      </c>
      <c r="J11" s="80" t="s">
        <v>397</v>
      </c>
      <c r="K11" s="80" t="s">
        <v>398</v>
      </c>
    </row>
    <row r="12" spans="1:12">
      <c r="A12" s="2" t="s">
        <v>71</v>
      </c>
      <c r="B12" s="2" t="s">
        <v>72</v>
      </c>
      <c r="C12" s="2" t="s">
        <v>73</v>
      </c>
      <c r="D12" s="2" t="str">
        <f>CONCATENATE(MATCH(C12,$F$2:$J$2,0), "급")</f>
        <v>4급</v>
      </c>
      <c r="E12" s="2" t="s">
        <v>399</v>
      </c>
      <c r="F12" s="12">
        <v>1340000</v>
      </c>
      <c r="G12" s="12">
        <f t="shared" ref="G12:G27" si="0">100000</f>
        <v>100000</v>
      </c>
      <c r="H12" s="12">
        <v>70000</v>
      </c>
      <c r="I12" s="12">
        <v>0</v>
      </c>
      <c r="J12" s="12">
        <f>fn급여총계(F12, SUM(G12, H12))</f>
        <v>1510000</v>
      </c>
      <c r="K12" s="39">
        <f>FV(4.2%/12, 2*12, -J12 * 0.5)</f>
        <v>18868398.309701748</v>
      </c>
      <c r="L12" s="40"/>
    </row>
    <row r="13" spans="1:12">
      <c r="A13" s="2" t="s">
        <v>74</v>
      </c>
      <c r="B13" s="2" t="s">
        <v>75</v>
      </c>
      <c r="C13" s="2" t="s">
        <v>38</v>
      </c>
      <c r="D13" s="2" t="str">
        <f t="shared" ref="D13:D27" si="1">CONCATENATE(MATCH(C13,$F$2:$J$2,0), "급")</f>
        <v>3급</v>
      </c>
      <c r="E13" s="2" t="s">
        <v>400</v>
      </c>
      <c r="F13" s="12">
        <v>1020000</v>
      </c>
      <c r="G13" s="12">
        <f t="shared" si="0"/>
        <v>100000</v>
      </c>
      <c r="H13" s="12">
        <v>50000</v>
      </c>
      <c r="I13" s="12">
        <v>0</v>
      </c>
      <c r="J13" s="12">
        <f t="shared" ref="J13:J27" si="2">fn급여총계(F13, SUM(G13, H13))</f>
        <v>1170000</v>
      </c>
      <c r="K13" s="39">
        <f t="shared" ref="K13:K27" si="3">FV(4.2%/12, 2*12, -J13 * 0.5)</f>
        <v>14619884.783013938</v>
      </c>
      <c r="L13" s="40"/>
    </row>
    <row r="14" spans="1:12">
      <c r="A14" s="2" t="s">
        <v>76</v>
      </c>
      <c r="B14" s="2" t="s">
        <v>72</v>
      </c>
      <c r="C14" s="2" t="s">
        <v>383</v>
      </c>
      <c r="D14" s="2" t="str">
        <f t="shared" si="1"/>
        <v>1급</v>
      </c>
      <c r="E14" s="2" t="s">
        <v>401</v>
      </c>
      <c r="F14" s="12">
        <v>653500</v>
      </c>
      <c r="G14" s="12">
        <f t="shared" si="0"/>
        <v>100000</v>
      </c>
      <c r="H14" s="12">
        <v>30000</v>
      </c>
      <c r="I14" s="12">
        <v>0</v>
      </c>
      <c r="J14" s="12">
        <f t="shared" si="2"/>
        <v>783500</v>
      </c>
      <c r="K14" s="39">
        <f t="shared" si="3"/>
        <v>9790324.5534114707</v>
      </c>
      <c r="L14" s="40"/>
    </row>
    <row r="15" spans="1:12">
      <c r="A15" s="2" t="s">
        <v>77</v>
      </c>
      <c r="B15" s="2" t="s">
        <v>78</v>
      </c>
      <c r="C15" s="2" t="s">
        <v>41</v>
      </c>
      <c r="D15" s="2" t="str">
        <f t="shared" si="1"/>
        <v>2급</v>
      </c>
      <c r="E15" s="2" t="s">
        <v>402</v>
      </c>
      <c r="F15" s="12">
        <v>897800</v>
      </c>
      <c r="G15" s="12">
        <f t="shared" si="0"/>
        <v>100000</v>
      </c>
      <c r="H15" s="12">
        <v>50000</v>
      </c>
      <c r="I15" s="12">
        <v>0</v>
      </c>
      <c r="J15" s="12">
        <f t="shared" si="2"/>
        <v>1047800</v>
      </c>
      <c r="K15" s="39">
        <f t="shared" si="3"/>
        <v>13092919.03901026</v>
      </c>
      <c r="L15" s="40"/>
    </row>
    <row r="16" spans="1:12">
      <c r="A16" s="2" t="s">
        <v>79</v>
      </c>
      <c r="B16" s="2" t="s">
        <v>78</v>
      </c>
      <c r="C16" s="2" t="s">
        <v>38</v>
      </c>
      <c r="D16" s="2" t="str">
        <f t="shared" si="1"/>
        <v>3급</v>
      </c>
      <c r="E16" s="2" t="s">
        <v>401</v>
      </c>
      <c r="F16" s="12">
        <v>798900</v>
      </c>
      <c r="G16" s="12">
        <f t="shared" si="0"/>
        <v>100000</v>
      </c>
      <c r="H16" s="12">
        <v>70000</v>
      </c>
      <c r="I16" s="12">
        <v>0</v>
      </c>
      <c r="J16" s="12">
        <f t="shared" si="2"/>
        <v>968900</v>
      </c>
      <c r="K16" s="39">
        <f t="shared" si="3"/>
        <v>12107013.988258295</v>
      </c>
      <c r="L16" s="40"/>
    </row>
    <row r="17" spans="1:12">
      <c r="A17" s="2" t="s">
        <v>80</v>
      </c>
      <c r="B17" s="2" t="s">
        <v>75</v>
      </c>
      <c r="C17" s="2" t="s">
        <v>41</v>
      </c>
      <c r="D17" s="2" t="str">
        <f t="shared" si="1"/>
        <v>2급</v>
      </c>
      <c r="E17" s="2" t="s">
        <v>399</v>
      </c>
      <c r="F17" s="12">
        <v>845200</v>
      </c>
      <c r="G17" s="12">
        <f t="shared" si="0"/>
        <v>100000</v>
      </c>
      <c r="H17" s="12">
        <v>30000</v>
      </c>
      <c r="I17" s="12">
        <v>0</v>
      </c>
      <c r="J17" s="12">
        <f t="shared" si="2"/>
        <v>975200</v>
      </c>
      <c r="K17" s="39">
        <f t="shared" si="3"/>
        <v>12185736.444782216</v>
      </c>
      <c r="L17" s="40"/>
    </row>
    <row r="18" spans="1:12">
      <c r="A18" s="2" t="s">
        <v>81</v>
      </c>
      <c r="B18" s="2" t="s">
        <v>72</v>
      </c>
      <c r="C18" s="2" t="s">
        <v>82</v>
      </c>
      <c r="D18" s="2" t="str">
        <f t="shared" si="1"/>
        <v>1급</v>
      </c>
      <c r="E18" s="2" t="s">
        <v>403</v>
      </c>
      <c r="F18" s="12">
        <v>633400</v>
      </c>
      <c r="G18" s="12">
        <f t="shared" si="0"/>
        <v>100000</v>
      </c>
      <c r="H18" s="12">
        <v>30000</v>
      </c>
      <c r="I18" s="12">
        <v>0</v>
      </c>
      <c r="J18" s="12">
        <f t="shared" si="2"/>
        <v>763400</v>
      </c>
      <c r="K18" s="39">
        <f t="shared" si="3"/>
        <v>9539162.4302161038</v>
      </c>
      <c r="L18" s="40"/>
    </row>
    <row r="19" spans="1:12">
      <c r="A19" s="2" t="s">
        <v>83</v>
      </c>
      <c r="B19" s="2" t="s">
        <v>72</v>
      </c>
      <c r="C19" s="2" t="s">
        <v>34</v>
      </c>
      <c r="D19" s="2" t="str">
        <f t="shared" si="1"/>
        <v>5급</v>
      </c>
      <c r="E19" s="2" t="s">
        <v>402</v>
      </c>
      <c r="F19" s="12">
        <v>1588900</v>
      </c>
      <c r="G19" s="12">
        <f t="shared" si="0"/>
        <v>100000</v>
      </c>
      <c r="H19" s="12">
        <v>10000</v>
      </c>
      <c r="I19" s="12">
        <v>40000</v>
      </c>
      <c r="J19" s="12">
        <f t="shared" si="2"/>
        <v>1698900</v>
      </c>
      <c r="K19" s="39">
        <f t="shared" si="3"/>
        <v>21228822.44261742</v>
      </c>
      <c r="L19" s="40"/>
    </row>
    <row r="20" spans="1:12">
      <c r="A20" s="2" t="s">
        <v>84</v>
      </c>
      <c r="B20" s="2" t="s">
        <v>404</v>
      </c>
      <c r="C20" s="2" t="s">
        <v>73</v>
      </c>
      <c r="D20" s="2" t="str">
        <f t="shared" si="1"/>
        <v>4급</v>
      </c>
      <c r="E20" s="2" t="s">
        <v>405</v>
      </c>
      <c r="F20" s="12">
        <v>1370000</v>
      </c>
      <c r="G20" s="12">
        <f t="shared" si="0"/>
        <v>100000</v>
      </c>
      <c r="H20" s="12">
        <v>70000</v>
      </c>
      <c r="I20" s="12">
        <v>0</v>
      </c>
      <c r="J20" s="12">
        <f t="shared" si="2"/>
        <v>1540000</v>
      </c>
      <c r="K20" s="39">
        <f t="shared" si="3"/>
        <v>19243267.150291849</v>
      </c>
      <c r="L20" s="40"/>
    </row>
    <row r="21" spans="1:12">
      <c r="A21" s="2" t="s">
        <v>85</v>
      </c>
      <c r="B21" s="2" t="s">
        <v>72</v>
      </c>
      <c r="C21" s="2" t="s">
        <v>82</v>
      </c>
      <c r="D21" s="2" t="str">
        <f t="shared" si="1"/>
        <v>1급</v>
      </c>
      <c r="E21" s="2" t="s">
        <v>401</v>
      </c>
      <c r="F21" s="12">
        <v>653500</v>
      </c>
      <c r="G21" s="12">
        <f t="shared" si="0"/>
        <v>100000</v>
      </c>
      <c r="H21" s="12">
        <v>50000</v>
      </c>
      <c r="I21" s="12">
        <v>0</v>
      </c>
      <c r="J21" s="12">
        <f t="shared" si="2"/>
        <v>803500</v>
      </c>
      <c r="K21" s="39">
        <f t="shared" si="3"/>
        <v>10040237.113804871</v>
      </c>
      <c r="L21" s="40"/>
    </row>
    <row r="22" spans="1:12">
      <c r="A22" s="2" t="s">
        <v>86</v>
      </c>
      <c r="B22" s="2" t="s">
        <v>72</v>
      </c>
      <c r="C22" s="2" t="s">
        <v>38</v>
      </c>
      <c r="D22" s="2" t="str">
        <f t="shared" si="1"/>
        <v>3급</v>
      </c>
      <c r="E22" s="2" t="s">
        <v>400</v>
      </c>
      <c r="F22" s="12">
        <v>1020000</v>
      </c>
      <c r="G22" s="12">
        <f t="shared" si="0"/>
        <v>100000</v>
      </c>
      <c r="H22" s="12">
        <v>70000</v>
      </c>
      <c r="I22" s="12">
        <v>0</v>
      </c>
      <c r="J22" s="12">
        <f t="shared" si="2"/>
        <v>1190000</v>
      </c>
      <c r="K22" s="39">
        <f t="shared" si="3"/>
        <v>14869797.343407338</v>
      </c>
      <c r="L22" s="40"/>
    </row>
    <row r="23" spans="1:12">
      <c r="A23" s="2" t="s">
        <v>87</v>
      </c>
      <c r="B23" s="2" t="s">
        <v>75</v>
      </c>
      <c r="C23" s="2" t="s">
        <v>41</v>
      </c>
      <c r="D23" s="2" t="str">
        <f t="shared" si="1"/>
        <v>2급</v>
      </c>
      <c r="E23" s="2" t="s">
        <v>401</v>
      </c>
      <c r="F23" s="12">
        <v>792600</v>
      </c>
      <c r="G23" s="12">
        <f t="shared" si="0"/>
        <v>100000</v>
      </c>
      <c r="H23" s="12">
        <v>70000</v>
      </c>
      <c r="I23" s="12">
        <v>0</v>
      </c>
      <c r="J23" s="12">
        <f t="shared" si="2"/>
        <v>962600</v>
      </c>
      <c r="K23" s="39">
        <f t="shared" si="3"/>
        <v>12028291.531734373</v>
      </c>
      <c r="L23" s="40"/>
    </row>
    <row r="24" spans="1:12">
      <c r="A24" s="2" t="s">
        <v>88</v>
      </c>
      <c r="B24" s="2" t="s">
        <v>78</v>
      </c>
      <c r="C24" s="2" t="s">
        <v>82</v>
      </c>
      <c r="D24" s="2" t="str">
        <f t="shared" si="1"/>
        <v>1급</v>
      </c>
      <c r="E24" s="2" t="s">
        <v>401</v>
      </c>
      <c r="F24" s="12">
        <v>653500</v>
      </c>
      <c r="G24" s="12">
        <f t="shared" si="0"/>
        <v>100000</v>
      </c>
      <c r="H24" s="12">
        <v>50000</v>
      </c>
      <c r="I24" s="12">
        <v>0</v>
      </c>
      <c r="J24" s="12">
        <f t="shared" si="2"/>
        <v>803500</v>
      </c>
      <c r="K24" s="39">
        <f t="shared" si="3"/>
        <v>10040237.113804871</v>
      </c>
      <c r="L24" s="40"/>
    </row>
    <row r="25" spans="1:12">
      <c r="A25" s="2" t="s">
        <v>89</v>
      </c>
      <c r="B25" s="2" t="s">
        <v>72</v>
      </c>
      <c r="C25" s="2" t="s">
        <v>34</v>
      </c>
      <c r="D25" s="2" t="str">
        <f t="shared" si="1"/>
        <v>5급</v>
      </c>
      <c r="E25" s="2" t="s">
        <v>402</v>
      </c>
      <c r="F25" s="12">
        <v>1588900</v>
      </c>
      <c r="G25" s="12">
        <f t="shared" si="0"/>
        <v>100000</v>
      </c>
      <c r="H25" s="12">
        <v>10000</v>
      </c>
      <c r="I25" s="12">
        <v>300000</v>
      </c>
      <c r="J25" s="12">
        <f t="shared" si="2"/>
        <v>1698900</v>
      </c>
      <c r="K25" s="39">
        <f t="shared" si="3"/>
        <v>21228822.44261742</v>
      </c>
      <c r="L25" s="40"/>
    </row>
    <row r="26" spans="1:12">
      <c r="A26" s="2" t="s">
        <v>90</v>
      </c>
      <c r="B26" s="2" t="s">
        <v>78</v>
      </c>
      <c r="C26" s="2" t="s">
        <v>41</v>
      </c>
      <c r="D26" s="2" t="str">
        <f t="shared" si="1"/>
        <v>2급</v>
      </c>
      <c r="E26" s="2" t="s">
        <v>400</v>
      </c>
      <c r="F26" s="12">
        <v>818900</v>
      </c>
      <c r="G26" s="12">
        <f t="shared" si="0"/>
        <v>100000</v>
      </c>
      <c r="H26" s="12">
        <v>30000</v>
      </c>
      <c r="I26" s="12">
        <v>0</v>
      </c>
      <c r="J26" s="12">
        <f t="shared" si="2"/>
        <v>948900</v>
      </c>
      <c r="K26" s="39">
        <f t="shared" si="3"/>
        <v>11857101.427864894</v>
      </c>
      <c r="L26" s="40"/>
    </row>
    <row r="27" spans="1:12">
      <c r="A27" s="2" t="s">
        <v>91</v>
      </c>
      <c r="B27" s="2" t="s">
        <v>72</v>
      </c>
      <c r="C27" s="2" t="s">
        <v>82</v>
      </c>
      <c r="D27" s="2" t="str">
        <f t="shared" si="1"/>
        <v>1급</v>
      </c>
      <c r="E27" s="2" t="s">
        <v>403</v>
      </c>
      <c r="F27" s="12">
        <v>633400</v>
      </c>
      <c r="G27" s="12">
        <f t="shared" si="0"/>
        <v>100000</v>
      </c>
      <c r="H27" s="12">
        <v>50000</v>
      </c>
      <c r="I27" s="12">
        <v>0</v>
      </c>
      <c r="J27" s="12">
        <f t="shared" si="2"/>
        <v>783400</v>
      </c>
      <c r="K27" s="39">
        <f t="shared" si="3"/>
        <v>9789074.9906095043</v>
      </c>
      <c r="L27" s="40"/>
    </row>
  </sheetData>
  <phoneticPr fontId="4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42"/>
  <sheetViews>
    <sheetView topLeftCell="A7" workbookViewId="0">
      <selection activeCell="A40" sqref="A40"/>
    </sheetView>
  </sheetViews>
  <sheetFormatPr defaultRowHeight="16.5"/>
  <cols>
    <col min="1" max="1" width="10.375" style="1" customWidth="1"/>
    <col min="2" max="2" width="11.75" style="1" customWidth="1"/>
    <col min="3" max="3" width="9.25" style="1" customWidth="1"/>
    <col min="4" max="4" width="12.125" style="1" customWidth="1"/>
    <col min="5" max="5" width="14.375" style="1" customWidth="1"/>
    <col min="6" max="6" width="9.25" style="1" bestFit="1" customWidth="1"/>
    <col min="7" max="7" width="13" style="1" customWidth="1"/>
    <col min="8" max="8" width="12.25" style="1" customWidth="1"/>
    <col min="9" max="9" width="8.875" style="1" customWidth="1"/>
    <col min="10" max="10" width="9" style="1" customWidth="1"/>
    <col min="11" max="16384" width="9" style="1"/>
  </cols>
  <sheetData>
    <row r="1" spans="1:10">
      <c r="A1" s="1" t="s">
        <v>0</v>
      </c>
    </row>
    <row r="2" spans="1:10">
      <c r="A2" s="192" t="s">
        <v>92</v>
      </c>
      <c r="B2" s="194" t="s">
        <v>93</v>
      </c>
      <c r="C2" s="194"/>
    </row>
    <row r="3" spans="1:10">
      <c r="A3" s="193"/>
      <c r="B3" s="3" t="s">
        <v>94</v>
      </c>
      <c r="C3" s="3" t="s">
        <v>95</v>
      </c>
    </row>
    <row r="4" spans="1:10">
      <c r="A4" s="2" t="s">
        <v>96</v>
      </c>
      <c r="B4" s="12">
        <f t="array" ref="B4">SUM(($D$10:$D$24 = $A4) * (LEFT($B$10:$B$24, 1) = B$3) * $G$10:$G$24)</f>
        <v>5000</v>
      </c>
      <c r="C4" s="12">
        <f t="array" ref="C4">SUM(($D$10:$D$24 = $A4) * (LEFT($B$10:$B$24, 1) = C$3) * $G$10:$G$24)</f>
        <v>9600</v>
      </c>
    </row>
    <row r="5" spans="1:10">
      <c r="A5" s="2" t="s">
        <v>97</v>
      </c>
      <c r="B5" s="12">
        <f t="array" ref="B5">SUM(($D$10:$D$24 = $A5) * (LEFT($B$10:$B$24, 1) = B$3) * $G$10:$G$24)</f>
        <v>12100</v>
      </c>
      <c r="C5" s="12">
        <f t="array" ref="C5">SUM(($D$10:$D$24 = $A5) * (LEFT($B$10:$B$24, 1) = C$3) * $G$10:$G$24)</f>
        <v>15400</v>
      </c>
    </row>
    <row r="6" spans="1:10">
      <c r="A6" s="2" t="s">
        <v>98</v>
      </c>
      <c r="B6" s="12">
        <f t="array" ref="B6">SUM(($D$10:$D$24 = $A6) * (LEFT($B$10:$B$24, 1) = B$3) * $G$10:$G$24)</f>
        <v>700</v>
      </c>
      <c r="C6" s="12">
        <f t="array" ref="C6">SUM(($D$10:$D$24 = $A6) * (LEFT($B$10:$B$24, 1) = C$3) * $G$10:$G$24)</f>
        <v>26850</v>
      </c>
    </row>
    <row r="8" spans="1:10">
      <c r="A8" s="7" t="s">
        <v>99</v>
      </c>
      <c r="B8" s="41" t="s">
        <v>100</v>
      </c>
      <c r="C8" s="42"/>
      <c r="D8" s="42"/>
      <c r="E8" s="42"/>
      <c r="F8" s="42"/>
      <c r="G8" s="42"/>
      <c r="H8" s="42"/>
    </row>
    <row r="9" spans="1:10">
      <c r="A9" s="2" t="s">
        <v>101</v>
      </c>
      <c r="B9" s="3" t="s">
        <v>102</v>
      </c>
      <c r="C9" s="2" t="s">
        <v>103</v>
      </c>
      <c r="D9" s="2" t="s">
        <v>104</v>
      </c>
      <c r="E9" s="2" t="s">
        <v>105</v>
      </c>
      <c r="F9" s="2" t="s">
        <v>106</v>
      </c>
      <c r="G9" s="2" t="s">
        <v>93</v>
      </c>
      <c r="H9" s="2" t="s">
        <v>107</v>
      </c>
      <c r="I9" s="3" t="s">
        <v>2</v>
      </c>
      <c r="J9" s="43"/>
    </row>
    <row r="10" spans="1:10">
      <c r="A10" s="2" t="s">
        <v>108</v>
      </c>
      <c r="B10" s="2" t="str">
        <f>IF(VALUE(RIGHT(A10, 3)) &lt;= 117, SUBSTITUTE(A10, "C", "A"), SUBSTITUTE(A10, "C", "B"))</f>
        <v>A111</v>
      </c>
      <c r="C10" s="2" t="s">
        <v>109</v>
      </c>
      <c r="D10" s="2" t="s">
        <v>110</v>
      </c>
      <c r="E10" s="44">
        <v>700000</v>
      </c>
      <c r="F10" s="45">
        <v>1E-3</v>
      </c>
      <c r="G10" s="46">
        <v>700</v>
      </c>
      <c r="H10" s="14">
        <v>10</v>
      </c>
      <c r="I10" s="14" t="str">
        <f t="shared" ref="I10:I24" si="0">fn비고(G10, H10)</f>
        <v/>
      </c>
    </row>
    <row r="11" spans="1:10">
      <c r="A11" s="2" t="s">
        <v>111</v>
      </c>
      <c r="B11" s="2" t="str">
        <f t="shared" ref="B11:B24" si="1">IF(VALUE(RIGHT(A11, 3)) &lt;= 117, SUBSTITUTE(A11, "C", "A"), SUBSTITUTE(A11, "C", "B"))</f>
        <v>A112</v>
      </c>
      <c r="C11" s="2" t="s">
        <v>112</v>
      </c>
      <c r="D11" s="2" t="s">
        <v>113</v>
      </c>
      <c r="E11" s="44">
        <v>1600000</v>
      </c>
      <c r="F11" s="45">
        <v>2E-3</v>
      </c>
      <c r="G11" s="46">
        <v>3200</v>
      </c>
      <c r="H11" s="14">
        <v>15</v>
      </c>
      <c r="I11" s="14" t="str">
        <f t="shared" si="0"/>
        <v>우수고객</v>
      </c>
    </row>
    <row r="12" spans="1:10">
      <c r="A12" s="2" t="s">
        <v>114</v>
      </c>
      <c r="B12" s="2" t="str">
        <f t="shared" si="1"/>
        <v>A113</v>
      </c>
      <c r="C12" s="2" t="s">
        <v>115</v>
      </c>
      <c r="D12" s="2" t="s">
        <v>16</v>
      </c>
      <c r="E12" s="44">
        <v>600000</v>
      </c>
      <c r="F12" s="45">
        <v>1E-3</v>
      </c>
      <c r="G12" s="46">
        <v>600</v>
      </c>
      <c r="H12" s="14">
        <v>8</v>
      </c>
      <c r="I12" s="14" t="str">
        <f t="shared" si="0"/>
        <v/>
      </c>
    </row>
    <row r="13" spans="1:10">
      <c r="A13" s="2" t="s">
        <v>116</v>
      </c>
      <c r="B13" s="2" t="str">
        <f t="shared" si="1"/>
        <v>A114</v>
      </c>
      <c r="C13" s="2" t="s">
        <v>117</v>
      </c>
      <c r="D13" s="2" t="s">
        <v>16</v>
      </c>
      <c r="E13" s="44">
        <v>2200000</v>
      </c>
      <c r="F13" s="45">
        <v>2E-3</v>
      </c>
      <c r="G13" s="46">
        <v>4400</v>
      </c>
      <c r="H13" s="14">
        <v>25</v>
      </c>
      <c r="I13" s="14" t="str">
        <f t="shared" si="0"/>
        <v>골드고객</v>
      </c>
    </row>
    <row r="14" spans="1:10">
      <c r="A14" s="2" t="s">
        <v>118</v>
      </c>
      <c r="B14" s="2" t="str">
        <f t="shared" si="1"/>
        <v>A115</v>
      </c>
      <c r="C14" s="2" t="s">
        <v>119</v>
      </c>
      <c r="D14" s="2" t="s">
        <v>113</v>
      </c>
      <c r="E14" s="44">
        <v>500000</v>
      </c>
      <c r="F14" s="45">
        <v>1E-3</v>
      </c>
      <c r="G14" s="46">
        <v>500</v>
      </c>
      <c r="H14" s="14">
        <v>3</v>
      </c>
      <c r="I14" s="14" t="str">
        <f t="shared" si="0"/>
        <v/>
      </c>
    </row>
    <row r="15" spans="1:10">
      <c r="A15" s="2" t="s">
        <v>120</v>
      </c>
      <c r="B15" s="2" t="str">
        <f t="shared" si="1"/>
        <v>A116</v>
      </c>
      <c r="C15" s="2" t="s">
        <v>121</v>
      </c>
      <c r="D15" s="2" t="s">
        <v>113</v>
      </c>
      <c r="E15" s="44">
        <v>2800000</v>
      </c>
      <c r="F15" s="45">
        <v>3.0000000000000001E-3</v>
      </c>
      <c r="G15" s="46">
        <v>8400</v>
      </c>
      <c r="H15" s="14">
        <v>9</v>
      </c>
      <c r="I15" s="14" t="str">
        <f t="shared" si="0"/>
        <v/>
      </c>
    </row>
    <row r="16" spans="1:10">
      <c r="A16" s="2" t="s">
        <v>122</v>
      </c>
      <c r="B16" s="2" t="str">
        <f t="shared" si="1"/>
        <v>A117</v>
      </c>
      <c r="C16" s="2" t="s">
        <v>123</v>
      </c>
      <c r="D16" s="2" t="s">
        <v>110</v>
      </c>
      <c r="E16" s="44">
        <v>300000</v>
      </c>
      <c r="F16" s="45">
        <v>0</v>
      </c>
      <c r="G16" s="46">
        <v>0</v>
      </c>
      <c r="H16" s="14">
        <v>7</v>
      </c>
      <c r="I16" s="14" t="str">
        <f t="shared" si="0"/>
        <v/>
      </c>
    </row>
    <row r="17" spans="1:11">
      <c r="A17" s="2" t="s">
        <v>124</v>
      </c>
      <c r="B17" s="2" t="str">
        <f t="shared" si="1"/>
        <v>B118</v>
      </c>
      <c r="C17" s="2" t="s">
        <v>125</v>
      </c>
      <c r="D17" s="2" t="s">
        <v>110</v>
      </c>
      <c r="E17" s="44">
        <v>3200000</v>
      </c>
      <c r="F17" s="45">
        <v>3.0000000000000001E-3</v>
      </c>
      <c r="G17" s="46">
        <v>9600</v>
      </c>
      <c r="H17" s="14">
        <v>24</v>
      </c>
      <c r="I17" s="14" t="str">
        <f t="shared" si="0"/>
        <v>골드고객</v>
      </c>
    </row>
    <row r="18" spans="1:11">
      <c r="A18" s="2" t="s">
        <v>126</v>
      </c>
      <c r="B18" s="2" t="str">
        <f t="shared" si="1"/>
        <v>B119</v>
      </c>
      <c r="C18" s="2" t="s">
        <v>127</v>
      </c>
      <c r="D18" s="2" t="s">
        <v>113</v>
      </c>
      <c r="E18" s="44">
        <v>1500000</v>
      </c>
      <c r="F18" s="45">
        <v>2E-3</v>
      </c>
      <c r="G18" s="46">
        <v>3000</v>
      </c>
      <c r="H18" s="14">
        <v>13</v>
      </c>
      <c r="I18" s="14" t="str">
        <f t="shared" si="0"/>
        <v>우수고객</v>
      </c>
    </row>
    <row r="19" spans="1:11">
      <c r="A19" s="2" t="s">
        <v>128</v>
      </c>
      <c r="B19" s="2" t="str">
        <f t="shared" si="1"/>
        <v>B120</v>
      </c>
      <c r="C19" s="2" t="s">
        <v>129</v>
      </c>
      <c r="D19" s="2" t="s">
        <v>113</v>
      </c>
      <c r="E19" s="44">
        <v>2500000</v>
      </c>
      <c r="F19" s="45">
        <v>3.0000000000000001E-3</v>
      </c>
      <c r="G19" s="46">
        <v>7500</v>
      </c>
      <c r="H19" s="14">
        <v>14</v>
      </c>
      <c r="I19" s="14" t="str">
        <f t="shared" si="0"/>
        <v>우수고객</v>
      </c>
    </row>
    <row r="20" spans="1:11">
      <c r="A20" s="2" t="s">
        <v>130</v>
      </c>
      <c r="B20" s="2" t="str">
        <f t="shared" si="1"/>
        <v>B121</v>
      </c>
      <c r="C20" s="2" t="s">
        <v>131</v>
      </c>
      <c r="D20" s="2" t="s">
        <v>110</v>
      </c>
      <c r="E20" s="44">
        <v>3250000</v>
      </c>
      <c r="F20" s="45">
        <v>3.0000000000000001E-3</v>
      </c>
      <c r="G20" s="46">
        <v>9750</v>
      </c>
      <c r="H20" s="14">
        <v>15</v>
      </c>
      <c r="I20" s="14" t="str">
        <f t="shared" si="0"/>
        <v>우수고객</v>
      </c>
    </row>
    <row r="21" spans="1:11">
      <c r="A21" s="2" t="s">
        <v>132</v>
      </c>
      <c r="B21" s="2" t="str">
        <f t="shared" si="1"/>
        <v>B122</v>
      </c>
      <c r="C21" s="2" t="s">
        <v>133</v>
      </c>
      <c r="D21" s="2" t="s">
        <v>113</v>
      </c>
      <c r="E21" s="44">
        <v>1250000</v>
      </c>
      <c r="F21" s="45">
        <v>2E-3</v>
      </c>
      <c r="G21" s="46">
        <v>2500</v>
      </c>
      <c r="H21" s="14">
        <v>16</v>
      </c>
      <c r="I21" s="14" t="str">
        <f t="shared" si="0"/>
        <v/>
      </c>
    </row>
    <row r="22" spans="1:11">
      <c r="A22" s="2" t="s">
        <v>134</v>
      </c>
      <c r="B22" s="2" t="str">
        <f t="shared" si="1"/>
        <v>B123</v>
      </c>
      <c r="C22" s="2" t="s">
        <v>135</v>
      </c>
      <c r="D22" s="2" t="s">
        <v>16</v>
      </c>
      <c r="E22" s="44">
        <v>3200000</v>
      </c>
      <c r="F22" s="45">
        <v>3.0000000000000001E-3</v>
      </c>
      <c r="G22" s="46">
        <v>9600</v>
      </c>
      <c r="H22" s="14">
        <v>17</v>
      </c>
      <c r="I22" s="14" t="str">
        <f t="shared" si="0"/>
        <v>우수고객</v>
      </c>
    </row>
    <row r="23" spans="1:11">
      <c r="A23" s="2" t="s">
        <v>136</v>
      </c>
      <c r="B23" s="2" t="str">
        <f t="shared" si="1"/>
        <v>B124</v>
      </c>
      <c r="C23" s="2" t="s">
        <v>137</v>
      </c>
      <c r="D23" s="2" t="s">
        <v>113</v>
      </c>
      <c r="E23" s="44">
        <v>1200000</v>
      </c>
      <c r="F23" s="45">
        <v>2E-3</v>
      </c>
      <c r="G23" s="46">
        <v>2400</v>
      </c>
      <c r="H23" s="14">
        <v>18</v>
      </c>
      <c r="I23" s="14" t="str">
        <f t="shared" si="0"/>
        <v/>
      </c>
    </row>
    <row r="24" spans="1:11">
      <c r="A24" s="2" t="s">
        <v>138</v>
      </c>
      <c r="B24" s="2" t="str">
        <f t="shared" si="1"/>
        <v>B125</v>
      </c>
      <c r="C24" s="2" t="s">
        <v>139</v>
      </c>
      <c r="D24" s="2" t="s">
        <v>110</v>
      </c>
      <c r="E24" s="44">
        <v>2500000</v>
      </c>
      <c r="F24" s="45">
        <v>3.0000000000000001E-3</v>
      </c>
      <c r="G24" s="46">
        <v>7500</v>
      </c>
      <c r="H24" s="14">
        <v>19</v>
      </c>
      <c r="I24" s="14" t="str">
        <f t="shared" si="0"/>
        <v>우수고객</v>
      </c>
    </row>
    <row r="27" spans="1:11">
      <c r="A27" s="1" t="s">
        <v>140</v>
      </c>
      <c r="B27" s="1" t="s">
        <v>141</v>
      </c>
    </row>
    <row r="28" spans="1:11">
      <c r="A28" s="2" t="s">
        <v>142</v>
      </c>
      <c r="B28" s="2" t="s">
        <v>67</v>
      </c>
      <c r="C28" s="2" t="s">
        <v>143</v>
      </c>
      <c r="D28" s="2" t="s">
        <v>28</v>
      </c>
      <c r="E28" s="2" t="s">
        <v>144</v>
      </c>
      <c r="F28" s="2" t="s">
        <v>145</v>
      </c>
      <c r="G28" s="2" t="s">
        <v>146</v>
      </c>
      <c r="H28" s="3" t="s">
        <v>147</v>
      </c>
    </row>
    <row r="29" spans="1:11">
      <c r="A29" s="14" t="s">
        <v>148</v>
      </c>
      <c r="B29" s="14" t="s">
        <v>149</v>
      </c>
      <c r="C29" s="14" t="s">
        <v>150</v>
      </c>
      <c r="D29" s="12">
        <v>2100000</v>
      </c>
      <c r="E29" s="14">
        <v>70</v>
      </c>
      <c r="F29" s="14">
        <v>20</v>
      </c>
      <c r="G29" s="14">
        <v>7</v>
      </c>
      <c r="H29" s="12">
        <f t="shared" ref="H29:H36" si="2">IF(AND(F29 &gt;= 5, G29 &gt;= 3), VLOOKUP(E29 + F29 + G29,$J$33:$K$36,2,1) * D29 + D29, D29)</f>
        <v>2520000</v>
      </c>
    </row>
    <row r="30" spans="1:11">
      <c r="A30" s="14" t="s">
        <v>151</v>
      </c>
      <c r="B30" s="14" t="s">
        <v>152</v>
      </c>
      <c r="C30" s="14" t="s">
        <v>153</v>
      </c>
      <c r="D30" s="12">
        <v>1500000</v>
      </c>
      <c r="E30" s="14">
        <v>80</v>
      </c>
      <c r="F30" s="14">
        <v>4</v>
      </c>
      <c r="G30" s="14">
        <v>1</v>
      </c>
      <c r="H30" s="12">
        <f t="shared" si="2"/>
        <v>1500000</v>
      </c>
    </row>
    <row r="31" spans="1:11">
      <c r="A31" s="14" t="s">
        <v>154</v>
      </c>
      <c r="B31" s="14" t="s">
        <v>155</v>
      </c>
      <c r="C31" s="14" t="s">
        <v>156</v>
      </c>
      <c r="D31" s="12">
        <v>1200000</v>
      </c>
      <c r="E31" s="14">
        <v>75</v>
      </c>
      <c r="F31" s="14">
        <v>2</v>
      </c>
      <c r="G31" s="14">
        <v>1</v>
      </c>
      <c r="H31" s="12">
        <f t="shared" si="2"/>
        <v>1200000</v>
      </c>
      <c r="J31" s="1" t="s">
        <v>157</v>
      </c>
    </row>
    <row r="32" spans="1:11">
      <c r="A32" s="14" t="s">
        <v>148</v>
      </c>
      <c r="B32" s="14" t="s">
        <v>158</v>
      </c>
      <c r="C32" s="14" t="s">
        <v>159</v>
      </c>
      <c r="D32" s="12">
        <v>1800000</v>
      </c>
      <c r="E32" s="14">
        <v>74</v>
      </c>
      <c r="F32" s="14">
        <v>10</v>
      </c>
      <c r="G32" s="14">
        <v>5</v>
      </c>
      <c r="H32" s="12">
        <f t="shared" si="2"/>
        <v>1980000</v>
      </c>
      <c r="J32" s="2" t="s">
        <v>160</v>
      </c>
      <c r="K32" s="2" t="s">
        <v>161</v>
      </c>
    </row>
    <row r="33" spans="1:11">
      <c r="A33" s="14" t="s">
        <v>151</v>
      </c>
      <c r="B33" s="14" t="s">
        <v>162</v>
      </c>
      <c r="C33" s="14" t="s">
        <v>163</v>
      </c>
      <c r="D33" s="12">
        <v>2400000</v>
      </c>
      <c r="E33" s="14">
        <v>60</v>
      </c>
      <c r="F33" s="14">
        <v>23</v>
      </c>
      <c r="G33" s="14">
        <v>7</v>
      </c>
      <c r="H33" s="12">
        <f t="shared" si="2"/>
        <v>2880000</v>
      </c>
      <c r="J33" s="2">
        <v>70</v>
      </c>
      <c r="K33" s="47">
        <v>0</v>
      </c>
    </row>
    <row r="34" spans="1:11">
      <c r="A34" s="14" t="s">
        <v>154</v>
      </c>
      <c r="B34" s="14" t="s">
        <v>164</v>
      </c>
      <c r="C34" s="14" t="s">
        <v>165</v>
      </c>
      <c r="D34" s="12">
        <v>2600000</v>
      </c>
      <c r="E34" s="14">
        <v>59</v>
      </c>
      <c r="F34" s="14">
        <v>35</v>
      </c>
      <c r="G34" s="14">
        <v>7</v>
      </c>
      <c r="H34" s="12">
        <f t="shared" si="2"/>
        <v>3380000</v>
      </c>
      <c r="J34" s="2">
        <v>80</v>
      </c>
      <c r="K34" s="48">
        <v>0.1</v>
      </c>
    </row>
    <row r="35" spans="1:11">
      <c r="A35" s="14" t="s">
        <v>148</v>
      </c>
      <c r="B35" s="14" t="s">
        <v>166</v>
      </c>
      <c r="C35" s="14" t="s">
        <v>167</v>
      </c>
      <c r="D35" s="12">
        <v>1700000</v>
      </c>
      <c r="E35" s="14">
        <v>64</v>
      </c>
      <c r="F35" s="14">
        <v>8</v>
      </c>
      <c r="G35" s="14">
        <v>3</v>
      </c>
      <c r="H35" s="12">
        <f t="shared" si="2"/>
        <v>1700000</v>
      </c>
      <c r="J35" s="2">
        <v>90</v>
      </c>
      <c r="K35" s="48">
        <v>0.2</v>
      </c>
    </row>
    <row r="36" spans="1:11">
      <c r="A36" s="14" t="s">
        <v>151</v>
      </c>
      <c r="B36" s="14" t="s">
        <v>168</v>
      </c>
      <c r="C36" s="14" t="s">
        <v>169</v>
      </c>
      <c r="D36" s="12">
        <v>1750000</v>
      </c>
      <c r="E36" s="14">
        <v>78</v>
      </c>
      <c r="F36" s="14">
        <v>9</v>
      </c>
      <c r="G36" s="14">
        <v>3</v>
      </c>
      <c r="H36" s="12">
        <f t="shared" si="2"/>
        <v>2100000</v>
      </c>
      <c r="J36" s="2">
        <v>100</v>
      </c>
      <c r="K36" s="48">
        <v>0.3</v>
      </c>
    </row>
    <row r="38" spans="1:11">
      <c r="A38" s="3" t="s">
        <v>170</v>
      </c>
      <c r="C38" s="7" t="s">
        <v>1061</v>
      </c>
      <c r="D38" s="1" t="s">
        <v>1063</v>
      </c>
    </row>
    <row r="39" spans="1:11">
      <c r="A39" s="14">
        <f>ROUND(DAVERAGE($A$28:$H$36, 6, C38:D40), 0)</f>
        <v>19</v>
      </c>
      <c r="C39" s="7" t="s">
        <v>1062</v>
      </c>
      <c r="G39" s="37"/>
    </row>
    <row r="40" spans="1:11">
      <c r="D40" s="1" t="s">
        <v>1064</v>
      </c>
    </row>
    <row r="42" spans="1:11">
      <c r="A42" s="43"/>
    </row>
  </sheetData>
  <mergeCells count="2">
    <mergeCell ref="A2:A3"/>
    <mergeCell ref="B2:C2"/>
  </mergeCells>
  <phoneticPr fontId="4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31"/>
  <sheetViews>
    <sheetView workbookViewId="0">
      <selection activeCell="D29" sqref="D29"/>
    </sheetView>
  </sheetViews>
  <sheetFormatPr defaultRowHeight="16.5"/>
  <cols>
    <col min="1" max="1" width="7.375" style="1" customWidth="1"/>
    <col min="2" max="2" width="13.625" style="1" customWidth="1"/>
    <col min="3" max="3" width="12.875" style="1" bestFit="1" customWidth="1"/>
    <col min="4" max="4" width="15" style="1" customWidth="1"/>
    <col min="5" max="5" width="10.875" style="1" customWidth="1"/>
    <col min="6" max="6" width="9.25" style="1" customWidth="1"/>
    <col min="7" max="7" width="3.625" style="1" customWidth="1"/>
    <col min="8" max="8" width="11.25" style="1" customWidth="1"/>
    <col min="9" max="16384" width="9" style="1"/>
  </cols>
  <sheetData>
    <row r="1" spans="1:8">
      <c r="A1" s="1" t="s">
        <v>19</v>
      </c>
    </row>
    <row r="2" spans="1:8">
      <c r="A2" s="2" t="s">
        <v>11</v>
      </c>
      <c r="B2" s="2" t="s">
        <v>171</v>
      </c>
      <c r="C2" s="2" t="s">
        <v>172</v>
      </c>
      <c r="D2" s="2" t="s">
        <v>173</v>
      </c>
      <c r="E2" s="5" t="s">
        <v>174</v>
      </c>
      <c r="F2" s="3" t="s">
        <v>175</v>
      </c>
      <c r="H2" s="3" t="s">
        <v>176</v>
      </c>
    </row>
    <row r="3" spans="1:8">
      <c r="A3" s="2" t="s">
        <v>177</v>
      </c>
      <c r="B3" s="2" t="s">
        <v>178</v>
      </c>
      <c r="C3" s="8">
        <v>29495</v>
      </c>
      <c r="D3" s="2" t="s">
        <v>179</v>
      </c>
      <c r="E3" s="49">
        <v>70000</v>
      </c>
      <c r="F3" s="2" t="str">
        <f t="shared" ref="F3:F8" si="0">IF(AND(OR(LEFT(B3, 3) = "서울시", LEFT(B3, 3) = "부천시", LEFT(B3, 3) = "안양시"), YEAR(C3) &lt;= 1981), "A조", "B조")</f>
        <v>A조</v>
      </c>
      <c r="H3" s="31">
        <f t="array" aca="1" ref="H3" ca="1">SUM(((YEAR(TODAY()) - YEAR($C$3:$C$8)) &gt;= 35) * (VALUE(LEFT($D$3:$D$8, 1)) &gt;= 4) * $E$3:$E$8)</f>
        <v>150000</v>
      </c>
    </row>
    <row r="4" spans="1:8">
      <c r="A4" s="2" t="s">
        <v>180</v>
      </c>
      <c r="B4" s="2" t="s">
        <v>181</v>
      </c>
      <c r="C4" s="8">
        <v>30458</v>
      </c>
      <c r="D4" s="2" t="s">
        <v>182</v>
      </c>
      <c r="E4" s="49">
        <v>70000</v>
      </c>
      <c r="F4" s="2" t="str">
        <f t="shared" si="0"/>
        <v>B조</v>
      </c>
    </row>
    <row r="5" spans="1:8">
      <c r="A5" s="2" t="s">
        <v>183</v>
      </c>
      <c r="B5" s="2" t="s">
        <v>184</v>
      </c>
      <c r="C5" s="8">
        <v>29681</v>
      </c>
      <c r="D5" s="2" t="s">
        <v>185</v>
      </c>
      <c r="E5" s="49">
        <v>80000</v>
      </c>
      <c r="F5" s="2" t="str">
        <f t="shared" si="0"/>
        <v>A조</v>
      </c>
    </row>
    <row r="6" spans="1:8">
      <c r="A6" s="2" t="s">
        <v>186</v>
      </c>
      <c r="B6" s="2" t="s">
        <v>187</v>
      </c>
      <c r="C6" s="8">
        <v>32182</v>
      </c>
      <c r="D6" s="2" t="s">
        <v>188</v>
      </c>
      <c r="E6" s="49">
        <v>60000</v>
      </c>
      <c r="F6" s="2" t="str">
        <f t="shared" si="0"/>
        <v>B조</v>
      </c>
    </row>
    <row r="7" spans="1:8">
      <c r="A7" s="2" t="s">
        <v>189</v>
      </c>
      <c r="B7" s="2" t="s">
        <v>190</v>
      </c>
      <c r="C7" s="8">
        <v>28962</v>
      </c>
      <c r="D7" s="2" t="s">
        <v>182</v>
      </c>
      <c r="E7" s="49">
        <v>70000</v>
      </c>
      <c r="F7" s="2" t="str">
        <f t="shared" si="0"/>
        <v>A조</v>
      </c>
    </row>
    <row r="8" spans="1:8">
      <c r="A8" s="2" t="s">
        <v>191</v>
      </c>
      <c r="B8" s="2" t="s">
        <v>192</v>
      </c>
      <c r="C8" s="8">
        <v>34171</v>
      </c>
      <c r="D8" s="2" t="s">
        <v>193</v>
      </c>
      <c r="E8" s="49">
        <v>30000</v>
      </c>
      <c r="F8" s="2" t="str">
        <f t="shared" si="0"/>
        <v>B조</v>
      </c>
    </row>
    <row r="9" spans="1:8">
      <c r="B9" s="50"/>
      <c r="C9" s="50"/>
      <c r="D9" s="50"/>
      <c r="E9" s="50"/>
      <c r="F9" s="50"/>
    </row>
    <row r="10" spans="1:8">
      <c r="A10" s="51" t="s">
        <v>56</v>
      </c>
      <c r="B10" s="51" t="s">
        <v>194</v>
      </c>
    </row>
    <row r="11" spans="1:8">
      <c r="A11" s="2" t="s">
        <v>195</v>
      </c>
      <c r="B11" s="33">
        <v>1</v>
      </c>
      <c r="C11" s="14">
        <v>2</v>
      </c>
      <c r="D11" s="14">
        <v>3</v>
      </c>
      <c r="E11" s="14">
        <v>4</v>
      </c>
      <c r="F11" s="14">
        <v>5</v>
      </c>
    </row>
    <row r="12" spans="1:8">
      <c r="A12" s="2" t="s">
        <v>196</v>
      </c>
      <c r="B12" s="52">
        <v>30000</v>
      </c>
      <c r="C12" s="31">
        <v>60000</v>
      </c>
      <c r="D12" s="31">
        <v>70000</v>
      </c>
      <c r="E12" s="31">
        <v>80000</v>
      </c>
      <c r="F12" s="31">
        <v>85000</v>
      </c>
    </row>
    <row r="13" spans="1:8">
      <c r="A13" s="5" t="s">
        <v>197</v>
      </c>
      <c r="B13" s="52">
        <v>25000</v>
      </c>
      <c r="C13" s="31">
        <v>50000</v>
      </c>
      <c r="D13" s="31">
        <v>60000</v>
      </c>
      <c r="E13" s="31">
        <v>70000</v>
      </c>
      <c r="F13" s="31">
        <v>80000</v>
      </c>
    </row>
    <row r="14" spans="1:8">
      <c r="A14" s="50"/>
      <c r="B14" s="53"/>
    </row>
    <row r="15" spans="1:8">
      <c r="A15" s="1" t="s">
        <v>14</v>
      </c>
    </row>
    <row r="16" spans="1:8">
      <c r="A16" s="2" t="s">
        <v>198</v>
      </c>
      <c r="B16" s="2" t="s">
        <v>199</v>
      </c>
      <c r="C16" s="2" t="s">
        <v>200</v>
      </c>
      <c r="D16" s="2" t="s">
        <v>201</v>
      </c>
      <c r="E16" s="3" t="s">
        <v>202</v>
      </c>
      <c r="F16" s="2" t="s">
        <v>203</v>
      </c>
    </row>
    <row r="17" spans="1:6">
      <c r="A17" s="14" t="s">
        <v>204</v>
      </c>
      <c r="B17" s="14" t="s">
        <v>205</v>
      </c>
      <c r="C17" s="14">
        <v>60</v>
      </c>
      <c r="D17" s="14">
        <v>9</v>
      </c>
      <c r="E17" s="31">
        <f>ns사용요금(C17, D17)</f>
        <v>127500</v>
      </c>
      <c r="F17" s="31">
        <v>35000</v>
      </c>
    </row>
    <row r="18" spans="1:6">
      <c r="A18" s="14" t="s">
        <v>206</v>
      </c>
      <c r="B18" s="14" t="s">
        <v>207</v>
      </c>
      <c r="C18" s="14">
        <v>30</v>
      </c>
      <c r="D18" s="14">
        <v>5</v>
      </c>
      <c r="E18" s="31">
        <f t="shared" ref="E18:E25" si="1">ns사용요금(C18, D18)</f>
        <v>62500</v>
      </c>
      <c r="F18" s="31">
        <v>20000</v>
      </c>
    </row>
    <row r="19" spans="1:6">
      <c r="A19" s="14" t="s">
        <v>208</v>
      </c>
      <c r="B19" s="14" t="s">
        <v>209</v>
      </c>
      <c r="C19" s="14">
        <v>14</v>
      </c>
      <c r="D19" s="14">
        <v>3</v>
      </c>
      <c r="E19" s="31">
        <f t="shared" si="1"/>
        <v>33000</v>
      </c>
      <c r="F19" s="31">
        <v>50000</v>
      </c>
    </row>
    <row r="20" spans="1:6">
      <c r="A20" s="14" t="s">
        <v>210</v>
      </c>
      <c r="B20" s="14" t="s">
        <v>207</v>
      </c>
      <c r="C20" s="14">
        <v>30</v>
      </c>
      <c r="D20" s="14">
        <v>5</v>
      </c>
      <c r="E20" s="31">
        <f t="shared" si="1"/>
        <v>62500</v>
      </c>
      <c r="F20" s="31">
        <v>25000</v>
      </c>
    </row>
    <row r="21" spans="1:6">
      <c r="A21" s="14" t="s">
        <v>211</v>
      </c>
      <c r="B21" s="14" t="s">
        <v>205</v>
      </c>
      <c r="C21" s="14">
        <v>28</v>
      </c>
      <c r="D21" s="14">
        <v>5</v>
      </c>
      <c r="E21" s="31">
        <f t="shared" si="1"/>
        <v>69000</v>
      </c>
      <c r="F21" s="31">
        <v>50000</v>
      </c>
    </row>
    <row r="22" spans="1:6">
      <c r="A22" s="14" t="s">
        <v>212</v>
      </c>
      <c r="B22" s="14" t="s">
        <v>205</v>
      </c>
      <c r="C22" s="14">
        <v>25</v>
      </c>
      <c r="D22" s="14">
        <v>5</v>
      </c>
      <c r="E22" s="31">
        <f t="shared" si="1"/>
        <v>60000</v>
      </c>
      <c r="F22" s="31">
        <v>50000</v>
      </c>
    </row>
    <row r="23" spans="1:6">
      <c r="A23" s="14" t="s">
        <v>213</v>
      </c>
      <c r="B23" s="14" t="s">
        <v>209</v>
      </c>
      <c r="C23" s="14">
        <v>15</v>
      </c>
      <c r="D23" s="14">
        <v>3</v>
      </c>
      <c r="E23" s="31">
        <f t="shared" si="1"/>
        <v>36000</v>
      </c>
      <c r="F23" s="31">
        <v>35000</v>
      </c>
    </row>
    <row r="24" spans="1:6">
      <c r="A24" s="14" t="s">
        <v>214</v>
      </c>
      <c r="B24" s="14" t="s">
        <v>207</v>
      </c>
      <c r="C24" s="14">
        <v>23</v>
      </c>
      <c r="D24" s="14">
        <v>4</v>
      </c>
      <c r="E24" s="31">
        <f t="shared" si="1"/>
        <v>57000</v>
      </c>
      <c r="F24" s="31">
        <v>20000</v>
      </c>
    </row>
    <row r="25" spans="1:6">
      <c r="A25" s="14" t="s">
        <v>215</v>
      </c>
      <c r="B25" s="14" t="s">
        <v>209</v>
      </c>
      <c r="C25" s="14">
        <v>54</v>
      </c>
      <c r="D25" s="14">
        <v>8</v>
      </c>
      <c r="E25" s="31">
        <f t="shared" si="1"/>
        <v>115000</v>
      </c>
      <c r="F25" s="31">
        <v>50000</v>
      </c>
    </row>
    <row r="26" spans="1:6">
      <c r="A26" s="43"/>
      <c r="B26" s="43"/>
      <c r="C26" s="43"/>
      <c r="D26" s="43"/>
      <c r="E26" s="54"/>
      <c r="F26" s="54"/>
    </row>
    <row r="27" spans="1:6">
      <c r="A27" s="1" t="s">
        <v>216</v>
      </c>
    </row>
    <row r="28" spans="1:6">
      <c r="A28" s="14" t="s">
        <v>217</v>
      </c>
      <c r="B28" s="3" t="s">
        <v>218</v>
      </c>
      <c r="D28" s="3" t="s">
        <v>219</v>
      </c>
    </row>
    <row r="29" spans="1:6">
      <c r="A29" s="14" t="s">
        <v>220</v>
      </c>
      <c r="B29" s="2">
        <f t="array" ref="B29">ABS(MEDIAN($F$17:$F$25) - MEDIAN(IF(($B$17:$B$25 = A29), $F$17:$F$25)))</f>
        <v>15000</v>
      </c>
      <c r="C29" s="37"/>
      <c r="D29" s="31">
        <f t="array" ref="D29">MIN(IF(($B$17:$B$25="수영")*($C$17:$C$25&gt;=20),$E$17:$E$25))</f>
        <v>60000</v>
      </c>
    </row>
    <row r="30" spans="1:6">
      <c r="A30" s="14" t="s">
        <v>221</v>
      </c>
      <c r="B30" s="2">
        <f t="array" ref="B30">ABS(MEDIAN($F$17:$F$25) - MEDIAN(IF(($B$17:$B$25 = A30), $F$17:$F$25)))</f>
        <v>15000</v>
      </c>
      <c r="C30" s="37"/>
    </row>
    <row r="31" spans="1:6">
      <c r="A31" s="14" t="s">
        <v>222</v>
      </c>
      <c r="B31" s="2">
        <f t="array" ref="B31">ABS(MEDIAN($F$17:$F$25) - MEDIAN(IF(($B$17:$B$25 = A31), $F$17:$F$25)))</f>
        <v>15000</v>
      </c>
      <c r="C31" s="37"/>
    </row>
  </sheetData>
  <phoneticPr fontId="4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29"/>
  <sheetViews>
    <sheetView workbookViewId="0">
      <selection activeCell="H28" sqref="H28"/>
    </sheetView>
  </sheetViews>
  <sheetFormatPr defaultRowHeight="16.5"/>
  <cols>
    <col min="1" max="3" width="9" style="1"/>
    <col min="4" max="4" width="14.875" style="1" customWidth="1"/>
    <col min="5" max="5" width="9" style="1"/>
    <col min="6" max="6" width="4" style="1" customWidth="1"/>
    <col min="7" max="7" width="9" style="1"/>
    <col min="8" max="8" width="16" style="1" customWidth="1"/>
    <col min="9" max="16384" width="9" style="1"/>
  </cols>
  <sheetData>
    <row r="1" spans="1:11">
      <c r="A1" s="1" t="s">
        <v>0</v>
      </c>
      <c r="G1" s="1" t="s">
        <v>223</v>
      </c>
      <c r="H1" s="55" t="s">
        <v>224</v>
      </c>
      <c r="I1" s="56"/>
      <c r="J1" s="57" t="s">
        <v>225</v>
      </c>
    </row>
    <row r="2" spans="1:11">
      <c r="A2" s="2" t="s">
        <v>226</v>
      </c>
      <c r="B2" s="3" t="s">
        <v>227</v>
      </c>
      <c r="C2" s="3" t="s">
        <v>228</v>
      </c>
      <c r="D2" s="3" t="s">
        <v>229</v>
      </c>
      <c r="G2" s="2" t="s">
        <v>230</v>
      </c>
      <c r="H2" s="2" t="s">
        <v>231</v>
      </c>
      <c r="I2" s="2" t="s">
        <v>232</v>
      </c>
      <c r="J2" s="3" t="s">
        <v>233</v>
      </c>
      <c r="K2" s="3" t="s">
        <v>234</v>
      </c>
    </row>
    <row r="3" spans="1:11">
      <c r="A3" s="2" t="s">
        <v>235</v>
      </c>
      <c r="B3" s="2" t="str">
        <f t="array" ref="B3">SUM(($A$10:$A$29 = $A3) * ($B$10:$B$29 = B$2)) &amp; "명"</f>
        <v>1명</v>
      </c>
      <c r="C3" s="2" t="str">
        <f t="array" ref="C3">SUM(($A$10:$A$29 = $A3) * ($B$10:$B$29 = C$2)) &amp; "명"</f>
        <v>3명</v>
      </c>
      <c r="D3" s="14">
        <f t="array" ref="D3">PERCENTILE(IF(($A$10:$A$29 = A3), $E$10:$E$29), 0.5)</f>
        <v>87.5</v>
      </c>
      <c r="G3" s="2" t="s">
        <v>236</v>
      </c>
      <c r="H3" s="2" t="s">
        <v>237</v>
      </c>
      <c r="I3" s="12">
        <v>1000</v>
      </c>
      <c r="J3" s="58">
        <f>VLOOKUP(H3, $G$16:$I$20, 3, FALSE)</f>
        <v>0.03</v>
      </c>
      <c r="K3" s="12">
        <f>fn지급액(I3, J3)</f>
        <v>1030</v>
      </c>
    </row>
    <row r="4" spans="1:11">
      <c r="A4" s="2" t="s">
        <v>238</v>
      </c>
      <c r="B4" s="2" t="str">
        <f t="array" ref="B4">SUM(($A$10:$A$29 = $A4) * ($B$10:$B$29 = B$2)) &amp; "명"</f>
        <v>2명</v>
      </c>
      <c r="C4" s="2" t="str">
        <f t="array" ref="C4">SUM(($A$10:$A$29 = $A4) * ($B$10:$B$29 = C$2)) &amp; "명"</f>
        <v>4명</v>
      </c>
      <c r="D4" s="14">
        <f t="array" ref="D4">PERCENTILE(IF(($A$10:$A$29 = A4), $E$10:$E$29), 0.5)</f>
        <v>86.5</v>
      </c>
      <c r="G4" s="2" t="s">
        <v>239</v>
      </c>
      <c r="H4" s="2" t="s">
        <v>240</v>
      </c>
      <c r="I4" s="12">
        <v>1500</v>
      </c>
      <c r="J4" s="58">
        <f t="shared" ref="J4:J11" si="0">VLOOKUP(H4, $G$16:$I$20, 3, FALSE)</f>
        <v>0.06</v>
      </c>
      <c r="K4" s="12">
        <f t="shared" ref="K4:K11" si="1">fn지급액(I4, J4)</f>
        <v>1590</v>
      </c>
    </row>
    <row r="5" spans="1:11">
      <c r="A5" s="2" t="s">
        <v>241</v>
      </c>
      <c r="B5" s="2" t="str">
        <f t="array" ref="B5">SUM(($A$10:$A$29 = $A5) * ($B$10:$B$29 = B$2)) &amp; "명"</f>
        <v>4명</v>
      </c>
      <c r="C5" s="2" t="str">
        <f t="array" ref="C5">SUM(($A$10:$A$29 = $A5) * ($B$10:$B$29 = C$2)) &amp; "명"</f>
        <v>2명</v>
      </c>
      <c r="D5" s="14">
        <f t="array" ref="D5">PERCENTILE(IF(($A$10:$A$29 = A5), $E$10:$E$29), 0.5)</f>
        <v>85.5</v>
      </c>
      <c r="G5" s="2" t="s">
        <v>242</v>
      </c>
      <c r="H5" s="2" t="s">
        <v>243</v>
      </c>
      <c r="I5" s="12">
        <v>1800</v>
      </c>
      <c r="J5" s="58">
        <f t="shared" si="0"/>
        <v>0.08</v>
      </c>
      <c r="K5" s="12">
        <f t="shared" si="1"/>
        <v>1944.0000000000002</v>
      </c>
    </row>
    <row r="6" spans="1:11">
      <c r="A6" s="2" t="s">
        <v>244</v>
      </c>
      <c r="B6" s="2" t="str">
        <f t="array" ref="B6">SUM(($A$10:$A$29 = $A6) * ($B$10:$B$29 = B$2)) &amp; "명"</f>
        <v>1명</v>
      </c>
      <c r="C6" s="2" t="str">
        <f t="array" ref="C6">SUM(($A$10:$A$29 = $A6) * ($B$10:$B$29 = C$2)) &amp; "명"</f>
        <v>3명</v>
      </c>
      <c r="D6" s="14">
        <f t="array" ref="D6">PERCENTILE(IF(($A$10:$A$29 = A6), $E$10:$E$29), 0.5)</f>
        <v>88</v>
      </c>
      <c r="G6" s="2" t="s">
        <v>245</v>
      </c>
      <c r="H6" s="2" t="s">
        <v>240</v>
      </c>
      <c r="I6" s="12">
        <v>1500</v>
      </c>
      <c r="J6" s="58">
        <f t="shared" si="0"/>
        <v>0.06</v>
      </c>
      <c r="K6" s="12">
        <f t="shared" si="1"/>
        <v>1590</v>
      </c>
    </row>
    <row r="7" spans="1:11">
      <c r="A7" s="38"/>
      <c r="B7" s="43"/>
      <c r="C7" s="43"/>
      <c r="G7" s="2" t="s">
        <v>246</v>
      </c>
      <c r="H7" s="2" t="s">
        <v>247</v>
      </c>
      <c r="I7" s="12">
        <v>1200</v>
      </c>
      <c r="J7" s="58">
        <f t="shared" si="0"/>
        <v>0.05</v>
      </c>
      <c r="K7" s="12">
        <f t="shared" si="1"/>
        <v>1260</v>
      </c>
    </row>
    <row r="8" spans="1:11">
      <c r="A8" s="1" t="s">
        <v>99</v>
      </c>
      <c r="C8" s="1" t="s">
        <v>248</v>
      </c>
      <c r="G8" s="2" t="s">
        <v>249</v>
      </c>
      <c r="H8" s="2" t="s">
        <v>250</v>
      </c>
      <c r="I8" s="12">
        <v>2100</v>
      </c>
      <c r="J8" s="58">
        <f t="shared" si="0"/>
        <v>0.1</v>
      </c>
      <c r="K8" s="12">
        <f t="shared" si="1"/>
        <v>2310</v>
      </c>
    </row>
    <row r="9" spans="1:11">
      <c r="A9" s="59" t="s">
        <v>226</v>
      </c>
      <c r="B9" s="60" t="s">
        <v>251</v>
      </c>
      <c r="C9" s="60" t="s">
        <v>252</v>
      </c>
      <c r="D9" s="60" t="s">
        <v>253</v>
      </c>
      <c r="E9" s="61" t="s">
        <v>254</v>
      </c>
      <c r="G9" s="2" t="s">
        <v>255</v>
      </c>
      <c r="H9" s="2" t="s">
        <v>247</v>
      </c>
      <c r="I9" s="12">
        <v>1200</v>
      </c>
      <c r="J9" s="58">
        <f t="shared" si="0"/>
        <v>0.05</v>
      </c>
      <c r="K9" s="12">
        <f t="shared" si="1"/>
        <v>1260</v>
      </c>
    </row>
    <row r="10" spans="1:11">
      <c r="A10" s="59" t="s">
        <v>244</v>
      </c>
      <c r="B10" s="60" t="s">
        <v>227</v>
      </c>
      <c r="C10" s="60" t="s">
        <v>256</v>
      </c>
      <c r="D10" s="62" t="s">
        <v>257</v>
      </c>
      <c r="E10" s="63">
        <v>77</v>
      </c>
      <c r="G10" s="2" t="s">
        <v>258</v>
      </c>
      <c r="H10" s="2" t="s">
        <v>250</v>
      </c>
      <c r="I10" s="12">
        <v>2100</v>
      </c>
      <c r="J10" s="58">
        <f t="shared" si="0"/>
        <v>0.1</v>
      </c>
      <c r="K10" s="12">
        <f t="shared" si="1"/>
        <v>2310</v>
      </c>
    </row>
    <row r="11" spans="1:11">
      <c r="A11" s="59" t="s">
        <v>241</v>
      </c>
      <c r="B11" s="60" t="s">
        <v>227</v>
      </c>
      <c r="C11" s="60" t="s">
        <v>259</v>
      </c>
      <c r="D11" s="62" t="s">
        <v>260</v>
      </c>
      <c r="E11" s="63">
        <v>86</v>
      </c>
      <c r="G11" s="2" t="s">
        <v>261</v>
      </c>
      <c r="H11" s="2" t="s">
        <v>237</v>
      </c>
      <c r="I11" s="12">
        <v>1000</v>
      </c>
      <c r="J11" s="58">
        <f t="shared" si="0"/>
        <v>0.03</v>
      </c>
      <c r="K11" s="12">
        <f t="shared" si="1"/>
        <v>1030</v>
      </c>
    </row>
    <row r="12" spans="1:11">
      <c r="A12" s="59" t="s">
        <v>238</v>
      </c>
      <c r="B12" s="60" t="s">
        <v>227</v>
      </c>
      <c r="C12" s="60" t="s">
        <v>262</v>
      </c>
      <c r="D12" s="62" t="s">
        <v>263</v>
      </c>
      <c r="E12" s="63">
        <v>85</v>
      </c>
      <c r="G12" s="195" t="s">
        <v>264</v>
      </c>
      <c r="H12" s="196"/>
      <c r="I12" s="197"/>
      <c r="J12" s="64">
        <v>924</v>
      </c>
      <c r="K12" s="65"/>
    </row>
    <row r="13" spans="1:11">
      <c r="A13" s="59" t="s">
        <v>235</v>
      </c>
      <c r="B13" s="60" t="s">
        <v>227</v>
      </c>
      <c r="C13" s="60" t="s">
        <v>265</v>
      </c>
      <c r="D13" s="62" t="s">
        <v>263</v>
      </c>
      <c r="E13" s="63">
        <v>92</v>
      </c>
    </row>
    <row r="14" spans="1:11">
      <c r="A14" s="59" t="s">
        <v>235</v>
      </c>
      <c r="B14" s="60" t="s">
        <v>266</v>
      </c>
      <c r="C14" s="60" t="s">
        <v>267</v>
      </c>
      <c r="D14" s="62" t="s">
        <v>263</v>
      </c>
      <c r="E14" s="63">
        <v>95</v>
      </c>
      <c r="G14" s="51" t="s">
        <v>268</v>
      </c>
      <c r="H14" s="51" t="s">
        <v>269</v>
      </c>
    </row>
    <row r="15" spans="1:11">
      <c r="A15" s="59" t="s">
        <v>244</v>
      </c>
      <c r="B15" s="60" t="s">
        <v>266</v>
      </c>
      <c r="C15" s="60" t="s">
        <v>270</v>
      </c>
      <c r="D15" s="62" t="s">
        <v>263</v>
      </c>
      <c r="E15" s="63">
        <v>89</v>
      </c>
      <c r="G15" s="2" t="s">
        <v>231</v>
      </c>
      <c r="H15" s="2" t="s">
        <v>232</v>
      </c>
      <c r="I15" s="14" t="s">
        <v>271</v>
      </c>
    </row>
    <row r="16" spans="1:11">
      <c r="A16" s="59" t="s">
        <v>241</v>
      </c>
      <c r="B16" s="60" t="s">
        <v>228</v>
      </c>
      <c r="C16" s="60" t="s">
        <v>272</v>
      </c>
      <c r="D16" s="62" t="s">
        <v>273</v>
      </c>
      <c r="E16" s="63">
        <v>95</v>
      </c>
      <c r="G16" s="2" t="s">
        <v>250</v>
      </c>
      <c r="H16" s="12">
        <v>2100</v>
      </c>
      <c r="I16" s="58">
        <v>0.1</v>
      </c>
    </row>
    <row r="17" spans="1:10">
      <c r="A17" s="59" t="s">
        <v>238</v>
      </c>
      <c r="B17" s="60" t="s">
        <v>227</v>
      </c>
      <c r="C17" s="60" t="s">
        <v>274</v>
      </c>
      <c r="D17" s="62" t="s">
        <v>275</v>
      </c>
      <c r="E17" s="61">
        <v>98</v>
      </c>
      <c r="G17" s="2" t="s">
        <v>243</v>
      </c>
      <c r="H17" s="12">
        <v>1800</v>
      </c>
      <c r="I17" s="58">
        <v>0.08</v>
      </c>
      <c r="J17" s="66"/>
    </row>
    <row r="18" spans="1:10">
      <c r="A18" s="59" t="s">
        <v>244</v>
      </c>
      <c r="B18" s="60" t="s">
        <v>228</v>
      </c>
      <c r="C18" s="60" t="s">
        <v>276</v>
      </c>
      <c r="D18" s="62" t="s">
        <v>273</v>
      </c>
      <c r="E18" s="63">
        <v>87</v>
      </c>
      <c r="G18" s="2" t="s">
        <v>240</v>
      </c>
      <c r="H18" s="12">
        <v>1500</v>
      </c>
      <c r="I18" s="58">
        <v>0.06</v>
      </c>
      <c r="J18" s="66"/>
    </row>
    <row r="19" spans="1:10">
      <c r="A19" s="59" t="s">
        <v>238</v>
      </c>
      <c r="B19" s="60" t="s">
        <v>228</v>
      </c>
      <c r="C19" s="60" t="s">
        <v>277</v>
      </c>
      <c r="D19" s="62" t="s">
        <v>278</v>
      </c>
      <c r="E19" s="63">
        <v>93</v>
      </c>
      <c r="G19" s="2" t="s">
        <v>247</v>
      </c>
      <c r="H19" s="12">
        <v>1200</v>
      </c>
      <c r="I19" s="58">
        <v>0.05</v>
      </c>
      <c r="J19" s="66"/>
    </row>
    <row r="20" spans="1:10">
      <c r="A20" s="59" t="s">
        <v>238</v>
      </c>
      <c r="B20" s="60" t="s">
        <v>266</v>
      </c>
      <c r="C20" s="60" t="s">
        <v>279</v>
      </c>
      <c r="D20" s="62" t="s">
        <v>280</v>
      </c>
      <c r="E20" s="63">
        <v>88</v>
      </c>
      <c r="G20" s="2" t="s">
        <v>237</v>
      </c>
      <c r="H20" s="12">
        <v>1000</v>
      </c>
      <c r="I20" s="58">
        <v>0.03</v>
      </c>
      <c r="J20" s="66"/>
    </row>
    <row r="21" spans="1:10">
      <c r="A21" s="59" t="s">
        <v>238</v>
      </c>
      <c r="B21" s="60" t="s">
        <v>266</v>
      </c>
      <c r="C21" s="60" t="s">
        <v>281</v>
      </c>
      <c r="D21" s="62" t="s">
        <v>282</v>
      </c>
      <c r="E21" s="63">
        <v>69</v>
      </c>
      <c r="J21" s="66"/>
    </row>
    <row r="22" spans="1:10">
      <c r="A22" s="59" t="s">
        <v>238</v>
      </c>
      <c r="B22" s="60" t="s">
        <v>228</v>
      </c>
      <c r="C22" s="60" t="s">
        <v>283</v>
      </c>
      <c r="D22" s="62" t="s">
        <v>284</v>
      </c>
      <c r="E22" s="63">
        <v>78</v>
      </c>
      <c r="G22" s="1" t="s">
        <v>285</v>
      </c>
    </row>
    <row r="23" spans="1:10">
      <c r="A23" s="59" t="s">
        <v>241</v>
      </c>
      <c r="B23" s="60" t="s">
        <v>227</v>
      </c>
      <c r="C23" s="60" t="s">
        <v>286</v>
      </c>
      <c r="D23" s="62" t="s">
        <v>273</v>
      </c>
      <c r="E23" s="63">
        <v>83</v>
      </c>
      <c r="G23" s="2" t="s">
        <v>231</v>
      </c>
      <c r="H23" s="3" t="s">
        <v>287</v>
      </c>
    </row>
    <row r="24" spans="1:10">
      <c r="A24" s="59" t="s">
        <v>241</v>
      </c>
      <c r="B24" s="60" t="s">
        <v>228</v>
      </c>
      <c r="C24" s="60" t="s">
        <v>288</v>
      </c>
      <c r="D24" s="62" t="s">
        <v>289</v>
      </c>
      <c r="E24" s="63">
        <v>85</v>
      </c>
      <c r="G24" s="2" t="s">
        <v>250</v>
      </c>
      <c r="H24" s="14">
        <f t="array" ref="H24">ROUNDDOWN(SUM(($H$3:$H$11 = G24) * ($I$3:$I$11*$J$3:$J$11)) / $J$12, 2)</f>
        <v>0.45</v>
      </c>
    </row>
    <row r="25" spans="1:10">
      <c r="A25" s="59" t="s">
        <v>241</v>
      </c>
      <c r="B25" s="60" t="s">
        <v>227</v>
      </c>
      <c r="C25" s="60" t="s">
        <v>290</v>
      </c>
      <c r="D25" s="62" t="s">
        <v>275</v>
      </c>
      <c r="E25" s="61">
        <v>78</v>
      </c>
      <c r="G25" s="2" t="s">
        <v>243</v>
      </c>
      <c r="H25" s="14">
        <f t="array" ref="H25">ROUNDDOWN(SUM(($H$3:$H$11 = G25) * ($I$3:$I$11*$J$3:$J$11)) / $J$12, 2)</f>
        <v>0.15</v>
      </c>
    </row>
    <row r="26" spans="1:10">
      <c r="A26" s="59" t="s">
        <v>241</v>
      </c>
      <c r="B26" s="60" t="s">
        <v>227</v>
      </c>
      <c r="C26" s="60" t="s">
        <v>291</v>
      </c>
      <c r="D26" s="62" t="s">
        <v>275</v>
      </c>
      <c r="E26" s="61">
        <v>100</v>
      </c>
      <c r="G26" s="2" t="s">
        <v>240</v>
      </c>
      <c r="H26" s="14">
        <f t="array" ref="H26">ROUNDDOWN(SUM(($H$3:$H$11 = G26) * ($I$3:$I$11*$J$3:$J$11)) / $J$12, 2)</f>
        <v>0.19</v>
      </c>
    </row>
    <row r="27" spans="1:10">
      <c r="A27" s="59" t="s">
        <v>244</v>
      </c>
      <c r="B27" s="60" t="s">
        <v>228</v>
      </c>
      <c r="C27" s="60" t="s">
        <v>292</v>
      </c>
      <c r="D27" s="62" t="s">
        <v>273</v>
      </c>
      <c r="E27" s="63">
        <v>90</v>
      </c>
      <c r="G27" s="2" t="s">
        <v>247</v>
      </c>
      <c r="H27" s="14">
        <f t="array" ref="H27">ROUNDDOWN(SUM(($H$3:$H$11 = G27) * ($I$3:$I$11*$J$3:$J$11)) / $J$12, 2)</f>
        <v>0.12</v>
      </c>
    </row>
    <row r="28" spans="1:10">
      <c r="A28" s="59" t="s">
        <v>235</v>
      </c>
      <c r="B28" s="60" t="s">
        <v>266</v>
      </c>
      <c r="C28" s="60" t="s">
        <v>293</v>
      </c>
      <c r="D28" s="62" t="s">
        <v>263</v>
      </c>
      <c r="E28" s="63">
        <v>83</v>
      </c>
      <c r="G28" s="2" t="s">
        <v>237</v>
      </c>
      <c r="H28" s="14">
        <f t="array" ref="H28">ROUNDDOWN(SUM(($H$3:$H$11 = G28) * ($I$3:$I$11*$J$3:$J$11)) / $J$12, 2)</f>
        <v>0.06</v>
      </c>
    </row>
    <row r="29" spans="1:10">
      <c r="A29" s="59" t="s">
        <v>235</v>
      </c>
      <c r="B29" s="60" t="s">
        <v>266</v>
      </c>
      <c r="C29" s="60" t="s">
        <v>294</v>
      </c>
      <c r="D29" s="62" t="s">
        <v>280</v>
      </c>
      <c r="E29" s="63">
        <v>79</v>
      </c>
    </row>
  </sheetData>
  <mergeCells count="1">
    <mergeCell ref="G12:I12"/>
  </mergeCells>
  <phoneticPr fontId="4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23"/>
  <sheetViews>
    <sheetView workbookViewId="0">
      <selection activeCell="I15" sqref="I15"/>
    </sheetView>
  </sheetViews>
  <sheetFormatPr defaultRowHeight="16.5"/>
  <cols>
    <col min="1" max="1" width="11.125" style="1" bestFit="1" customWidth="1"/>
    <col min="2" max="2" width="11.375" style="1" customWidth="1"/>
    <col min="3" max="3" width="11.75" style="1" bestFit="1" customWidth="1"/>
    <col min="4" max="4" width="11.125" style="1" bestFit="1" customWidth="1"/>
    <col min="5" max="5" width="9" style="1"/>
    <col min="6" max="6" width="14.375" style="1" customWidth="1"/>
    <col min="7" max="7" width="11.125" style="1" bestFit="1" customWidth="1"/>
    <col min="8" max="8" width="10.625" style="1" bestFit="1" customWidth="1"/>
    <col min="9" max="16384" width="9" style="1"/>
  </cols>
  <sheetData>
    <row r="1" spans="1:7">
      <c r="A1" s="1" t="s">
        <v>295</v>
      </c>
      <c r="F1" s="57"/>
      <c r="G1" s="67"/>
    </row>
    <row r="2" spans="1:7">
      <c r="A2" s="2" t="s">
        <v>296</v>
      </c>
      <c r="B2" s="2" t="s">
        <v>297</v>
      </c>
      <c r="C2" s="2" t="s">
        <v>298</v>
      </c>
      <c r="D2" s="2" t="s">
        <v>28</v>
      </c>
      <c r="E2" s="2" t="s">
        <v>299</v>
      </c>
      <c r="F2" s="3" t="s">
        <v>300</v>
      </c>
      <c r="G2" s="3" t="s">
        <v>301</v>
      </c>
    </row>
    <row r="3" spans="1:7">
      <c r="A3" s="2" t="s">
        <v>121</v>
      </c>
      <c r="B3" s="2" t="s">
        <v>113</v>
      </c>
      <c r="C3" s="2" t="s">
        <v>302</v>
      </c>
      <c r="D3" s="12">
        <v>5000</v>
      </c>
      <c r="E3" s="12">
        <v>28000</v>
      </c>
      <c r="F3" s="13">
        <f>성과급(E3)</f>
        <v>7000</v>
      </c>
      <c r="G3" s="44">
        <f>(D3 + F3) * (1 - HLOOKUP(D3 + F3, $B$14:$E$15, 2, TRUE))</f>
        <v>10200</v>
      </c>
    </row>
    <row r="4" spans="1:7">
      <c r="A4" s="2" t="s">
        <v>112</v>
      </c>
      <c r="B4" s="2" t="s">
        <v>113</v>
      </c>
      <c r="C4" s="2" t="s">
        <v>303</v>
      </c>
      <c r="D4" s="12">
        <v>4000</v>
      </c>
      <c r="E4" s="12">
        <v>16000</v>
      </c>
      <c r="F4" s="13">
        <f t="shared" ref="F4:F11" si="0">성과급(E4)</f>
        <v>3200</v>
      </c>
      <c r="G4" s="44">
        <f t="shared" ref="G4:G11" si="1">(D4 + F4) * (1 - HLOOKUP(D4 + F4, $B$14:$E$15, 2, TRUE))</f>
        <v>6480</v>
      </c>
    </row>
    <row r="5" spans="1:7">
      <c r="A5" s="2" t="s">
        <v>117</v>
      </c>
      <c r="B5" s="2" t="s">
        <v>16</v>
      </c>
      <c r="C5" s="2" t="s">
        <v>303</v>
      </c>
      <c r="D5" s="12">
        <v>1000</v>
      </c>
      <c r="E5" s="12">
        <v>22000</v>
      </c>
      <c r="F5" s="13">
        <f t="shared" si="0"/>
        <v>5500</v>
      </c>
      <c r="G5" s="44">
        <f t="shared" si="1"/>
        <v>5850</v>
      </c>
    </row>
    <row r="6" spans="1:7">
      <c r="A6" s="2" t="s">
        <v>119</v>
      </c>
      <c r="B6" s="2" t="s">
        <v>113</v>
      </c>
      <c r="C6" s="2" t="s">
        <v>303</v>
      </c>
      <c r="D6" s="12">
        <v>4000</v>
      </c>
      <c r="E6" s="12">
        <v>5000</v>
      </c>
      <c r="F6" s="13">
        <f t="shared" si="0"/>
        <v>750</v>
      </c>
      <c r="G6" s="44">
        <f t="shared" si="1"/>
        <v>4512.5</v>
      </c>
    </row>
    <row r="7" spans="1:7">
      <c r="A7" s="2" t="s">
        <v>123</v>
      </c>
      <c r="B7" s="2" t="s">
        <v>110</v>
      </c>
      <c r="C7" s="2" t="s">
        <v>303</v>
      </c>
      <c r="D7" s="12">
        <v>4000</v>
      </c>
      <c r="E7" s="12">
        <v>3000</v>
      </c>
      <c r="F7" s="13">
        <f t="shared" si="0"/>
        <v>450</v>
      </c>
      <c r="G7" s="44">
        <f t="shared" si="1"/>
        <v>4227.5</v>
      </c>
    </row>
    <row r="8" spans="1:7">
      <c r="A8" s="2" t="s">
        <v>109</v>
      </c>
      <c r="B8" s="2" t="s">
        <v>110</v>
      </c>
      <c r="C8" s="2" t="s">
        <v>304</v>
      </c>
      <c r="D8" s="12">
        <v>3000</v>
      </c>
      <c r="E8" s="12">
        <v>7000</v>
      </c>
      <c r="F8" s="13">
        <f t="shared" si="0"/>
        <v>1050</v>
      </c>
      <c r="G8" s="44">
        <f t="shared" si="1"/>
        <v>3847.5</v>
      </c>
    </row>
    <row r="9" spans="1:7">
      <c r="A9" s="2" t="s">
        <v>125</v>
      </c>
      <c r="B9" s="2" t="s">
        <v>110</v>
      </c>
      <c r="C9" s="2" t="s">
        <v>304</v>
      </c>
      <c r="D9" s="12">
        <v>3000</v>
      </c>
      <c r="E9" s="12">
        <v>32000</v>
      </c>
      <c r="F9" s="13">
        <f t="shared" si="0"/>
        <v>8000</v>
      </c>
      <c r="G9" s="44">
        <f t="shared" si="1"/>
        <v>9350</v>
      </c>
    </row>
    <row r="10" spans="1:7">
      <c r="A10" s="2" t="s">
        <v>115</v>
      </c>
      <c r="B10" s="2" t="s">
        <v>16</v>
      </c>
      <c r="C10" s="2" t="s">
        <v>305</v>
      </c>
      <c r="D10" s="12">
        <v>1000</v>
      </c>
      <c r="E10" s="12">
        <v>6000</v>
      </c>
      <c r="F10" s="13">
        <f t="shared" si="0"/>
        <v>900</v>
      </c>
      <c r="G10" s="44">
        <f t="shared" si="1"/>
        <v>1900</v>
      </c>
    </row>
    <row r="11" spans="1:7">
      <c r="A11" s="2" t="s">
        <v>127</v>
      </c>
      <c r="B11" s="2" t="s">
        <v>113</v>
      </c>
      <c r="C11" s="2" t="s">
        <v>305</v>
      </c>
      <c r="D11" s="12">
        <v>1000</v>
      </c>
      <c r="E11" s="12">
        <v>15000</v>
      </c>
      <c r="F11" s="13">
        <f t="shared" si="0"/>
        <v>3000</v>
      </c>
      <c r="G11" s="44">
        <f t="shared" si="1"/>
        <v>3800</v>
      </c>
    </row>
    <row r="12" spans="1:7">
      <c r="A12" s="38"/>
      <c r="B12" s="38"/>
      <c r="C12" s="38"/>
      <c r="D12" s="65"/>
      <c r="E12" s="65"/>
      <c r="F12" s="68"/>
      <c r="G12" s="69"/>
    </row>
    <row r="13" spans="1:7">
      <c r="A13" s="51" t="s">
        <v>306</v>
      </c>
      <c r="B13" s="57" t="s">
        <v>307</v>
      </c>
    </row>
    <row r="14" spans="1:7">
      <c r="A14" s="33" t="s">
        <v>147</v>
      </c>
      <c r="B14" s="12">
        <v>1</v>
      </c>
      <c r="C14" s="12">
        <v>3000</v>
      </c>
      <c r="D14" s="12">
        <v>6000</v>
      </c>
      <c r="E14" s="12">
        <v>9000</v>
      </c>
    </row>
    <row r="15" spans="1:7">
      <c r="A15" s="33" t="s">
        <v>308</v>
      </c>
      <c r="B15" s="15">
        <v>0</v>
      </c>
      <c r="C15" s="15">
        <v>0.05</v>
      </c>
      <c r="D15" s="15">
        <v>0.1</v>
      </c>
      <c r="E15" s="15">
        <v>0.15</v>
      </c>
    </row>
    <row r="17" spans="1:6">
      <c r="A17" s="1" t="s">
        <v>140</v>
      </c>
    </row>
    <row r="18" spans="1:6">
      <c r="A18" s="2" t="s">
        <v>298</v>
      </c>
      <c r="B18" s="3" t="s">
        <v>309</v>
      </c>
      <c r="C18" s="3" t="s">
        <v>310</v>
      </c>
      <c r="E18" s="34" t="s">
        <v>311</v>
      </c>
    </row>
    <row r="19" spans="1:6">
      <c r="A19" s="2">
        <v>2</v>
      </c>
      <c r="B19" s="12">
        <f t="array" ref="B19">MEDIAN(IF(($C$3:$C$11 = A19 &amp; "급"), $E$3:$E$11))</f>
        <v>28000</v>
      </c>
      <c r="C19" s="12">
        <f t="array" ref="C19">SUM(($C$3:$C$11 = A19 &amp; "급") * ($E$3:$E$11 &gt;= 10000) * $F$3:$F$11)</f>
        <v>7000</v>
      </c>
      <c r="E19" s="14">
        <f>DCOUNTA($A$2:$G$11,1,E21:F22)</f>
        <v>3</v>
      </c>
    </row>
    <row r="20" spans="1:6">
      <c r="A20" s="2">
        <v>3</v>
      </c>
      <c r="B20" s="12">
        <f t="array" ref="B20">MEDIAN(IF(($C$3:$C$11 = A20 &amp; "급"), $E$3:$E$11))</f>
        <v>10500</v>
      </c>
      <c r="C20" s="12">
        <f t="array" ref="C20">SUM(($C$3:$C$11 = A20 &amp; "급") * ($E$3:$E$11 &gt;= 10000) * $F$3:$F$11)</f>
        <v>8700</v>
      </c>
    </row>
    <row r="21" spans="1:6">
      <c r="A21" s="2">
        <v>4</v>
      </c>
      <c r="B21" s="12">
        <f t="array" ref="B21">MEDIAN(IF(($C$3:$C$11 = A21 &amp; "급"), $E$3:$E$11))</f>
        <v>19500</v>
      </c>
      <c r="C21" s="12">
        <f t="array" ref="C21">SUM(($C$3:$C$11 = A21 &amp; "급") * ($E$3:$E$11 &gt;= 10000) * $F$3:$F$11)</f>
        <v>8000</v>
      </c>
      <c r="E21" s="34" t="s">
        <v>1065</v>
      </c>
      <c r="F21" s="34" t="s">
        <v>1067</v>
      </c>
    </row>
    <row r="22" spans="1:6">
      <c r="A22" s="2">
        <v>5</v>
      </c>
      <c r="B22" s="12">
        <f t="array" ref="B22">MEDIAN(IF(($C$3:$C$11 = A22 &amp; "급"), $E$3:$E$11))</f>
        <v>10500</v>
      </c>
      <c r="C22" s="12">
        <f t="array" ref="C22">SUM(($C$3:$C$11 = A22 &amp; "급") * ($E$3:$E$11 &gt;= 10000) * $F$3:$F$11)</f>
        <v>3000</v>
      </c>
      <c r="E22" s="34" t="s">
        <v>1066</v>
      </c>
      <c r="F22" s="34" t="s">
        <v>1068</v>
      </c>
    </row>
    <row r="23" spans="1:6">
      <c r="A23" s="43"/>
      <c r="B23" s="65"/>
      <c r="C23" s="43"/>
      <c r="E23" s="34"/>
      <c r="F23" s="34"/>
    </row>
  </sheetData>
  <phoneticPr fontId="4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I23"/>
  <sheetViews>
    <sheetView workbookViewId="0">
      <selection activeCell="J19" sqref="J19"/>
    </sheetView>
  </sheetViews>
  <sheetFormatPr defaultRowHeight="16.5"/>
  <cols>
    <col min="1" max="1" width="7.375" style="32" customWidth="1"/>
    <col min="2" max="2" width="7.625" style="32" customWidth="1"/>
    <col min="3" max="3" width="18" style="32" bestFit="1" customWidth="1"/>
    <col min="4" max="4" width="13.5" style="32" customWidth="1"/>
    <col min="5" max="6" width="8.375" style="32" customWidth="1"/>
    <col min="7" max="7" width="10.375" style="32" customWidth="1"/>
    <col min="8" max="8" width="8.125" style="32" customWidth="1"/>
    <col min="9" max="9" width="8.25" style="32" customWidth="1"/>
    <col min="10" max="16384" width="9" style="32"/>
  </cols>
  <sheetData>
    <row r="1" spans="1:9">
      <c r="A1" s="70" t="s">
        <v>312</v>
      </c>
    </row>
    <row r="2" spans="1:9">
      <c r="A2" s="2" t="s">
        <v>313</v>
      </c>
      <c r="B2" s="3" t="s">
        <v>314</v>
      </c>
      <c r="C2" s="3" t="s">
        <v>315</v>
      </c>
    </row>
    <row r="3" spans="1:9">
      <c r="A3" s="2" t="s">
        <v>316</v>
      </c>
      <c r="B3" s="5">
        <f t="array" ref="B3">AVERAGE(IF(($A$9:$A$18 = $A3) * (MID($C$9:$C$18, 8, 1) = MID(B$2, 3, 1)), $E$9:$E$18))</f>
        <v>6000</v>
      </c>
      <c r="C3" s="5">
        <f t="array" ref="C3">AVERAGE(IF(($A$9:$A$18 = $A3) * (MID($C$9:$C$18, 8, 1) = MID(C$2, 3, 1)), $E$9:$E$18))</f>
        <v>4500</v>
      </c>
    </row>
    <row r="4" spans="1:9">
      <c r="A4" s="2" t="s">
        <v>317</v>
      </c>
      <c r="B4" s="5">
        <f t="array" ref="B4">AVERAGE(IF(($A$9:$A$18 = $A4) * (MID($C$9:$C$18, 8, 1) = MID(B$2, 3, 1)), $E$9:$E$18))</f>
        <v>4750</v>
      </c>
      <c r="C4" s="5">
        <f t="array" ref="C4">AVERAGE(IF(($A$9:$A$18 = $A4) * (MID($C$9:$C$18, 8, 1) = MID(C$2, 3, 1)), $E$9:$E$18))</f>
        <v>8500</v>
      </c>
    </row>
    <row r="5" spans="1:9">
      <c r="A5" s="2" t="s">
        <v>318</v>
      </c>
      <c r="B5" s="5">
        <f t="array" ref="B5">AVERAGE(IF(($A$9:$A$18 = $A5) * (MID($C$9:$C$18, 8, 1) = MID(B$2, 3, 1)), $E$9:$E$18))</f>
        <v>3000</v>
      </c>
      <c r="C5" s="5">
        <f t="array" ref="C5">AVERAGE(IF(($A$9:$A$18 = $A5) * (MID($C$9:$C$18, 8, 1) = MID(C$2, 3, 1)), $E$9:$E$18))</f>
        <v>8000</v>
      </c>
    </row>
    <row r="6" spans="1:9">
      <c r="A6" s="38"/>
      <c r="B6" s="38"/>
      <c r="C6" s="38"/>
    </row>
    <row r="7" spans="1:9">
      <c r="A7" s="70" t="s">
        <v>319</v>
      </c>
    </row>
    <row r="8" spans="1:9">
      <c r="A8" s="5" t="s">
        <v>320</v>
      </c>
      <c r="B8" s="5" t="s">
        <v>321</v>
      </c>
      <c r="C8" s="5" t="s">
        <v>322</v>
      </c>
      <c r="D8" s="3" t="s">
        <v>323</v>
      </c>
      <c r="E8" s="5" t="s">
        <v>324</v>
      </c>
      <c r="F8" s="5" t="s">
        <v>325</v>
      </c>
      <c r="G8" s="3" t="s">
        <v>326</v>
      </c>
      <c r="H8" s="5" t="s">
        <v>327</v>
      </c>
      <c r="I8" s="3" t="s">
        <v>328</v>
      </c>
    </row>
    <row r="9" spans="1:9">
      <c r="A9" s="5" t="s">
        <v>329</v>
      </c>
      <c r="B9" s="5" t="s">
        <v>330</v>
      </c>
      <c r="C9" s="2" t="s">
        <v>833</v>
      </c>
      <c r="D9" s="8">
        <f>DATE("19" &amp; MID(C9,1,2),MID(C9,3,2),MID(C9,5,2))</f>
        <v>24857</v>
      </c>
      <c r="E9" s="25">
        <v>1500</v>
      </c>
      <c r="F9" s="5" t="s">
        <v>331</v>
      </c>
      <c r="G9" s="25">
        <f t="shared" ref="G9:G10" si="0">IF(AND(E9&gt;=8000,F9="기혼"),E9*1,IF(E9&gt;=5000,E9*0.8,E9*0.6))</f>
        <v>900</v>
      </c>
      <c r="H9" s="25">
        <v>1500</v>
      </c>
      <c r="I9" s="25">
        <f>sh총대여액(G9, H9)</f>
        <v>2400</v>
      </c>
    </row>
    <row r="10" spans="1:9">
      <c r="A10" s="5" t="s">
        <v>332</v>
      </c>
      <c r="B10" s="5" t="s">
        <v>333</v>
      </c>
      <c r="C10" s="2" t="s">
        <v>834</v>
      </c>
      <c r="D10" s="8">
        <f t="shared" ref="D10:D18" si="1">DATE("19" &amp; MID(C10,1,2),MID(C10,3,2),MID(C10,5,2))</f>
        <v>34957</v>
      </c>
      <c r="E10" s="25">
        <v>8500</v>
      </c>
      <c r="F10" s="5" t="s">
        <v>334</v>
      </c>
      <c r="G10" s="25">
        <f t="shared" si="0"/>
        <v>6800</v>
      </c>
      <c r="H10" s="25">
        <v>1500</v>
      </c>
      <c r="I10" s="25">
        <f t="shared" ref="I10:I18" si="2">sh총대여액(G10, H10)</f>
        <v>8300</v>
      </c>
    </row>
    <row r="11" spans="1:9">
      <c r="A11" s="5" t="s">
        <v>335</v>
      </c>
      <c r="B11" s="5" t="s">
        <v>336</v>
      </c>
      <c r="C11" s="2" t="s">
        <v>835</v>
      </c>
      <c r="D11" s="8">
        <f t="shared" si="1"/>
        <v>29790</v>
      </c>
      <c r="E11" s="25">
        <v>6000</v>
      </c>
      <c r="F11" s="5" t="s">
        <v>334</v>
      </c>
      <c r="G11" s="25">
        <f>IF(AND(E11&gt;=8000,F11="기혼"),E11*1,IF(E11&gt;=5000,E11*0.8,E11*0.6))</f>
        <v>4800</v>
      </c>
      <c r="H11" s="25">
        <v>2500</v>
      </c>
      <c r="I11" s="25">
        <f t="shared" si="2"/>
        <v>7300</v>
      </c>
    </row>
    <row r="12" spans="1:9">
      <c r="A12" s="5" t="s">
        <v>329</v>
      </c>
      <c r="B12" s="5" t="s">
        <v>337</v>
      </c>
      <c r="C12" s="2" t="s">
        <v>836</v>
      </c>
      <c r="D12" s="8">
        <f t="shared" si="1"/>
        <v>33237</v>
      </c>
      <c r="E12" s="25">
        <v>4500</v>
      </c>
      <c r="F12" s="5" t="s">
        <v>331</v>
      </c>
      <c r="G12" s="25">
        <f t="shared" ref="G12:G18" si="3">IF(AND(E12&gt;=8000,F12="기혼"),E12*1,IF(E12&gt;=5000,E12*0.8,E12*0.6))</f>
        <v>2700</v>
      </c>
      <c r="H12" s="25">
        <v>1000</v>
      </c>
      <c r="I12" s="25">
        <f t="shared" si="2"/>
        <v>3700</v>
      </c>
    </row>
    <row r="13" spans="1:9">
      <c r="A13" s="5" t="s">
        <v>335</v>
      </c>
      <c r="B13" s="5" t="s">
        <v>338</v>
      </c>
      <c r="C13" s="2" t="s">
        <v>837</v>
      </c>
      <c r="D13" s="8">
        <f t="shared" si="1"/>
        <v>34156</v>
      </c>
      <c r="E13" s="25">
        <v>5500</v>
      </c>
      <c r="F13" s="5" t="s">
        <v>334</v>
      </c>
      <c r="G13" s="25">
        <f t="shared" si="3"/>
        <v>4400</v>
      </c>
      <c r="H13" s="25">
        <v>2000</v>
      </c>
      <c r="I13" s="25">
        <f t="shared" si="2"/>
        <v>6400</v>
      </c>
    </row>
    <row r="14" spans="1:9">
      <c r="A14" s="5" t="s">
        <v>335</v>
      </c>
      <c r="B14" s="5" t="s">
        <v>339</v>
      </c>
      <c r="C14" s="2" t="s">
        <v>838</v>
      </c>
      <c r="D14" s="8">
        <f t="shared" si="1"/>
        <v>29606</v>
      </c>
      <c r="E14" s="25">
        <v>3000</v>
      </c>
      <c r="F14" s="5" t="s">
        <v>331</v>
      </c>
      <c r="G14" s="25">
        <f t="shared" si="3"/>
        <v>1800</v>
      </c>
      <c r="H14" s="25">
        <v>2500</v>
      </c>
      <c r="I14" s="25">
        <f t="shared" si="2"/>
        <v>4300</v>
      </c>
    </row>
    <row r="15" spans="1:9">
      <c r="A15" s="5" t="s">
        <v>332</v>
      </c>
      <c r="B15" s="5" t="s">
        <v>340</v>
      </c>
      <c r="C15" s="2" t="s">
        <v>839</v>
      </c>
      <c r="D15" s="8">
        <f t="shared" si="1"/>
        <v>33743</v>
      </c>
      <c r="E15" s="25">
        <v>7500</v>
      </c>
      <c r="F15" s="5" t="s">
        <v>331</v>
      </c>
      <c r="G15" s="25">
        <f t="shared" si="3"/>
        <v>6000</v>
      </c>
      <c r="H15" s="25">
        <v>1500</v>
      </c>
      <c r="I15" s="25">
        <f t="shared" si="2"/>
        <v>7500</v>
      </c>
    </row>
    <row r="16" spans="1:9">
      <c r="A16" s="5" t="s">
        <v>332</v>
      </c>
      <c r="B16" s="5" t="s">
        <v>341</v>
      </c>
      <c r="C16" s="2" t="s">
        <v>840</v>
      </c>
      <c r="D16" s="8">
        <f t="shared" si="1"/>
        <v>31072</v>
      </c>
      <c r="E16" s="25">
        <v>2000</v>
      </c>
      <c r="F16" s="5" t="s">
        <v>334</v>
      </c>
      <c r="G16" s="25">
        <f t="shared" si="3"/>
        <v>1200</v>
      </c>
      <c r="H16" s="25">
        <v>1500</v>
      </c>
      <c r="I16" s="25">
        <f t="shared" si="2"/>
        <v>2700</v>
      </c>
    </row>
    <row r="17" spans="1:9">
      <c r="A17" s="5" t="s">
        <v>329</v>
      </c>
      <c r="B17" s="5" t="s">
        <v>342</v>
      </c>
      <c r="C17" s="2" t="s">
        <v>841</v>
      </c>
      <c r="D17" s="8">
        <f t="shared" si="1"/>
        <v>32467</v>
      </c>
      <c r="E17" s="25">
        <v>8000</v>
      </c>
      <c r="F17" s="5" t="s">
        <v>331</v>
      </c>
      <c r="G17" s="25">
        <f t="shared" si="3"/>
        <v>8000</v>
      </c>
      <c r="H17" s="25">
        <v>1000</v>
      </c>
      <c r="I17" s="25">
        <f t="shared" si="2"/>
        <v>9000</v>
      </c>
    </row>
    <row r="18" spans="1:9">
      <c r="A18" s="5" t="s">
        <v>335</v>
      </c>
      <c r="B18" s="5" t="s">
        <v>343</v>
      </c>
      <c r="C18" s="2" t="s">
        <v>842</v>
      </c>
      <c r="D18" s="8">
        <f t="shared" si="1"/>
        <v>30424</v>
      </c>
      <c r="E18" s="25">
        <v>5000</v>
      </c>
      <c r="F18" s="5" t="s">
        <v>334</v>
      </c>
      <c r="G18" s="25">
        <f t="shared" si="3"/>
        <v>4000</v>
      </c>
      <c r="H18" s="25">
        <v>2500</v>
      </c>
      <c r="I18" s="25">
        <f t="shared" si="2"/>
        <v>6500</v>
      </c>
    </row>
    <row r="19" spans="1:9">
      <c r="A19" s="50"/>
      <c r="B19" s="50"/>
      <c r="C19" s="38"/>
      <c r="D19" s="71"/>
      <c r="E19" s="72"/>
      <c r="F19" s="50"/>
      <c r="G19" s="72"/>
      <c r="H19" s="72"/>
      <c r="I19" s="72"/>
    </row>
    <row r="20" spans="1:9">
      <c r="A20" s="70" t="s">
        <v>344</v>
      </c>
    </row>
    <row r="21" spans="1:9">
      <c r="A21" s="194" t="s">
        <v>345</v>
      </c>
      <c r="B21" s="194"/>
    </row>
    <row r="22" spans="1:9">
      <c r="A22" s="3" t="s">
        <v>331</v>
      </c>
      <c r="B22" s="2" t="str">
        <f t="array" ref="B22">INDEX($A$9:$I$18, MATCH(MIN(IF(($F$9:$F$18 = A22), $E$9:$E$18)), $E$9:$E$18, 0), 2)</f>
        <v>김기춘</v>
      </c>
    </row>
    <row r="23" spans="1:9">
      <c r="A23" s="3" t="s">
        <v>334</v>
      </c>
      <c r="B23" s="2" t="str">
        <f t="array" ref="B23">INDEX($A$9:$I$18, MATCH(MIN(IF(($F$9:$F$18 = A23), $E$9:$E$18)), $E$9:$E$18, 0), 2)</f>
        <v>김미영</v>
      </c>
    </row>
  </sheetData>
  <mergeCells count="1">
    <mergeCell ref="A21:B21"/>
  </mergeCells>
  <phoneticPr fontId="4" type="noConversion"/>
  <conditionalFormatting sqref="C9:D19">
    <cfRule type="expression" dxfId="4" priority="4" stopIfTrue="1">
      <formula>$J9=100000</formula>
    </cfRule>
  </conditionalFormatting>
  <conditionalFormatting sqref="C13">
    <cfRule type="expression" dxfId="3" priority="3" stopIfTrue="1">
      <formula>$J13=100000</formula>
    </cfRule>
  </conditionalFormatting>
  <conditionalFormatting sqref="C9:C18">
    <cfRule type="expression" dxfId="2" priority="2" stopIfTrue="1">
      <formula>$J9=100000</formula>
    </cfRule>
  </conditionalFormatting>
  <conditionalFormatting sqref="C13">
    <cfRule type="expression" dxfId="1" priority="1" stopIfTrue="1">
      <formula>$J13=100000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P23"/>
  <sheetViews>
    <sheetView workbookViewId="0">
      <selection activeCell="M22" sqref="M22"/>
    </sheetView>
  </sheetViews>
  <sheetFormatPr defaultRowHeight="16.5"/>
  <cols>
    <col min="1" max="4" width="7.625" style="1" customWidth="1"/>
    <col min="5" max="5" width="6" style="1" customWidth="1"/>
    <col min="6" max="6" width="10.5" style="1" customWidth="1"/>
    <col min="7" max="7" width="5.375" style="1" customWidth="1"/>
    <col min="8" max="9" width="7.625" style="1" customWidth="1"/>
    <col min="10" max="10" width="2.375" style="1" customWidth="1"/>
    <col min="11" max="11" width="6.875" style="1" customWidth="1"/>
    <col min="12" max="12" width="7.5" style="1" customWidth="1"/>
    <col min="13" max="13" width="6.625" style="1" customWidth="1"/>
    <col min="14" max="16" width="4.25" style="1" customWidth="1"/>
    <col min="17" max="16384" width="9" style="1"/>
  </cols>
  <sheetData>
    <row r="1" spans="1:16">
      <c r="A1" s="1" t="s">
        <v>19</v>
      </c>
      <c r="K1" s="1" t="s">
        <v>56</v>
      </c>
      <c r="L1" s="1" t="s">
        <v>346</v>
      </c>
    </row>
    <row r="2" spans="1:16">
      <c r="A2" s="2" t="s">
        <v>23</v>
      </c>
      <c r="B2" s="2" t="s">
        <v>347</v>
      </c>
      <c r="C2" s="2" t="s">
        <v>348</v>
      </c>
      <c r="D2" s="2" t="s">
        <v>349</v>
      </c>
      <c r="E2" s="2" t="s">
        <v>12</v>
      </c>
      <c r="F2" s="5" t="s">
        <v>170</v>
      </c>
      <c r="G2" s="3" t="s">
        <v>13</v>
      </c>
      <c r="H2" s="3" t="s">
        <v>350</v>
      </c>
      <c r="I2" s="2" t="s">
        <v>351</v>
      </c>
      <c r="K2" s="198" t="s">
        <v>352</v>
      </c>
      <c r="L2" s="199"/>
      <c r="M2" s="2" t="s">
        <v>13</v>
      </c>
      <c r="N2" s="3">
        <v>1</v>
      </c>
      <c r="O2" s="34">
        <v>2</v>
      </c>
      <c r="P2" s="34">
        <v>3</v>
      </c>
    </row>
    <row r="3" spans="1:16">
      <c r="A3" s="14" t="s">
        <v>74</v>
      </c>
      <c r="B3" s="14">
        <v>63</v>
      </c>
      <c r="C3" s="14">
        <v>53</v>
      </c>
      <c r="D3" s="14">
        <v>75</v>
      </c>
      <c r="E3" s="14"/>
      <c r="F3" s="14">
        <v>63.7</v>
      </c>
      <c r="G3" s="2" t="str">
        <f>VLOOKUP(F3,$K$3:$M$11,3,TRUE)</f>
        <v>D</v>
      </c>
      <c r="H3" s="14" t="str">
        <f>sh판정(B3, C3, D3, E3, F3)</f>
        <v>불합격</v>
      </c>
      <c r="I3" s="14">
        <v>1</v>
      </c>
      <c r="K3" s="14">
        <v>0</v>
      </c>
      <c r="L3" s="14">
        <v>59</v>
      </c>
      <c r="M3" s="14" t="s">
        <v>353</v>
      </c>
      <c r="N3" s="14">
        <f t="array" ref="N3">SUM(($I$3:$I$23 = N$2) * ($G$3:$G$23 = $M3))</f>
        <v>0</v>
      </c>
      <c r="O3" s="14">
        <f t="array" ref="O3">SUM(($I$3:$I$23 = O$2) * ($G$3:$G$23 = $M3))</f>
        <v>0</v>
      </c>
      <c r="P3" s="14">
        <f t="array" ref="P3">SUM(($I$3:$I$23 = P$2) * ($G$3:$G$23 = $M3))</f>
        <v>1</v>
      </c>
    </row>
    <row r="4" spans="1:16">
      <c r="A4" s="14" t="s">
        <v>76</v>
      </c>
      <c r="B4" s="14">
        <v>80</v>
      </c>
      <c r="C4" s="14">
        <v>58</v>
      </c>
      <c r="D4" s="14">
        <v>94</v>
      </c>
      <c r="E4" s="14"/>
      <c r="F4" s="14">
        <v>77.3</v>
      </c>
      <c r="G4" s="2" t="str">
        <f t="shared" ref="G4:G23" si="0">VLOOKUP(F4,$K$3:$M$11,3,TRUE)</f>
        <v>C+</v>
      </c>
      <c r="H4" s="14" t="str">
        <f t="shared" ref="H4:H23" si="1">sh판정(B4, C4, D4, E4, F4)</f>
        <v>불합격</v>
      </c>
      <c r="I4" s="14">
        <v>2</v>
      </c>
      <c r="K4" s="14">
        <v>60</v>
      </c>
      <c r="L4" s="14">
        <v>64</v>
      </c>
      <c r="M4" s="14" t="s">
        <v>354</v>
      </c>
      <c r="N4" s="14">
        <f t="array" ref="N4">SUM(($I$3:$I$23 = N$2) * ($G$3:$G$23 = $M4))</f>
        <v>1</v>
      </c>
      <c r="O4" s="14">
        <f t="array" ref="O4">SUM(($I$3:$I$23 = O$2) * ($G$3:$G$23 = $M4))</f>
        <v>0</v>
      </c>
      <c r="P4" s="14">
        <f t="array" ref="P4">SUM(($I$3:$I$23 = P$2) * ($G$3:$G$23 = $M4))</f>
        <v>0</v>
      </c>
    </row>
    <row r="5" spans="1:16">
      <c r="A5" s="14" t="s">
        <v>77</v>
      </c>
      <c r="B5" s="14">
        <v>91</v>
      </c>
      <c r="C5" s="14">
        <v>66</v>
      </c>
      <c r="D5" s="14">
        <v>89</v>
      </c>
      <c r="E5" s="14">
        <v>2</v>
      </c>
      <c r="F5" s="14">
        <v>82</v>
      </c>
      <c r="G5" s="2" t="str">
        <f t="shared" si="0"/>
        <v>B</v>
      </c>
      <c r="H5" s="14" t="str">
        <f t="shared" si="1"/>
        <v>불합격</v>
      </c>
      <c r="I5" s="14">
        <v>3</v>
      </c>
      <c r="K5" s="14">
        <v>65</v>
      </c>
      <c r="L5" s="14">
        <v>69</v>
      </c>
      <c r="M5" s="14" t="s">
        <v>355</v>
      </c>
      <c r="N5" s="14">
        <f t="array" ref="N5">SUM(($I$3:$I$23 = N$2) * ($G$3:$G$23 = $M5))</f>
        <v>0</v>
      </c>
      <c r="O5" s="14">
        <f t="array" ref="O5">SUM(($I$3:$I$23 = O$2) * ($G$3:$G$23 = $M5))</f>
        <v>1</v>
      </c>
      <c r="P5" s="14">
        <f t="array" ref="P5">SUM(($I$3:$I$23 = P$2) * ($G$3:$G$23 = $M5))</f>
        <v>0</v>
      </c>
    </row>
    <row r="6" spans="1:16">
      <c r="A6" s="14" t="s">
        <v>79</v>
      </c>
      <c r="B6" s="14">
        <v>67</v>
      </c>
      <c r="C6" s="14">
        <v>66</v>
      </c>
      <c r="D6" s="14">
        <v>88</v>
      </c>
      <c r="E6" s="14"/>
      <c r="F6" s="14">
        <v>73.7</v>
      </c>
      <c r="G6" s="2" t="str">
        <f t="shared" si="0"/>
        <v>C</v>
      </c>
      <c r="H6" s="14" t="str">
        <f t="shared" si="1"/>
        <v>합격73</v>
      </c>
      <c r="I6" s="14">
        <v>1</v>
      </c>
      <c r="K6" s="14">
        <v>70</v>
      </c>
      <c r="L6" s="14">
        <v>74</v>
      </c>
      <c r="M6" s="14" t="s">
        <v>356</v>
      </c>
      <c r="N6" s="14">
        <f t="array" ref="N6">SUM(($I$3:$I$23 = N$2) * ($G$3:$G$23 = $M6))</f>
        <v>1</v>
      </c>
      <c r="O6" s="14">
        <f t="array" ref="O6">SUM(($I$3:$I$23 = O$2) * ($G$3:$G$23 = $M6))</f>
        <v>1</v>
      </c>
      <c r="P6" s="14">
        <f t="array" ref="P6">SUM(($I$3:$I$23 = P$2) * ($G$3:$G$23 = $M6))</f>
        <v>2</v>
      </c>
    </row>
    <row r="7" spans="1:16">
      <c r="A7" s="14" t="s">
        <v>80</v>
      </c>
      <c r="B7" s="14">
        <v>96</v>
      </c>
      <c r="C7" s="14">
        <v>91</v>
      </c>
      <c r="D7" s="14">
        <v>99</v>
      </c>
      <c r="E7" s="14"/>
      <c r="F7" s="14">
        <v>95.3</v>
      </c>
      <c r="G7" s="2" t="str">
        <f t="shared" si="0"/>
        <v>A+</v>
      </c>
      <c r="H7" s="14" t="str">
        <f t="shared" si="1"/>
        <v>합격95</v>
      </c>
      <c r="I7" s="14">
        <v>2</v>
      </c>
      <c r="K7" s="14">
        <v>75</v>
      </c>
      <c r="L7" s="14">
        <v>79</v>
      </c>
      <c r="M7" s="14" t="s">
        <v>357</v>
      </c>
      <c r="N7" s="14">
        <f t="array" ref="N7">SUM(($I$3:$I$23 = N$2) * ($G$3:$G$23 = $M7))</f>
        <v>3</v>
      </c>
      <c r="O7" s="14">
        <f t="array" ref="O7">SUM(($I$3:$I$23 = O$2) * ($G$3:$G$23 = $M7))</f>
        <v>3</v>
      </c>
      <c r="P7" s="14">
        <f t="array" ref="P7">SUM(($I$3:$I$23 = P$2) * ($G$3:$G$23 = $M7))</f>
        <v>1</v>
      </c>
    </row>
    <row r="8" spans="1:16">
      <c r="A8" s="14" t="s">
        <v>84</v>
      </c>
      <c r="B8" s="14">
        <v>79</v>
      </c>
      <c r="C8" s="14">
        <v>70</v>
      </c>
      <c r="D8" s="14">
        <v>86</v>
      </c>
      <c r="E8" s="14">
        <v>1</v>
      </c>
      <c r="F8" s="14">
        <v>78.3</v>
      </c>
      <c r="G8" s="2" t="str">
        <f t="shared" si="0"/>
        <v>C+</v>
      </c>
      <c r="H8" s="14" t="str">
        <f t="shared" si="1"/>
        <v>불합격</v>
      </c>
      <c r="I8" s="14">
        <v>3</v>
      </c>
      <c r="K8" s="14">
        <v>80</v>
      </c>
      <c r="L8" s="14">
        <v>84</v>
      </c>
      <c r="M8" s="14" t="s">
        <v>358</v>
      </c>
      <c r="N8" s="14">
        <f t="array" ref="N8">SUM(($I$3:$I$23 = N$2) * ($G$3:$G$23 = $M8))</f>
        <v>1</v>
      </c>
      <c r="O8" s="14">
        <f t="array" ref="O8">SUM(($I$3:$I$23 = O$2) * ($G$3:$G$23 = $M8))</f>
        <v>0</v>
      </c>
      <c r="P8" s="14">
        <f t="array" ref="P8">SUM(($I$3:$I$23 = P$2) * ($G$3:$G$23 = $M8))</f>
        <v>3</v>
      </c>
    </row>
    <row r="9" spans="1:16">
      <c r="A9" s="14" t="s">
        <v>86</v>
      </c>
      <c r="B9" s="14">
        <v>96</v>
      </c>
      <c r="C9" s="14">
        <v>90</v>
      </c>
      <c r="D9" s="14">
        <v>84</v>
      </c>
      <c r="E9" s="14"/>
      <c r="F9" s="14">
        <v>90</v>
      </c>
      <c r="G9" s="2" t="str">
        <f t="shared" si="0"/>
        <v>A</v>
      </c>
      <c r="H9" s="14" t="str">
        <f t="shared" si="1"/>
        <v>합격90</v>
      </c>
      <c r="I9" s="14">
        <v>1</v>
      </c>
      <c r="K9" s="14">
        <v>85</v>
      </c>
      <c r="L9" s="14">
        <v>89</v>
      </c>
      <c r="M9" s="14" t="s">
        <v>359</v>
      </c>
      <c r="N9" s="14">
        <f t="array" ref="N9">SUM(($I$3:$I$23 = N$2) * ($G$3:$G$23 = $M9))</f>
        <v>0</v>
      </c>
      <c r="O9" s="14">
        <f t="array" ref="O9">SUM(($I$3:$I$23 = O$2) * ($G$3:$G$23 = $M9))</f>
        <v>1</v>
      </c>
      <c r="P9" s="14">
        <f t="array" ref="P9">SUM(($I$3:$I$23 = P$2) * ($G$3:$G$23 = $M9))</f>
        <v>0</v>
      </c>
    </row>
    <row r="10" spans="1:16">
      <c r="A10" s="14" t="s">
        <v>87</v>
      </c>
      <c r="B10" s="14">
        <v>86</v>
      </c>
      <c r="C10" s="14">
        <v>87</v>
      </c>
      <c r="D10" s="14">
        <v>84</v>
      </c>
      <c r="E10" s="14"/>
      <c r="F10" s="14">
        <v>85.7</v>
      </c>
      <c r="G10" s="2" t="str">
        <f t="shared" si="0"/>
        <v>B+</v>
      </c>
      <c r="H10" s="14" t="str">
        <f t="shared" si="1"/>
        <v>합격85</v>
      </c>
      <c r="I10" s="14">
        <v>2</v>
      </c>
      <c r="K10" s="14">
        <v>90</v>
      </c>
      <c r="L10" s="14">
        <v>94</v>
      </c>
      <c r="M10" s="14" t="s">
        <v>360</v>
      </c>
      <c r="N10" s="14">
        <f t="array" ref="N10">SUM(($I$3:$I$23 = N$2) * ($G$3:$G$23 = $M10))</f>
        <v>1</v>
      </c>
      <c r="O10" s="14">
        <f t="array" ref="O10">SUM(($I$3:$I$23 = O$2) * ($G$3:$G$23 = $M10))</f>
        <v>0</v>
      </c>
      <c r="P10" s="14">
        <f t="array" ref="P10">SUM(($I$3:$I$23 = P$2) * ($G$3:$G$23 = $M10))</f>
        <v>0</v>
      </c>
    </row>
    <row r="11" spans="1:16">
      <c r="A11" s="14" t="s">
        <v>88</v>
      </c>
      <c r="B11" s="14">
        <v>50</v>
      </c>
      <c r="C11" s="14">
        <v>60</v>
      </c>
      <c r="D11" s="14">
        <v>55</v>
      </c>
      <c r="E11" s="14">
        <v>3</v>
      </c>
      <c r="F11" s="14">
        <v>55</v>
      </c>
      <c r="G11" s="2" t="str">
        <f t="shared" si="0"/>
        <v>F</v>
      </c>
      <c r="H11" s="14" t="str">
        <f t="shared" si="1"/>
        <v>불합격</v>
      </c>
      <c r="I11" s="14">
        <v>3</v>
      </c>
      <c r="K11" s="14">
        <v>95</v>
      </c>
      <c r="L11" s="14">
        <v>100</v>
      </c>
      <c r="M11" s="14" t="s">
        <v>361</v>
      </c>
      <c r="N11" s="14">
        <f t="array" ref="N11">SUM(($I$3:$I$23 = N$2) * ($G$3:$G$23 = $M11))</f>
        <v>0</v>
      </c>
      <c r="O11" s="14">
        <f t="array" ref="O11">SUM(($I$3:$I$23 = O$2) * ($G$3:$G$23 = $M11))</f>
        <v>1</v>
      </c>
      <c r="P11" s="14">
        <f t="array" ref="P11">SUM(($I$3:$I$23 = P$2) * ($G$3:$G$23 = $M11))</f>
        <v>0</v>
      </c>
    </row>
    <row r="12" spans="1:16">
      <c r="A12" s="14" t="s">
        <v>90</v>
      </c>
      <c r="B12" s="14">
        <v>77</v>
      </c>
      <c r="C12" s="14">
        <v>80</v>
      </c>
      <c r="D12" s="14">
        <v>78</v>
      </c>
      <c r="E12" s="14"/>
      <c r="F12" s="14">
        <v>78.3</v>
      </c>
      <c r="G12" s="2" t="str">
        <f t="shared" si="0"/>
        <v>C+</v>
      </c>
      <c r="H12" s="14" t="str">
        <f t="shared" si="1"/>
        <v>합격78</v>
      </c>
      <c r="I12" s="14">
        <v>1</v>
      </c>
    </row>
    <row r="13" spans="1:16">
      <c r="A13" s="14" t="s">
        <v>362</v>
      </c>
      <c r="B13" s="14">
        <v>54</v>
      </c>
      <c r="C13" s="14">
        <v>75</v>
      </c>
      <c r="D13" s="14">
        <v>77</v>
      </c>
      <c r="E13" s="14"/>
      <c r="F13" s="14">
        <v>68.7</v>
      </c>
      <c r="G13" s="2" t="str">
        <f t="shared" si="0"/>
        <v>D+</v>
      </c>
      <c r="H13" s="14" t="str">
        <f t="shared" si="1"/>
        <v>불합격</v>
      </c>
      <c r="I13" s="14">
        <v>2</v>
      </c>
    </row>
    <row r="14" spans="1:16">
      <c r="A14" s="14" t="s">
        <v>363</v>
      </c>
      <c r="B14" s="14">
        <v>63</v>
      </c>
      <c r="C14" s="14">
        <v>83</v>
      </c>
      <c r="D14" s="14">
        <v>75</v>
      </c>
      <c r="E14" s="14">
        <v>1</v>
      </c>
      <c r="F14" s="14">
        <v>73.7</v>
      </c>
      <c r="G14" s="2" t="str">
        <f t="shared" si="0"/>
        <v>C</v>
      </c>
      <c r="H14" s="14" t="str">
        <f t="shared" si="1"/>
        <v>불합격</v>
      </c>
      <c r="I14" s="14">
        <v>3</v>
      </c>
    </row>
    <row r="15" spans="1:16">
      <c r="A15" s="14" t="s">
        <v>364</v>
      </c>
      <c r="B15" s="14">
        <v>81</v>
      </c>
      <c r="C15" s="14">
        <v>84</v>
      </c>
      <c r="D15" s="14">
        <v>73</v>
      </c>
      <c r="E15" s="14"/>
      <c r="F15" s="14">
        <v>79.3</v>
      </c>
      <c r="G15" s="2" t="str">
        <f t="shared" si="0"/>
        <v>C+</v>
      </c>
      <c r="H15" s="14" t="str">
        <f t="shared" si="1"/>
        <v>합격79</v>
      </c>
      <c r="I15" s="14">
        <v>1</v>
      </c>
      <c r="K15" s="1" t="s">
        <v>223</v>
      </c>
      <c r="L15" s="70" t="s">
        <v>365</v>
      </c>
      <c r="M15" s="32"/>
    </row>
    <row r="16" spans="1:16">
      <c r="A16" s="14" t="s">
        <v>366</v>
      </c>
      <c r="B16" s="14">
        <v>68</v>
      </c>
      <c r="C16" s="14">
        <v>89</v>
      </c>
      <c r="D16" s="14">
        <v>72</v>
      </c>
      <c r="E16" s="14"/>
      <c r="F16" s="14">
        <v>76.3</v>
      </c>
      <c r="G16" s="2" t="str">
        <f t="shared" si="0"/>
        <v>C+</v>
      </c>
      <c r="H16" s="14" t="str">
        <f t="shared" si="1"/>
        <v>합격76</v>
      </c>
      <c r="I16" s="14">
        <v>2</v>
      </c>
      <c r="K16" s="3">
        <v>1</v>
      </c>
      <c r="L16" s="3">
        <v>2</v>
      </c>
      <c r="M16" s="3">
        <v>3</v>
      </c>
    </row>
    <row r="17" spans="1:13">
      <c r="A17" s="14" t="s">
        <v>367</v>
      </c>
      <c r="B17" s="14">
        <v>88</v>
      </c>
      <c r="C17" s="14">
        <v>89</v>
      </c>
      <c r="D17" s="14">
        <v>66</v>
      </c>
      <c r="E17" s="14"/>
      <c r="F17" s="14">
        <v>81</v>
      </c>
      <c r="G17" s="2" t="str">
        <f t="shared" si="0"/>
        <v>B</v>
      </c>
      <c r="H17" s="14" t="str">
        <f t="shared" si="1"/>
        <v>합격81</v>
      </c>
      <c r="I17" s="14">
        <v>3</v>
      </c>
      <c r="K17" s="14">
        <f t="array" ref="K17">INT(AVERAGE(IF(($I$3:$I$23 = K$16) * (($I$3:$I$23 = K$16) * ($F$3:$F$23) &lt;&gt; MAX((($I$3:$I$23 = K$16) * $F$3:$F$23))), $F$3:$F$23)))</f>
        <v>75</v>
      </c>
      <c r="L17" s="14">
        <f t="array" ref="L17">INT(AVERAGE(IF(($I$3:$I$23 = L$16) * (($I$3:$I$23 = L$16) * ($F$3:$F$23) &lt;&gt; MAX((($I$3:$I$23 = L$16) * $F$3:$F$23))), $F$3:$F$23)))</f>
        <v>76</v>
      </c>
      <c r="M17" s="14">
        <f t="array" ref="M17">INT(AVERAGE(IF(($I$3:$I$23 = M$16) * (($I$3:$I$23 = M$16) * ($F$3:$F$23) &lt;&gt; MAX((($I$3:$I$23 = M$16) * $F$3:$F$23))), $F$3:$F$23)))</f>
        <v>73</v>
      </c>
    </row>
    <row r="18" spans="1:13">
      <c r="A18" s="14" t="s">
        <v>368</v>
      </c>
      <c r="B18" s="14">
        <v>75</v>
      </c>
      <c r="C18" s="14">
        <v>91</v>
      </c>
      <c r="D18" s="14">
        <v>65</v>
      </c>
      <c r="E18" s="14"/>
      <c r="F18" s="14">
        <v>77</v>
      </c>
      <c r="G18" s="2" t="str">
        <f t="shared" si="0"/>
        <v>C+</v>
      </c>
      <c r="H18" s="14" t="str">
        <f t="shared" si="1"/>
        <v>합격77</v>
      </c>
      <c r="I18" s="14">
        <v>1</v>
      </c>
    </row>
    <row r="19" spans="1:13">
      <c r="A19" s="14" t="s">
        <v>369</v>
      </c>
      <c r="B19" s="14">
        <v>66</v>
      </c>
      <c r="C19" s="14">
        <v>93</v>
      </c>
      <c r="D19" s="14">
        <v>64</v>
      </c>
      <c r="E19" s="14"/>
      <c r="F19" s="14">
        <v>74.3</v>
      </c>
      <c r="G19" s="2" t="str">
        <f t="shared" si="0"/>
        <v>C</v>
      </c>
      <c r="H19" s="14" t="str">
        <f t="shared" si="1"/>
        <v>합격74</v>
      </c>
      <c r="I19" s="14">
        <v>2</v>
      </c>
      <c r="K19" s="1" t="s">
        <v>216</v>
      </c>
      <c r="L19" s="1" t="s">
        <v>370</v>
      </c>
    </row>
    <row r="20" spans="1:13">
      <c r="A20" s="14" t="s">
        <v>371</v>
      </c>
      <c r="B20" s="14">
        <v>86</v>
      </c>
      <c r="C20" s="14">
        <v>93</v>
      </c>
      <c r="D20" s="14">
        <v>61</v>
      </c>
      <c r="E20" s="14"/>
      <c r="F20" s="14">
        <v>80</v>
      </c>
      <c r="G20" s="2" t="str">
        <f t="shared" si="0"/>
        <v>B</v>
      </c>
      <c r="H20" s="14" t="str">
        <f t="shared" si="1"/>
        <v>합격80</v>
      </c>
      <c r="I20" s="14">
        <v>3</v>
      </c>
      <c r="K20" s="34" t="s">
        <v>351</v>
      </c>
      <c r="L20" s="34" t="s">
        <v>351</v>
      </c>
      <c r="M20" s="34" t="s">
        <v>351</v>
      </c>
    </row>
    <row r="21" spans="1:13">
      <c r="A21" s="14" t="s">
        <v>372</v>
      </c>
      <c r="B21" s="14">
        <v>90</v>
      </c>
      <c r="C21" s="14">
        <v>94</v>
      </c>
      <c r="D21" s="14">
        <v>61</v>
      </c>
      <c r="E21" s="14"/>
      <c r="F21" s="14">
        <v>81.7</v>
      </c>
      <c r="G21" s="2" t="str">
        <f t="shared" si="0"/>
        <v>B</v>
      </c>
      <c r="H21" s="14" t="str">
        <f t="shared" si="1"/>
        <v>합격81</v>
      </c>
      <c r="I21" s="14">
        <v>1</v>
      </c>
      <c r="K21" s="34">
        <v>1</v>
      </c>
      <c r="L21" s="34">
        <v>2</v>
      </c>
      <c r="M21" s="34">
        <v>3</v>
      </c>
    </row>
    <row r="22" spans="1:13">
      <c r="A22" s="14" t="s">
        <v>373</v>
      </c>
      <c r="B22" s="14">
        <v>90</v>
      </c>
      <c r="C22" s="14">
        <v>87</v>
      </c>
      <c r="D22" s="14">
        <v>53</v>
      </c>
      <c r="E22" s="14"/>
      <c r="F22" s="14">
        <v>76.7</v>
      </c>
      <c r="G22" s="2" t="str">
        <f t="shared" si="0"/>
        <v>C+</v>
      </c>
      <c r="H22" s="14" t="str">
        <f t="shared" si="1"/>
        <v>불합격</v>
      </c>
      <c r="I22" s="14">
        <v>2</v>
      </c>
      <c r="K22" s="14">
        <f t="array" ref="K22">MAX(IF($I$3:$I$23 = K$21, $F$3:$F$23)) - MIN(IF($I$3:$I$23 = K$21, $F$3:$F$23))</f>
        <v>26.299999999999997</v>
      </c>
      <c r="L22" s="14">
        <f t="array" ref="L22">MAX(IF($I$3:$I$23 = L$21, $F$3:$F$23)) - MIN(IF($I$3:$I$23 = L$21, $F$3:$F$23))</f>
        <v>26.599999999999994</v>
      </c>
      <c r="M22" s="14">
        <f t="array" ref="M22">MAX(IF($I$3:$I$23 = M$21, $F$3:$F$23)) - MIN(IF($I$3:$I$23 = M$21, $F$3:$F$23))</f>
        <v>27</v>
      </c>
    </row>
    <row r="23" spans="1:13">
      <c r="A23" s="14" t="s">
        <v>374</v>
      </c>
      <c r="B23" s="14">
        <v>74</v>
      </c>
      <c r="C23" s="14">
        <v>90</v>
      </c>
      <c r="D23" s="14">
        <v>48</v>
      </c>
      <c r="E23" s="14">
        <v>1</v>
      </c>
      <c r="F23" s="14">
        <v>70.7</v>
      </c>
      <c r="G23" s="2" t="str">
        <f t="shared" si="0"/>
        <v>C</v>
      </c>
      <c r="H23" s="14" t="str">
        <f t="shared" si="1"/>
        <v>불합격</v>
      </c>
      <c r="I23" s="14">
        <v>3</v>
      </c>
    </row>
  </sheetData>
  <mergeCells count="1">
    <mergeCell ref="K2:L2"/>
  </mergeCells>
  <phoneticPr fontId="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2:M29"/>
  <sheetViews>
    <sheetView workbookViewId="0">
      <selection activeCell="K19" sqref="K19"/>
    </sheetView>
  </sheetViews>
  <sheetFormatPr defaultRowHeight="16.5"/>
  <cols>
    <col min="2" max="2" width="13.875" bestFit="1" customWidth="1"/>
    <col min="4" max="4" width="8.25" customWidth="1"/>
    <col min="5" max="5" width="11.625" customWidth="1"/>
    <col min="8" max="8" width="11" bestFit="1" customWidth="1"/>
    <col min="9" max="9" width="4.125" customWidth="1"/>
    <col min="10" max="10" width="14.25" customWidth="1"/>
    <col min="11" max="11" width="13.875" bestFit="1" customWidth="1"/>
  </cols>
  <sheetData>
    <row r="2" spans="1:12">
      <c r="A2" t="s">
        <v>957</v>
      </c>
      <c r="J2" t="s">
        <v>995</v>
      </c>
    </row>
    <row r="3" spans="1:12">
      <c r="A3" s="174" t="s">
        <v>996</v>
      </c>
      <c r="B3" s="175" t="s">
        <v>997</v>
      </c>
      <c r="C3" s="175" t="s">
        <v>998</v>
      </c>
      <c r="D3" s="175" t="s">
        <v>961</v>
      </c>
      <c r="E3" s="175" t="s">
        <v>999</v>
      </c>
      <c r="F3" s="174" t="s">
        <v>1000</v>
      </c>
      <c r="G3" s="175" t="s">
        <v>1001</v>
      </c>
      <c r="H3" s="174" t="s">
        <v>1002</v>
      </c>
      <c r="J3" s="175" t="s">
        <v>997</v>
      </c>
      <c r="K3" s="175" t="s">
        <v>1003</v>
      </c>
    </row>
    <row r="4" spans="1:12">
      <c r="A4" s="76" t="str">
        <f>CONCATENATE(ROW() - 3, "-", VLOOKUP(B4, $J$4:$K$9, 2, FALSE))</f>
        <v>1-W</v>
      </c>
      <c r="B4" s="76" t="s">
        <v>1004</v>
      </c>
      <c r="C4" s="9" t="s">
        <v>1005</v>
      </c>
      <c r="D4" s="76" t="s">
        <v>975</v>
      </c>
      <c r="E4" s="183">
        <v>40305</v>
      </c>
      <c r="F4" s="76" t="str">
        <f>fn소속(E4)</f>
        <v>초등부</v>
      </c>
      <c r="G4" s="106">
        <v>97</v>
      </c>
      <c r="H4" s="106">
        <f t="array" ref="H4">SUM(IF(($B$4:$B$27 = B4) * ($G$4:$G$27 &gt; G4), 1)) + 1</f>
        <v>2</v>
      </c>
      <c r="J4" s="175" t="s">
        <v>1006</v>
      </c>
      <c r="K4" s="175" t="s">
        <v>1007</v>
      </c>
    </row>
    <row r="5" spans="1:12">
      <c r="A5" s="76" t="str">
        <f t="shared" ref="A5:A27" si="0">CONCATENATE(ROW() - 3, "-", VLOOKUP(B5, $J$4:$K$9, 2, FALSE))</f>
        <v>2-C</v>
      </c>
      <c r="B5" s="76" t="s">
        <v>1008</v>
      </c>
      <c r="C5" s="9" t="s">
        <v>1009</v>
      </c>
      <c r="D5" s="76" t="s">
        <v>1010</v>
      </c>
      <c r="E5" s="183">
        <v>39928</v>
      </c>
      <c r="F5" s="76" t="str">
        <f t="shared" ref="F5:F27" si="1">fn소속(E5)</f>
        <v>소년부</v>
      </c>
      <c r="G5" s="106">
        <v>65</v>
      </c>
      <c r="H5" s="106">
        <f t="array" ref="H5">SUM(IF(($B$4:$B$27 = B5) * ($G$4:$G$27 &gt; G5), 1)) + 1</f>
        <v>6</v>
      </c>
      <c r="J5" s="175" t="s">
        <v>1011</v>
      </c>
      <c r="K5" s="175" t="s">
        <v>1012</v>
      </c>
    </row>
    <row r="6" spans="1:12">
      <c r="A6" s="76" t="str">
        <f t="shared" si="0"/>
        <v>3-D</v>
      </c>
      <c r="B6" s="76" t="s">
        <v>1013</v>
      </c>
      <c r="C6" s="9" t="s">
        <v>1014</v>
      </c>
      <c r="D6" s="76" t="s">
        <v>1010</v>
      </c>
      <c r="E6" s="184">
        <v>39668</v>
      </c>
      <c r="F6" s="76" t="str">
        <f t="shared" si="1"/>
        <v>소년부</v>
      </c>
      <c r="G6" s="106">
        <v>84</v>
      </c>
      <c r="H6" s="106">
        <f t="array" ref="H6">SUM(IF(($B$4:$B$27 = B6) * ($G$4:$G$27 &gt; G6), 1)) + 1</f>
        <v>5</v>
      </c>
      <c r="J6" s="175" t="s">
        <v>1015</v>
      </c>
      <c r="K6" s="175" t="s">
        <v>1016</v>
      </c>
    </row>
    <row r="7" spans="1:12">
      <c r="A7" s="76" t="str">
        <f t="shared" si="0"/>
        <v>4-F</v>
      </c>
      <c r="B7" s="76" t="s">
        <v>1017</v>
      </c>
      <c r="C7" s="9" t="s">
        <v>1018</v>
      </c>
      <c r="D7" s="76" t="s">
        <v>1019</v>
      </c>
      <c r="E7" s="184">
        <v>40380</v>
      </c>
      <c r="F7" s="76" t="str">
        <f t="shared" si="1"/>
        <v>초등부</v>
      </c>
      <c r="G7" s="106">
        <v>78</v>
      </c>
      <c r="H7" s="106">
        <f t="array" ref="H7">SUM(IF(($B$4:$B$27 = B7) * ($G$4:$G$27 &gt; G7), 1)) + 1</f>
        <v>4</v>
      </c>
      <c r="J7" s="175" t="s">
        <v>1020</v>
      </c>
      <c r="K7" s="175" t="s">
        <v>1021</v>
      </c>
    </row>
    <row r="8" spans="1:12">
      <c r="A8" s="76" t="str">
        <f t="shared" si="0"/>
        <v>5-C</v>
      </c>
      <c r="B8" s="76" t="s">
        <v>1008</v>
      </c>
      <c r="C8" s="9" t="s">
        <v>1022</v>
      </c>
      <c r="D8" s="76" t="s">
        <v>1023</v>
      </c>
      <c r="E8" s="184">
        <v>40787</v>
      </c>
      <c r="F8" s="76" t="str">
        <f t="shared" si="1"/>
        <v>유년부</v>
      </c>
      <c r="G8" s="106">
        <v>88</v>
      </c>
      <c r="H8" s="106">
        <f t="array" ref="H8">SUM(IF(($B$4:$B$27 = B8) * ($G$4:$G$27 &gt; G8), 1)) + 1</f>
        <v>4</v>
      </c>
      <c r="J8" s="175" t="s">
        <v>1024</v>
      </c>
      <c r="K8" s="175" t="s">
        <v>1025</v>
      </c>
    </row>
    <row r="9" spans="1:12">
      <c r="A9" s="76" t="str">
        <f t="shared" si="0"/>
        <v>6-W</v>
      </c>
      <c r="B9" s="76" t="s">
        <v>1026</v>
      </c>
      <c r="C9" s="9" t="s">
        <v>1027</v>
      </c>
      <c r="D9" s="76" t="s">
        <v>1028</v>
      </c>
      <c r="E9" s="184">
        <v>40422</v>
      </c>
      <c r="F9" s="76" t="str">
        <f t="shared" si="1"/>
        <v>초등부</v>
      </c>
      <c r="G9" s="106">
        <v>98</v>
      </c>
      <c r="H9" s="106">
        <f t="array" ref="H9">SUM(IF(($B$4:$B$27 = B9) * ($G$4:$G$27 &gt; G9), 1)) + 1</f>
        <v>1</v>
      </c>
      <c r="J9" s="175" t="s">
        <v>1029</v>
      </c>
      <c r="K9" s="175" t="s">
        <v>1030</v>
      </c>
    </row>
    <row r="10" spans="1:12">
      <c r="A10" s="76" t="str">
        <f t="shared" si="0"/>
        <v>7-F</v>
      </c>
      <c r="B10" s="76" t="s">
        <v>1029</v>
      </c>
      <c r="C10" s="9" t="s">
        <v>1031</v>
      </c>
      <c r="D10" s="76" t="s">
        <v>1023</v>
      </c>
      <c r="E10" s="184">
        <v>41154</v>
      </c>
      <c r="F10" s="76" t="str">
        <f t="shared" si="1"/>
        <v>유년부</v>
      </c>
      <c r="G10" s="106">
        <v>96</v>
      </c>
      <c r="H10" s="106">
        <f t="array" ref="H10">SUM(IF(($B$4:$B$27 = B10) * ($G$4:$G$27 &gt; G10), 1)) + 1</f>
        <v>1</v>
      </c>
    </row>
    <row r="11" spans="1:12">
      <c r="A11" s="76" t="str">
        <f t="shared" si="0"/>
        <v>8-C</v>
      </c>
      <c r="B11" s="76" t="s">
        <v>1024</v>
      </c>
      <c r="C11" s="9" t="s">
        <v>1032</v>
      </c>
      <c r="D11" s="76" t="s">
        <v>1028</v>
      </c>
      <c r="E11" s="184">
        <v>39874</v>
      </c>
      <c r="F11" s="76" t="str">
        <f t="shared" si="1"/>
        <v>소년부</v>
      </c>
      <c r="G11" s="106">
        <v>90</v>
      </c>
      <c r="H11" s="106">
        <f t="array" ref="H11">SUM(IF(($B$4:$B$27 = B11) * ($G$4:$G$27 &gt; G11), 1)) + 1</f>
        <v>2</v>
      </c>
      <c r="J11" t="s">
        <v>1033</v>
      </c>
    </row>
    <row r="12" spans="1:12">
      <c r="A12" s="76" t="str">
        <f t="shared" si="0"/>
        <v>9-D</v>
      </c>
      <c r="B12" s="76" t="s">
        <v>1034</v>
      </c>
      <c r="C12" s="5" t="s">
        <v>1035</v>
      </c>
      <c r="D12" s="76" t="s">
        <v>1023</v>
      </c>
      <c r="E12" s="184">
        <v>39854</v>
      </c>
      <c r="F12" s="76" t="str">
        <f t="shared" si="1"/>
        <v>소년부</v>
      </c>
      <c r="G12" s="106">
        <v>89</v>
      </c>
      <c r="H12" s="106">
        <f t="array" ref="H12">SUM(IF(($B$4:$B$27 = B12) * ($G$4:$G$27 &gt; G12), 1)) + 1</f>
        <v>3</v>
      </c>
      <c r="J12" s="175" t="s">
        <v>1036</v>
      </c>
      <c r="K12" s="174" t="s">
        <v>1023</v>
      </c>
      <c r="L12" s="174" t="s">
        <v>1028</v>
      </c>
    </row>
    <row r="13" spans="1:12">
      <c r="A13" s="76" t="str">
        <f t="shared" si="0"/>
        <v>10-F</v>
      </c>
      <c r="B13" s="76" t="s">
        <v>1017</v>
      </c>
      <c r="C13" s="5" t="s">
        <v>1037</v>
      </c>
      <c r="D13" s="76" t="s">
        <v>1010</v>
      </c>
      <c r="E13" s="185">
        <v>39741</v>
      </c>
      <c r="F13" s="76" t="str">
        <f t="shared" si="1"/>
        <v>소년부</v>
      </c>
      <c r="G13" s="106">
        <v>87</v>
      </c>
      <c r="H13" s="106">
        <f t="array" ref="H13">SUM(IF(($B$4:$B$27 = B13) * ($G$4:$G$27 &gt; G13), 1)) + 1</f>
        <v>3</v>
      </c>
      <c r="J13" s="175" t="s">
        <v>1038</v>
      </c>
      <c r="K13" s="175">
        <f t="array" ref="K13">COUNT(IF(($D$4:$D$27 = K$12) * (RIGHT($B$4:$B$27, 2) = $J13), 1))</f>
        <v>3</v>
      </c>
      <c r="L13" s="188">
        <f t="array" ref="L13">COUNT(IF(($D$4:$D$27 = L$12) * (RIGHT($B$4:$B$27, 2) = $J13), 1))</f>
        <v>5</v>
      </c>
    </row>
    <row r="14" spans="1:12">
      <c r="A14" s="76" t="str">
        <f t="shared" si="0"/>
        <v>11-C</v>
      </c>
      <c r="B14" s="76" t="s">
        <v>1039</v>
      </c>
      <c r="C14" s="5" t="s">
        <v>1040</v>
      </c>
      <c r="D14" s="76" t="s">
        <v>975</v>
      </c>
      <c r="E14" s="185">
        <v>39742</v>
      </c>
      <c r="F14" s="76" t="str">
        <f t="shared" si="1"/>
        <v>소년부</v>
      </c>
      <c r="G14" s="106">
        <v>89</v>
      </c>
      <c r="H14" s="106">
        <f t="array" ref="H14">SUM(IF(($B$4:$B$27 = B14) * ($G$4:$G$27 &gt; G14), 1)) + 1</f>
        <v>3</v>
      </c>
      <c r="J14" s="175" t="s">
        <v>1041</v>
      </c>
      <c r="K14" s="188">
        <f t="array" ref="K14">COUNT(IF(($D$4:$D$27 = K$12) * (RIGHT($B$4:$B$27, 2) = $J14), 1))</f>
        <v>5</v>
      </c>
      <c r="L14" s="188">
        <f t="array" ref="L14">COUNT(IF(($D$4:$D$27 = L$12) * (RIGHT($B$4:$B$27, 2) = $J14), 1))</f>
        <v>6</v>
      </c>
    </row>
    <row r="15" spans="1:12">
      <c r="A15" s="76" t="str">
        <f t="shared" si="0"/>
        <v>12-D</v>
      </c>
      <c r="B15" s="76" t="s">
        <v>1006</v>
      </c>
      <c r="C15" s="5" t="s">
        <v>1042</v>
      </c>
      <c r="D15" s="76" t="s">
        <v>975</v>
      </c>
      <c r="E15" s="185">
        <v>40838</v>
      </c>
      <c r="F15" s="76" t="str">
        <f t="shared" si="1"/>
        <v>유년부</v>
      </c>
      <c r="G15" s="106">
        <v>93</v>
      </c>
      <c r="H15" s="106">
        <f t="array" ref="H15">SUM(IF(($B$4:$B$27 = B15) * ($G$4:$G$27 &gt; G15), 1)) + 1</f>
        <v>2</v>
      </c>
      <c r="J15" s="175" t="s">
        <v>1043</v>
      </c>
      <c r="K15" s="188">
        <f t="array" ref="K15">COUNT(IF(($D$4:$D$27 = K$12) * (RIGHT($B$4:$B$27, 2) = $J15), 1))</f>
        <v>3</v>
      </c>
      <c r="L15" s="188">
        <f t="array" ref="L15">COUNT(IF(($D$4:$D$27 = L$12) * (RIGHT($B$4:$B$27, 2) = $J15), 1))</f>
        <v>2</v>
      </c>
    </row>
    <row r="16" spans="1:12">
      <c r="A16" s="76" t="str">
        <f t="shared" si="0"/>
        <v>13-W</v>
      </c>
      <c r="B16" s="76" t="s">
        <v>1004</v>
      </c>
      <c r="C16" s="5" t="s">
        <v>1044</v>
      </c>
      <c r="D16" s="76" t="s">
        <v>975</v>
      </c>
      <c r="E16" s="185">
        <v>40257</v>
      </c>
      <c r="F16" s="76" t="str">
        <f t="shared" si="1"/>
        <v>초등부</v>
      </c>
      <c r="G16" s="106">
        <v>94</v>
      </c>
      <c r="H16" s="106">
        <f t="array" ref="H16">SUM(IF(($B$4:$B$27 = B16) * ($G$4:$G$27 &gt; G16), 1)) + 1</f>
        <v>4</v>
      </c>
    </row>
    <row r="17" spans="1:13">
      <c r="A17" s="76" t="str">
        <f t="shared" si="0"/>
        <v>14-S</v>
      </c>
      <c r="B17" s="76" t="s">
        <v>1045</v>
      </c>
      <c r="C17" s="5" t="s">
        <v>1046</v>
      </c>
      <c r="D17" s="76" t="s">
        <v>974</v>
      </c>
      <c r="E17" s="185">
        <v>40258</v>
      </c>
      <c r="F17" s="76" t="str">
        <f t="shared" si="1"/>
        <v>초등부</v>
      </c>
      <c r="G17" s="106">
        <v>78</v>
      </c>
      <c r="H17" s="106">
        <f t="array" ref="H17">SUM(IF(($B$4:$B$27 = B17) * ($G$4:$G$27 &gt; G17), 1)) + 1</f>
        <v>3</v>
      </c>
      <c r="J17" t="s">
        <v>1047</v>
      </c>
    </row>
    <row r="18" spans="1:13">
      <c r="A18" s="76" t="str">
        <f t="shared" si="0"/>
        <v>15-C</v>
      </c>
      <c r="B18" s="76" t="s">
        <v>1039</v>
      </c>
      <c r="C18" s="5" t="s">
        <v>1048</v>
      </c>
      <c r="D18" s="76" t="s">
        <v>975</v>
      </c>
      <c r="E18" s="185">
        <v>39894</v>
      </c>
      <c r="F18" s="76" t="str">
        <f t="shared" si="1"/>
        <v>소년부</v>
      </c>
      <c r="G18" s="106">
        <v>85</v>
      </c>
      <c r="H18" s="106">
        <f t="array" ref="H18">SUM(IF(($B$4:$B$27 = B18) * ($G$4:$G$27 &gt; G18), 1)) + 1</f>
        <v>5</v>
      </c>
      <c r="J18" s="175" t="s">
        <v>998</v>
      </c>
      <c r="K18" s="174" t="s">
        <v>997</v>
      </c>
      <c r="L18" s="174" t="s">
        <v>961</v>
      </c>
      <c r="M18" s="174" t="s">
        <v>1001</v>
      </c>
    </row>
    <row r="19" spans="1:13">
      <c r="A19" s="76" t="str">
        <f t="shared" si="0"/>
        <v>16-D</v>
      </c>
      <c r="B19" s="76" t="s">
        <v>1006</v>
      </c>
      <c r="C19" s="5" t="s">
        <v>1049</v>
      </c>
      <c r="D19" s="76" t="s">
        <v>975</v>
      </c>
      <c r="E19" s="185">
        <v>40625</v>
      </c>
      <c r="F19" s="76" t="str">
        <f t="shared" si="1"/>
        <v>유년부</v>
      </c>
      <c r="G19" s="106">
        <v>99</v>
      </c>
      <c r="H19" s="106">
        <f t="array" ref="H19">SUM(IF(($B$4:$B$27 = B19) * ($G$4:$G$27 &gt; G19), 1)) + 1</f>
        <v>1</v>
      </c>
      <c r="J19" s="5" t="s">
        <v>1046</v>
      </c>
      <c r="K19" s="175" t="str">
        <f t="array" ref="K19">INDEX($A$4:$H$27, MATCH($J19, $C$4:$C$27, 0), MATCH(K$18, $A$3:$H$3, 0))</f>
        <v>독창-음악</v>
      </c>
      <c r="L19" s="188" t="str">
        <f t="array" ref="L19">INDEX($A$4:$H$27, MATCH($J19, $C$4:$C$27, 0), MATCH(L$18, $A$3:$H$3, 0))</f>
        <v>남</v>
      </c>
      <c r="M19" s="188">
        <f t="array" ref="M19">INDEX($A$4:$H$27, MATCH($J19, $C$4:$C$27, 0), MATCH(M$18, $A$3:$H$3, 0))</f>
        <v>78</v>
      </c>
    </row>
    <row r="20" spans="1:13">
      <c r="A20" s="76" t="str">
        <f t="shared" si="0"/>
        <v>17-F</v>
      </c>
      <c r="B20" s="76" t="s">
        <v>1050</v>
      </c>
      <c r="C20" s="5" t="s">
        <v>1051</v>
      </c>
      <c r="D20" s="76" t="s">
        <v>974</v>
      </c>
      <c r="E20" s="186">
        <v>40180</v>
      </c>
      <c r="F20" s="76" t="str">
        <f t="shared" si="1"/>
        <v>초등부</v>
      </c>
      <c r="G20" s="106">
        <v>93</v>
      </c>
      <c r="H20" s="106">
        <f t="array" ref="H20">SUM(IF(($B$4:$B$27 = B20) * ($G$4:$G$27 &gt; G20), 1)) + 1</f>
        <v>2</v>
      </c>
      <c r="J20" s="5" t="s">
        <v>1049</v>
      </c>
      <c r="K20" s="188" t="str">
        <f t="array" ref="K20">INDEX($A$4:$H$27, MATCH($J20, $C$4:$C$27, 0), MATCH(K$18, $A$3:$H$3, 0))</f>
        <v>그리기-미술</v>
      </c>
      <c r="L20" s="188" t="str">
        <f t="array" ref="L20">INDEX($A$4:$H$27, MATCH($J20, $C$4:$C$27, 0), MATCH(L$18, $A$3:$H$3, 0))</f>
        <v>여</v>
      </c>
      <c r="M20" s="188">
        <f t="array" ref="M20">INDEX($A$4:$H$27, MATCH($J20, $C$4:$C$27, 0), MATCH(M$18, $A$3:$H$3, 0))</f>
        <v>99</v>
      </c>
    </row>
    <row r="21" spans="1:13">
      <c r="A21" s="76" t="str">
        <f t="shared" si="0"/>
        <v>18-S</v>
      </c>
      <c r="B21" s="76" t="s">
        <v>1045</v>
      </c>
      <c r="C21" s="5" t="s">
        <v>1052</v>
      </c>
      <c r="D21" s="76" t="s">
        <v>975</v>
      </c>
      <c r="E21" s="186">
        <v>40181</v>
      </c>
      <c r="F21" s="76" t="str">
        <f t="shared" si="1"/>
        <v>초등부</v>
      </c>
      <c r="G21" s="106">
        <v>89</v>
      </c>
      <c r="H21" s="106">
        <f t="array" ref="H21">SUM(IF(($B$4:$B$27 = B21) * ($G$4:$G$27 &gt; G21), 1)) + 1</f>
        <v>1</v>
      </c>
      <c r="J21" s="9" t="s">
        <v>1053</v>
      </c>
      <c r="K21" s="188" t="str">
        <f t="array" ref="K21">INDEX($A$4:$H$27, MATCH($J21, $C$4:$C$27, 0), MATCH(K$18, $A$3:$H$3, 0))</f>
        <v>구연동화-국어</v>
      </c>
      <c r="L21" s="188" t="str">
        <f t="array" ref="L21">INDEX($A$4:$H$27, MATCH($J21, $C$4:$C$27, 0), MATCH(L$18, $A$3:$H$3, 0))</f>
        <v>남</v>
      </c>
      <c r="M21" s="188">
        <f t="array" ref="M21">INDEX($A$4:$H$27, MATCH($J21, $C$4:$C$27, 0), MATCH(M$18, $A$3:$H$3, 0))</f>
        <v>96</v>
      </c>
    </row>
    <row r="22" spans="1:13">
      <c r="A22" s="76" t="str">
        <f t="shared" si="0"/>
        <v>19-P</v>
      </c>
      <c r="B22" s="76" t="s">
        <v>1054</v>
      </c>
      <c r="C22" s="5" t="s">
        <v>1055</v>
      </c>
      <c r="D22" s="76" t="s">
        <v>974</v>
      </c>
      <c r="E22" s="186">
        <v>39451</v>
      </c>
      <c r="F22" s="76" t="str">
        <f t="shared" si="1"/>
        <v>소년부</v>
      </c>
      <c r="G22" s="106">
        <v>87</v>
      </c>
      <c r="H22" s="106">
        <f t="array" ref="H22">SUM(IF(($B$4:$B$27 = B22) * ($G$4:$G$27 &gt; G22), 1)) + 1</f>
        <v>1</v>
      </c>
      <c r="J22" s="9" t="s">
        <v>1005</v>
      </c>
      <c r="K22" s="188" t="str">
        <f t="array" ref="K22">INDEX($A$4:$H$27, MATCH($J22, $C$4:$C$27, 0), MATCH(K$18, $A$3:$H$3, 0))</f>
        <v>글짓기-국어</v>
      </c>
      <c r="L22" s="188" t="str">
        <f t="array" ref="L22">INDEX($A$4:$H$27, MATCH($J22, $C$4:$C$27, 0), MATCH(L$18, $A$3:$H$3, 0))</f>
        <v>여</v>
      </c>
      <c r="M22" s="188">
        <f t="array" ref="M22">INDEX($A$4:$H$27, MATCH($J22, $C$4:$C$27, 0), MATCH(M$18, $A$3:$H$3, 0))</f>
        <v>97</v>
      </c>
    </row>
    <row r="23" spans="1:13">
      <c r="A23" s="76" t="str">
        <f t="shared" si="0"/>
        <v>20-W</v>
      </c>
      <c r="B23" s="76" t="s">
        <v>1004</v>
      </c>
      <c r="C23" s="5" t="s">
        <v>1056</v>
      </c>
      <c r="D23" s="76" t="s">
        <v>975</v>
      </c>
      <c r="E23" s="186">
        <v>39452</v>
      </c>
      <c r="F23" s="76" t="str">
        <f t="shared" si="1"/>
        <v>소년부</v>
      </c>
      <c r="G23" s="106">
        <v>95</v>
      </c>
      <c r="H23" s="106">
        <f t="array" ref="H23">SUM(IF(($B$4:$B$27 = B23) * ($G$4:$G$27 &gt; G23), 1)) + 1</f>
        <v>3</v>
      </c>
      <c r="J23" s="5" t="s">
        <v>1057</v>
      </c>
      <c r="K23" s="188" t="str">
        <f t="array" ref="K23">INDEX($A$4:$H$27, MATCH($J23, $C$4:$C$27, 0), MATCH(K$18, $A$3:$H$3, 0))</f>
        <v>합창-음악</v>
      </c>
      <c r="L23" s="188" t="str">
        <f t="array" ref="L23">INDEX($A$4:$H$27, MATCH($J23, $C$4:$C$27, 0), MATCH(L$18, $A$3:$H$3, 0))</f>
        <v>여</v>
      </c>
      <c r="M23" s="188">
        <f t="array" ref="M23">INDEX($A$4:$H$27, MATCH($J23, $C$4:$C$27, 0), MATCH(M$18, $A$3:$H$3, 0))</f>
        <v>97</v>
      </c>
    </row>
    <row r="24" spans="1:13">
      <c r="A24" s="76" t="str">
        <f t="shared" si="0"/>
        <v>21-S</v>
      </c>
      <c r="B24" s="76" t="s">
        <v>1045</v>
      </c>
      <c r="C24" s="5" t="s">
        <v>1058</v>
      </c>
      <c r="D24" s="76" t="s">
        <v>974</v>
      </c>
      <c r="E24" s="186">
        <v>39819</v>
      </c>
      <c r="F24" s="76" t="str">
        <f t="shared" si="1"/>
        <v>소년부</v>
      </c>
      <c r="G24" s="106">
        <v>68</v>
      </c>
      <c r="H24" s="106">
        <f t="array" ref="H24">SUM(IF(($B$4:$B$27 = B24) * ($G$4:$G$27 &gt; G24), 1)) + 1</f>
        <v>4</v>
      </c>
      <c r="J24" s="5" t="s">
        <v>1044</v>
      </c>
      <c r="K24" s="188" t="str">
        <f t="array" ref="K24">INDEX($A$4:$H$27, MATCH($J24, $C$4:$C$27, 0), MATCH(K$18, $A$3:$H$3, 0))</f>
        <v>글짓기-국어</v>
      </c>
      <c r="L24" s="188" t="str">
        <f t="array" ref="L24">INDEX($A$4:$H$27, MATCH($J24, $C$4:$C$27, 0), MATCH(L$18, $A$3:$H$3, 0))</f>
        <v>여</v>
      </c>
      <c r="M24" s="188">
        <f t="array" ref="M24">INDEX($A$4:$H$27, MATCH($J24, $C$4:$C$27, 0), MATCH(M$18, $A$3:$H$3, 0))</f>
        <v>94</v>
      </c>
    </row>
    <row r="25" spans="1:13">
      <c r="A25" s="76" t="str">
        <f t="shared" si="0"/>
        <v>22-D</v>
      </c>
      <c r="B25" s="76" t="s">
        <v>1006</v>
      </c>
      <c r="C25" s="5" t="s">
        <v>1059</v>
      </c>
      <c r="D25" s="76" t="s">
        <v>974</v>
      </c>
      <c r="E25" s="186">
        <v>40185</v>
      </c>
      <c r="F25" s="76" t="str">
        <f t="shared" si="1"/>
        <v>초등부</v>
      </c>
      <c r="G25" s="106">
        <v>88</v>
      </c>
      <c r="H25" s="106">
        <f t="array" ref="H25">SUM(IF(($B$4:$B$27 = B25) * ($G$4:$G$27 &gt; G25), 1)) + 1</f>
        <v>4</v>
      </c>
    </row>
    <row r="26" spans="1:13">
      <c r="A26" s="76" t="str">
        <f t="shared" si="0"/>
        <v>23-C</v>
      </c>
      <c r="B26" s="76" t="s">
        <v>1039</v>
      </c>
      <c r="C26" s="5" t="s">
        <v>1057</v>
      </c>
      <c r="D26" s="76" t="s">
        <v>975</v>
      </c>
      <c r="E26" s="186">
        <v>40551</v>
      </c>
      <c r="F26" s="76" t="str">
        <f t="shared" si="1"/>
        <v>유년부</v>
      </c>
      <c r="G26" s="106">
        <v>97</v>
      </c>
      <c r="H26" s="106">
        <f t="array" ref="H26">SUM(IF(($B$4:$B$27 = B26) * ($G$4:$G$27 &gt; G26), 1)) + 1</f>
        <v>1</v>
      </c>
    </row>
    <row r="27" spans="1:13">
      <c r="A27" s="76" t="str">
        <f t="shared" si="0"/>
        <v>24-S</v>
      </c>
      <c r="B27" s="76" t="s">
        <v>1045</v>
      </c>
      <c r="C27" s="5" t="s">
        <v>1060</v>
      </c>
      <c r="D27" s="76" t="s">
        <v>975</v>
      </c>
      <c r="E27" s="186">
        <v>40917</v>
      </c>
      <c r="F27" s="76" t="str">
        <f t="shared" si="1"/>
        <v>유년부</v>
      </c>
      <c r="G27" s="106">
        <v>87</v>
      </c>
      <c r="H27" s="106">
        <f t="array" ref="H27">SUM(IF(($B$4:$B$27 = B27) * ($G$4:$G$27 &gt; G27), 1)) + 1</f>
        <v>2</v>
      </c>
    </row>
    <row r="28" spans="1:13">
      <c r="A28" s="110"/>
      <c r="B28" s="110"/>
      <c r="C28" s="110"/>
      <c r="D28" s="110"/>
      <c r="E28" s="110"/>
      <c r="F28" s="110"/>
      <c r="G28" s="110"/>
      <c r="H28" s="110"/>
    </row>
    <row r="29" spans="1:13">
      <c r="K29" s="187"/>
    </row>
  </sheetData>
  <phoneticPr fontId="4" type="noConversion"/>
  <conditionalFormatting sqref="E6:E12">
    <cfRule type="expression" dxfId="0" priority="1">
      <formula>(YEAR($C6)=2013)+(YEAR($C6)=2014)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2:S33"/>
  <sheetViews>
    <sheetView workbookViewId="0">
      <selection activeCell="Q15" sqref="Q15"/>
    </sheetView>
  </sheetViews>
  <sheetFormatPr defaultRowHeight="16.5"/>
  <cols>
    <col min="1" max="2" width="13" bestFit="1" customWidth="1"/>
    <col min="3" max="3" width="5.25" bestFit="1" customWidth="1"/>
    <col min="4" max="4" width="7.125" bestFit="1" customWidth="1"/>
    <col min="5" max="5" width="13" bestFit="1" customWidth="1"/>
    <col min="6" max="6" width="11" bestFit="1" customWidth="1"/>
    <col min="7" max="7" width="7.125" bestFit="1" customWidth="1"/>
    <col min="9" max="11" width="7.125" bestFit="1" customWidth="1"/>
    <col min="12" max="12" width="19.25" bestFit="1" customWidth="1"/>
    <col min="13" max="13" width="13" bestFit="1" customWidth="1"/>
    <col min="14" max="14" width="2.25" customWidth="1"/>
    <col min="15" max="15" width="13" customWidth="1"/>
    <col min="16" max="19" width="13" bestFit="1" customWidth="1"/>
  </cols>
  <sheetData>
    <row r="2" spans="1:19">
      <c r="A2" t="s">
        <v>957</v>
      </c>
      <c r="O2" t="s">
        <v>958</v>
      </c>
    </row>
    <row r="3" spans="1:19">
      <c r="A3" s="175" t="s">
        <v>959</v>
      </c>
      <c r="B3" s="175" t="s">
        <v>960</v>
      </c>
      <c r="C3" s="175" t="s">
        <v>961</v>
      </c>
      <c r="D3" s="175" t="s">
        <v>962</v>
      </c>
      <c r="E3" s="175" t="s">
        <v>963</v>
      </c>
      <c r="F3" s="175" t="s">
        <v>964</v>
      </c>
      <c r="G3" s="175" t="s">
        <v>965</v>
      </c>
      <c r="H3" s="175" t="s">
        <v>966</v>
      </c>
      <c r="I3" s="175" t="s">
        <v>967</v>
      </c>
      <c r="J3" s="175" t="s">
        <v>968</v>
      </c>
      <c r="K3" s="175" t="s">
        <v>969</v>
      </c>
      <c r="L3" s="174" t="s">
        <v>970</v>
      </c>
      <c r="M3" s="174" t="s">
        <v>971</v>
      </c>
      <c r="O3" s="175" t="s">
        <v>961</v>
      </c>
      <c r="P3" s="174" t="s">
        <v>963</v>
      </c>
      <c r="Q3" s="174" t="s">
        <v>964</v>
      </c>
      <c r="R3" s="174" t="s">
        <v>965</v>
      </c>
      <c r="S3" s="174" t="s">
        <v>966</v>
      </c>
    </row>
    <row r="4" spans="1:19">
      <c r="A4" s="76" t="s">
        <v>972</v>
      </c>
      <c r="B4" s="76" t="s">
        <v>973</v>
      </c>
      <c r="C4" s="76" t="s">
        <v>974</v>
      </c>
      <c r="D4" s="106">
        <v>60</v>
      </c>
      <c r="E4" s="106">
        <v>28</v>
      </c>
      <c r="F4" s="106">
        <v>1</v>
      </c>
      <c r="G4" s="106">
        <v>4</v>
      </c>
      <c r="H4" s="106">
        <v>1</v>
      </c>
      <c r="I4" s="106">
        <v>1</v>
      </c>
      <c r="J4" s="106">
        <v>3</v>
      </c>
      <c r="K4" s="113">
        <f t="shared" ref="K4:K33" si="0">SUM(E4:I4)/D4</f>
        <v>0.58333333333333337</v>
      </c>
      <c r="L4" s="74" t="str">
        <f>REPT(IF(K4&lt;=50%,"■","□"),QUOTIENT(K4,10%))</f>
        <v>□□□□□</v>
      </c>
      <c r="M4" s="74" t="str">
        <f>fn비고_1(K4)</f>
        <v/>
      </c>
      <c r="O4" s="175" t="s">
        <v>974</v>
      </c>
      <c r="P4" s="175" t="str">
        <f t="shared" ref="P4:S5" si="1">TEXT(SUMIF($C$4:$C$33, $O4, E$4:E$33) / SUMIF($C$4:$C$33, $O4, $D$4:$D$33), "0.0%")</f>
        <v>49.2%</v>
      </c>
      <c r="Q4" s="188" t="str">
        <f t="shared" si="1"/>
        <v>2.5%</v>
      </c>
      <c r="R4" s="188" t="str">
        <f t="shared" si="1"/>
        <v>2.9%</v>
      </c>
      <c r="S4" s="188" t="str">
        <f t="shared" si="1"/>
        <v>2.7%</v>
      </c>
    </row>
    <row r="5" spans="1:19">
      <c r="A5" s="76" t="s">
        <v>972</v>
      </c>
      <c r="B5" s="76" t="s">
        <v>973</v>
      </c>
      <c r="C5" s="76" t="s">
        <v>975</v>
      </c>
      <c r="D5" s="106">
        <v>50</v>
      </c>
      <c r="E5" s="106">
        <v>15</v>
      </c>
      <c r="F5" s="106">
        <v>2</v>
      </c>
      <c r="G5" s="106">
        <v>1</v>
      </c>
      <c r="H5" s="106">
        <v>2</v>
      </c>
      <c r="I5" s="106">
        <v>4</v>
      </c>
      <c r="J5" s="106"/>
      <c r="K5" s="113">
        <f t="shared" si="0"/>
        <v>0.48</v>
      </c>
      <c r="L5" s="74" t="str">
        <f t="shared" ref="L5:L33" si="2">REPT(IF(K5&lt;=50%,"■","□"),QUOTIENT(K5,10%))</f>
        <v>■■■■</v>
      </c>
      <c r="M5" s="74" t="str">
        <f t="shared" ref="M5:M33" si="3">fn비고_1(K5)</f>
        <v>전문상담필요</v>
      </c>
      <c r="O5" s="175" t="s">
        <v>975</v>
      </c>
      <c r="P5" s="188" t="str">
        <f t="shared" si="1"/>
        <v>47.3%</v>
      </c>
      <c r="Q5" s="188" t="str">
        <f t="shared" si="1"/>
        <v>3.4%</v>
      </c>
      <c r="R5" s="188" t="str">
        <f t="shared" si="1"/>
        <v>3.2%</v>
      </c>
      <c r="S5" s="188" t="str">
        <f t="shared" si="1"/>
        <v>6.2%</v>
      </c>
    </row>
    <row r="6" spans="1:19">
      <c r="A6" s="76" t="s">
        <v>972</v>
      </c>
      <c r="B6" s="76" t="s">
        <v>976</v>
      </c>
      <c r="C6" s="76" t="s">
        <v>974</v>
      </c>
      <c r="D6" s="106">
        <v>45</v>
      </c>
      <c r="E6" s="106">
        <v>23</v>
      </c>
      <c r="F6" s="106">
        <v>5</v>
      </c>
      <c r="G6" s="106"/>
      <c r="H6" s="106">
        <v>1</v>
      </c>
      <c r="I6" s="106">
        <v>1</v>
      </c>
      <c r="J6" s="106">
        <v>2</v>
      </c>
      <c r="K6" s="113">
        <f t="shared" si="0"/>
        <v>0.66666666666666663</v>
      </c>
      <c r="L6" s="74" t="str">
        <f t="shared" si="2"/>
        <v>□□□□□□</v>
      </c>
      <c r="M6" s="74" t="str">
        <f t="shared" si="3"/>
        <v/>
      </c>
      <c r="O6" s="78"/>
      <c r="P6" s="78"/>
      <c r="Q6" s="78"/>
      <c r="R6" s="78"/>
      <c r="S6" s="78"/>
    </row>
    <row r="7" spans="1:19">
      <c r="A7" s="76" t="s">
        <v>972</v>
      </c>
      <c r="B7" s="76" t="s">
        <v>976</v>
      </c>
      <c r="C7" s="76" t="s">
        <v>975</v>
      </c>
      <c r="D7" s="106">
        <v>50</v>
      </c>
      <c r="E7" s="106">
        <v>13</v>
      </c>
      <c r="F7" s="106">
        <v>3</v>
      </c>
      <c r="G7" s="106">
        <v>3</v>
      </c>
      <c r="H7" s="106">
        <v>2</v>
      </c>
      <c r="I7" s="106">
        <v>2</v>
      </c>
      <c r="J7" s="106"/>
      <c r="K7" s="113">
        <f t="shared" si="0"/>
        <v>0.46</v>
      </c>
      <c r="L7" s="74" t="str">
        <f t="shared" si="2"/>
        <v>■■■■</v>
      </c>
      <c r="M7" s="74" t="str">
        <f t="shared" si="3"/>
        <v>전문상담필요</v>
      </c>
      <c r="O7" s="83" t="s">
        <v>977</v>
      </c>
    </row>
    <row r="8" spans="1:19">
      <c r="A8" s="76" t="s">
        <v>972</v>
      </c>
      <c r="B8" s="76" t="s">
        <v>978</v>
      </c>
      <c r="C8" s="76" t="s">
        <v>974</v>
      </c>
      <c r="D8" s="106">
        <v>35</v>
      </c>
      <c r="E8" s="106">
        <v>15</v>
      </c>
      <c r="F8" s="106"/>
      <c r="G8" s="106">
        <v>1</v>
      </c>
      <c r="H8" s="106">
        <v>1</v>
      </c>
      <c r="I8" s="106">
        <v>3</v>
      </c>
      <c r="J8" s="106">
        <v>3</v>
      </c>
      <c r="K8" s="113">
        <f t="shared" si="0"/>
        <v>0.5714285714285714</v>
      </c>
      <c r="L8" s="74" t="str">
        <f t="shared" si="2"/>
        <v>□□□□□</v>
      </c>
      <c r="M8" s="74" t="str">
        <f t="shared" si="3"/>
        <v/>
      </c>
      <c r="O8" s="175" t="s">
        <v>959</v>
      </c>
      <c r="P8" s="174" t="s">
        <v>963</v>
      </c>
      <c r="Q8" s="174" t="s">
        <v>964</v>
      </c>
      <c r="R8" s="174" t="s">
        <v>965</v>
      </c>
      <c r="S8" s="174" t="s">
        <v>966</v>
      </c>
    </row>
    <row r="9" spans="1:19">
      <c r="A9" s="76" t="s">
        <v>972</v>
      </c>
      <c r="B9" s="76" t="s">
        <v>978</v>
      </c>
      <c r="C9" s="76" t="s">
        <v>975</v>
      </c>
      <c r="D9" s="106">
        <v>25</v>
      </c>
      <c r="E9" s="106">
        <v>11</v>
      </c>
      <c r="F9" s="106"/>
      <c r="G9" s="106"/>
      <c r="H9" s="106"/>
      <c r="I9" s="106">
        <v>4</v>
      </c>
      <c r="J9" s="106"/>
      <c r="K9" s="113">
        <f t="shared" si="0"/>
        <v>0.6</v>
      </c>
      <c r="L9" s="74" t="str">
        <f t="shared" si="2"/>
        <v>□□□□□</v>
      </c>
      <c r="M9" s="74" t="str">
        <f t="shared" si="3"/>
        <v/>
      </c>
      <c r="O9" s="175" t="s">
        <v>972</v>
      </c>
      <c r="P9" s="175" t="e">
        <f>INDEX($B$4:$B$33, MATCH(LARGE(($A$4:$A$33 = $O9) * E$4:E$33, 1), ($A$4:$A$33 = $O9) * E$4:E$33, 0))</f>
        <v>#N/A</v>
      </c>
      <c r="Q9" s="188" t="str">
        <f t="array" ref="Q9">INDEX($B$4:$B$33, MATCH(LARGE(($A$4:$A$33 = $O9) * F$4:F$33, 1), ($A$4:$A$33 = $O9) * F$4:F$33, 0))</f>
        <v>영어영문학과</v>
      </c>
      <c r="R9" s="188" t="str">
        <f t="array" ref="R9">INDEX($B$4:$B$33, MATCH(LARGE(($A$4:$A$33 = $O9) * G$4:G$33, 1), ($A$4:$A$33 = $O9) * G$4:G$33, 0))</f>
        <v>국어국문학과</v>
      </c>
      <c r="S9" s="188" t="str">
        <f t="array" ref="S9">INDEX($B$4:$B$33, MATCH(LARGE(($A$4:$A$33 = $O9) * H$4:H$33, 1), ($A$4:$A$33 = $O9) * H$4:H$33, 0))</f>
        <v>중어중문학과</v>
      </c>
    </row>
    <row r="10" spans="1:19">
      <c r="A10" s="76" t="s">
        <v>972</v>
      </c>
      <c r="B10" s="76" t="s">
        <v>979</v>
      </c>
      <c r="C10" s="76" t="s">
        <v>974</v>
      </c>
      <c r="D10" s="106">
        <v>40</v>
      </c>
      <c r="E10" s="106">
        <v>21</v>
      </c>
      <c r="F10" s="106"/>
      <c r="G10" s="106">
        <v>3</v>
      </c>
      <c r="H10" s="106">
        <v>1</v>
      </c>
      <c r="I10" s="106">
        <v>2</v>
      </c>
      <c r="J10" s="106">
        <v>4</v>
      </c>
      <c r="K10" s="113">
        <f t="shared" si="0"/>
        <v>0.67500000000000004</v>
      </c>
      <c r="L10" s="74" t="str">
        <f t="shared" si="2"/>
        <v>□□□□□□</v>
      </c>
      <c r="M10" s="74" t="str">
        <f t="shared" si="3"/>
        <v/>
      </c>
      <c r="O10" s="175" t="s">
        <v>980</v>
      </c>
      <c r="P10" s="188" t="str">
        <f t="array" ref="P10">INDEX($B$4:$B$33, MATCH(LARGE(($A$4:$A$33 = $O10) * E$4:E$33, 1), ($A$4:$A$33 = $O10) * E$4:E$33, 0))</f>
        <v>정치외교학과</v>
      </c>
      <c r="Q10" s="188" t="str">
        <f t="array" ref="Q10">INDEX($B$4:$B$33, MATCH(LARGE(($A$4:$A$33 = $O10) * F$4:F$33, 1), ($A$4:$A$33 = $O10) * F$4:F$33, 0))</f>
        <v>정치외교학과</v>
      </c>
      <c r="R10" s="188" t="str">
        <f t="array" ref="R10">INDEX($B$4:$B$33, MATCH(LARGE(($A$4:$A$33 = $O10) * G$4:G$33, 1), ($A$4:$A$33 = $O10) * G$4:G$33, 0))</f>
        <v>사회학과</v>
      </c>
      <c r="S10" s="188" t="str">
        <f t="array" ref="S10">INDEX($B$4:$B$33, MATCH(LARGE(($A$4:$A$33 = $O10) * H$4:H$33, 1), ($A$4:$A$33 = $O10) * H$4:H$33, 0))</f>
        <v>심리학과</v>
      </c>
    </row>
    <row r="11" spans="1:19">
      <c r="A11" s="76" t="s">
        <v>972</v>
      </c>
      <c r="B11" s="76" t="s">
        <v>979</v>
      </c>
      <c r="C11" s="76" t="s">
        <v>975</v>
      </c>
      <c r="D11" s="106">
        <v>55</v>
      </c>
      <c r="E11" s="106">
        <v>32</v>
      </c>
      <c r="F11" s="106">
        <v>2</v>
      </c>
      <c r="G11" s="106">
        <v>1</v>
      </c>
      <c r="H11" s="106">
        <v>3</v>
      </c>
      <c r="I11" s="106"/>
      <c r="J11" s="106"/>
      <c r="K11" s="113">
        <f t="shared" si="0"/>
        <v>0.69090909090909092</v>
      </c>
      <c r="L11" s="74" t="str">
        <f t="shared" si="2"/>
        <v>□□□□□□</v>
      </c>
      <c r="M11" s="74" t="str">
        <f t="shared" si="3"/>
        <v/>
      </c>
    </row>
    <row r="12" spans="1:19">
      <c r="A12" s="76" t="s">
        <v>972</v>
      </c>
      <c r="B12" s="76" t="s">
        <v>981</v>
      </c>
      <c r="C12" s="76" t="s">
        <v>974</v>
      </c>
      <c r="D12" s="106">
        <v>55</v>
      </c>
      <c r="E12" s="106">
        <v>19</v>
      </c>
      <c r="F12" s="106">
        <v>1</v>
      </c>
      <c r="G12" s="106">
        <v>2</v>
      </c>
      <c r="H12" s="106">
        <v>1</v>
      </c>
      <c r="I12" s="106"/>
      <c r="J12" s="106">
        <v>2</v>
      </c>
      <c r="K12" s="113">
        <f t="shared" si="0"/>
        <v>0.41818181818181815</v>
      </c>
      <c r="L12" s="74" t="str">
        <f t="shared" si="2"/>
        <v>■■■■</v>
      </c>
      <c r="M12" s="74" t="str">
        <f t="shared" si="3"/>
        <v>전문상담필요</v>
      </c>
      <c r="O12" s="83" t="s">
        <v>982</v>
      </c>
    </row>
    <row r="13" spans="1:19">
      <c r="A13" s="76" t="s">
        <v>972</v>
      </c>
      <c r="B13" s="76" t="s">
        <v>981</v>
      </c>
      <c r="C13" s="76" t="s">
        <v>975</v>
      </c>
      <c r="D13" s="106">
        <v>42</v>
      </c>
      <c r="E13" s="106">
        <v>18</v>
      </c>
      <c r="F13" s="106">
        <v>2</v>
      </c>
      <c r="G13" s="106"/>
      <c r="H13" s="106">
        <v>2</v>
      </c>
      <c r="I13" s="106">
        <v>1</v>
      </c>
      <c r="J13" s="106"/>
      <c r="K13" s="113">
        <f t="shared" si="0"/>
        <v>0.54761904761904767</v>
      </c>
      <c r="L13" s="74" t="str">
        <f t="shared" si="2"/>
        <v>□□□□□</v>
      </c>
      <c r="M13" s="74" t="str">
        <f t="shared" si="3"/>
        <v/>
      </c>
      <c r="O13" s="175"/>
      <c r="P13" s="174" t="s">
        <v>974</v>
      </c>
      <c r="Q13" s="174" t="s">
        <v>975</v>
      </c>
    </row>
    <row r="14" spans="1:19">
      <c r="A14" s="76" t="s">
        <v>972</v>
      </c>
      <c r="B14" s="76" t="s">
        <v>983</v>
      </c>
      <c r="C14" s="76" t="s">
        <v>974</v>
      </c>
      <c r="D14" s="106">
        <v>45</v>
      </c>
      <c r="E14" s="106">
        <v>35</v>
      </c>
      <c r="F14" s="106">
        <v>3</v>
      </c>
      <c r="G14" s="106"/>
      <c r="H14" s="106">
        <v>4</v>
      </c>
      <c r="I14" s="106"/>
      <c r="J14" s="106">
        <v>1</v>
      </c>
      <c r="K14" s="113">
        <f t="shared" si="0"/>
        <v>0.93333333333333335</v>
      </c>
      <c r="L14" s="74" t="str">
        <f t="shared" si="2"/>
        <v>□□□□□□□□□</v>
      </c>
      <c r="M14" s="74" t="str">
        <f t="shared" si="3"/>
        <v>최우수학과</v>
      </c>
      <c r="O14" s="76" t="s">
        <v>969</v>
      </c>
      <c r="P14" s="182">
        <f t="array" ref="P14">ROUND((SUM(($C$4:$C$33 = P$13) * $E$4:$E$33) + SUM(($C$4:$C$33 = P$13) * $F$4:$F$33)) / SUM(($C$4:$C$33 = P$13) * $D$4:$D$33), 4)</f>
        <v>0.51619999999999999</v>
      </c>
      <c r="Q14" s="182">
        <f t="array" ref="Q14">ROUND((SUM(($C$4:$C$33 = Q$13) * $E$4:$E$33) + SUM(($C$4:$C$33 = Q$13) * $F$4:$F$33)) / SUM(($C$4:$C$33 = Q$13) * $D$4:$D$33), 4)</f>
        <v>0.50749999999999995</v>
      </c>
    </row>
    <row r="15" spans="1:19">
      <c r="A15" s="76" t="s">
        <v>972</v>
      </c>
      <c r="B15" s="76" t="s">
        <v>983</v>
      </c>
      <c r="C15" s="76" t="s">
        <v>975</v>
      </c>
      <c r="D15" s="106">
        <v>40</v>
      </c>
      <c r="E15" s="106">
        <v>25</v>
      </c>
      <c r="F15" s="106">
        <v>4</v>
      </c>
      <c r="G15" s="106">
        <v>1</v>
      </c>
      <c r="H15" s="106">
        <v>3</v>
      </c>
      <c r="I15" s="106">
        <v>1</v>
      </c>
      <c r="J15" s="106"/>
      <c r="K15" s="113">
        <f t="shared" si="0"/>
        <v>0.85</v>
      </c>
      <c r="L15" s="74" t="str">
        <f t="shared" si="2"/>
        <v>□□□□□□□□</v>
      </c>
      <c r="M15" s="74" t="str">
        <f t="shared" si="3"/>
        <v>우수학과</v>
      </c>
      <c r="O15" s="76" t="s">
        <v>984</v>
      </c>
      <c r="P15" s="182">
        <f t="array" ref="P15">ROUND((SUM(($C$4:$C$33 = P$13) * $H$4:$H$33) + SUM(($C$4:$C$33 = P$13) * $G$4:$G$33)) / SUM(($C$4:$C$33 = P$13) * $D$4:$D$33), 4)</f>
        <v>5.5800000000000002E-2</v>
      </c>
      <c r="Q15" s="182">
        <f t="array" ref="Q15">ROUND((SUM(($C$4:$C$33 = Q$13) * $H$4:$H$33) + SUM(($C$4:$C$33 = Q$13) * $G$4:$G$33)) / SUM(($C$4:$C$33 = Q$13) * $D$4:$D$33), 4)</f>
        <v>9.3299999999999994E-2</v>
      </c>
    </row>
    <row r="16" spans="1:19">
      <c r="A16" s="76" t="s">
        <v>980</v>
      </c>
      <c r="B16" s="76" t="s">
        <v>985</v>
      </c>
      <c r="C16" s="76" t="s">
        <v>974</v>
      </c>
      <c r="D16" s="106">
        <v>50</v>
      </c>
      <c r="E16" s="106">
        <v>26</v>
      </c>
      <c r="F16" s="106">
        <v>2</v>
      </c>
      <c r="G16" s="106">
        <v>1</v>
      </c>
      <c r="H16" s="106"/>
      <c r="I16" s="106">
        <v>2</v>
      </c>
      <c r="J16" s="106">
        <v>3</v>
      </c>
      <c r="K16" s="113">
        <f t="shared" si="0"/>
        <v>0.62</v>
      </c>
      <c r="L16" s="74" t="str">
        <f t="shared" si="2"/>
        <v>□□□□□□</v>
      </c>
      <c r="M16" s="74" t="str">
        <f t="shared" si="3"/>
        <v/>
      </c>
    </row>
    <row r="17" spans="1:13">
      <c r="A17" s="76" t="s">
        <v>980</v>
      </c>
      <c r="B17" s="76" t="s">
        <v>985</v>
      </c>
      <c r="C17" s="76" t="s">
        <v>975</v>
      </c>
      <c r="D17" s="106">
        <v>49</v>
      </c>
      <c r="E17" s="106">
        <v>32</v>
      </c>
      <c r="F17" s="106"/>
      <c r="G17" s="106">
        <v>3</v>
      </c>
      <c r="H17" s="106"/>
      <c r="I17" s="106">
        <v>1</v>
      </c>
      <c r="J17" s="106"/>
      <c r="K17" s="113">
        <f t="shared" si="0"/>
        <v>0.73469387755102045</v>
      </c>
      <c r="L17" s="74" t="str">
        <f t="shared" si="2"/>
        <v>□□□□□□□</v>
      </c>
      <c r="M17" s="74" t="str">
        <f t="shared" si="3"/>
        <v/>
      </c>
    </row>
    <row r="18" spans="1:13">
      <c r="A18" s="76" t="s">
        <v>980</v>
      </c>
      <c r="B18" s="76" t="s">
        <v>986</v>
      </c>
      <c r="C18" s="76" t="s">
        <v>974</v>
      </c>
      <c r="D18" s="106">
        <v>91</v>
      </c>
      <c r="E18" s="106">
        <v>45</v>
      </c>
      <c r="F18" s="106">
        <v>3</v>
      </c>
      <c r="G18" s="106">
        <v>1</v>
      </c>
      <c r="H18" s="106"/>
      <c r="I18" s="106"/>
      <c r="J18" s="106">
        <v>2</v>
      </c>
      <c r="K18" s="113">
        <f t="shared" si="0"/>
        <v>0.53846153846153844</v>
      </c>
      <c r="L18" s="74" t="str">
        <f t="shared" si="2"/>
        <v>□□□□□</v>
      </c>
      <c r="M18" s="74" t="str">
        <f t="shared" si="3"/>
        <v/>
      </c>
    </row>
    <row r="19" spans="1:13">
      <c r="A19" s="76" t="s">
        <v>980</v>
      </c>
      <c r="B19" s="76" t="s">
        <v>986</v>
      </c>
      <c r="C19" s="76" t="s">
        <v>975</v>
      </c>
      <c r="D19" s="106">
        <v>52</v>
      </c>
      <c r="E19" s="106">
        <v>30</v>
      </c>
      <c r="F19" s="106">
        <v>5</v>
      </c>
      <c r="G19" s="106">
        <v>1</v>
      </c>
      <c r="H19" s="106"/>
      <c r="I19" s="106">
        <v>3</v>
      </c>
      <c r="J19" s="106"/>
      <c r="K19" s="113">
        <f t="shared" si="0"/>
        <v>0.75</v>
      </c>
      <c r="L19" s="74" t="str">
        <f t="shared" si="2"/>
        <v>□□□□□□□</v>
      </c>
      <c r="M19" s="74" t="str">
        <f t="shared" si="3"/>
        <v/>
      </c>
    </row>
    <row r="20" spans="1:13">
      <c r="A20" s="76" t="s">
        <v>980</v>
      </c>
      <c r="B20" s="76" t="s">
        <v>987</v>
      </c>
      <c r="C20" s="76" t="s">
        <v>974</v>
      </c>
      <c r="D20" s="106">
        <v>50</v>
      </c>
      <c r="E20" s="106">
        <v>26</v>
      </c>
      <c r="F20" s="106">
        <v>2</v>
      </c>
      <c r="G20" s="106">
        <v>4</v>
      </c>
      <c r="H20" s="106"/>
      <c r="I20" s="106">
        <v>4</v>
      </c>
      <c r="J20" s="106">
        <v>1</v>
      </c>
      <c r="K20" s="113">
        <f t="shared" si="0"/>
        <v>0.72</v>
      </c>
      <c r="L20" s="74" t="str">
        <f t="shared" si="2"/>
        <v>□□□□□□□</v>
      </c>
      <c r="M20" s="74" t="str">
        <f t="shared" si="3"/>
        <v/>
      </c>
    </row>
    <row r="21" spans="1:13">
      <c r="A21" s="76" t="s">
        <v>980</v>
      </c>
      <c r="B21" s="76" t="s">
        <v>987</v>
      </c>
      <c r="C21" s="76" t="s">
        <v>975</v>
      </c>
      <c r="D21" s="106">
        <v>51</v>
      </c>
      <c r="E21" s="106">
        <v>21</v>
      </c>
      <c r="F21" s="106">
        <v>2</v>
      </c>
      <c r="G21" s="106">
        <v>1</v>
      </c>
      <c r="H21" s="106"/>
      <c r="I21" s="106">
        <v>2</v>
      </c>
      <c r="J21" s="106"/>
      <c r="K21" s="113">
        <f t="shared" si="0"/>
        <v>0.50980392156862742</v>
      </c>
      <c r="L21" s="74" t="str">
        <f t="shared" si="2"/>
        <v>□□□□□</v>
      </c>
      <c r="M21" s="74" t="str">
        <f t="shared" si="3"/>
        <v/>
      </c>
    </row>
    <row r="22" spans="1:13">
      <c r="A22" s="76" t="s">
        <v>980</v>
      </c>
      <c r="B22" s="76" t="s">
        <v>988</v>
      </c>
      <c r="C22" s="76" t="s">
        <v>974</v>
      </c>
      <c r="D22" s="106">
        <v>45</v>
      </c>
      <c r="E22" s="106">
        <v>15</v>
      </c>
      <c r="F22" s="106"/>
      <c r="G22" s="106">
        <v>2</v>
      </c>
      <c r="H22" s="106"/>
      <c r="I22" s="106">
        <v>2</v>
      </c>
      <c r="J22" s="106">
        <v>3</v>
      </c>
      <c r="K22" s="113">
        <f t="shared" si="0"/>
        <v>0.42222222222222222</v>
      </c>
      <c r="L22" s="74" t="str">
        <f t="shared" si="2"/>
        <v>■■■■</v>
      </c>
      <c r="M22" s="74" t="str">
        <f t="shared" si="3"/>
        <v>전문상담필요</v>
      </c>
    </row>
    <row r="23" spans="1:13">
      <c r="A23" s="76" t="s">
        <v>980</v>
      </c>
      <c r="B23" s="76" t="s">
        <v>988</v>
      </c>
      <c r="C23" s="76" t="s">
        <v>975</v>
      </c>
      <c r="D23" s="106">
        <v>50</v>
      </c>
      <c r="E23" s="106">
        <v>23</v>
      </c>
      <c r="F23" s="106">
        <v>1</v>
      </c>
      <c r="G23" s="106">
        <v>3</v>
      </c>
      <c r="H23" s="106">
        <v>4</v>
      </c>
      <c r="I23" s="106">
        <v>2</v>
      </c>
      <c r="J23" s="106"/>
      <c r="K23" s="113">
        <f t="shared" si="0"/>
        <v>0.66</v>
      </c>
      <c r="L23" s="74" t="str">
        <f t="shared" si="2"/>
        <v>□□□□□□</v>
      </c>
      <c r="M23" s="74" t="str">
        <f t="shared" si="3"/>
        <v/>
      </c>
    </row>
    <row r="24" spans="1:13">
      <c r="A24" s="76" t="s">
        <v>980</v>
      </c>
      <c r="B24" s="76" t="s">
        <v>989</v>
      </c>
      <c r="C24" s="76" t="s">
        <v>974</v>
      </c>
      <c r="D24" s="106">
        <v>70</v>
      </c>
      <c r="E24" s="106">
        <v>32</v>
      </c>
      <c r="F24" s="106"/>
      <c r="G24" s="106">
        <v>1</v>
      </c>
      <c r="H24" s="106"/>
      <c r="I24" s="106">
        <v>1</v>
      </c>
      <c r="J24" s="106">
        <v>2</v>
      </c>
      <c r="K24" s="113">
        <f t="shared" si="0"/>
        <v>0.48571428571428571</v>
      </c>
      <c r="L24" s="74" t="str">
        <f t="shared" si="2"/>
        <v>■■■■</v>
      </c>
      <c r="M24" s="74" t="str">
        <f t="shared" si="3"/>
        <v>전문상담필요</v>
      </c>
    </row>
    <row r="25" spans="1:13">
      <c r="A25" s="76" t="s">
        <v>980</v>
      </c>
      <c r="B25" s="76" t="s">
        <v>989</v>
      </c>
      <c r="C25" s="76" t="s">
        <v>975</v>
      </c>
      <c r="D25" s="106">
        <v>70</v>
      </c>
      <c r="E25" s="106">
        <v>36</v>
      </c>
      <c r="F25" s="106"/>
      <c r="G25" s="106">
        <v>3</v>
      </c>
      <c r="H25" s="106"/>
      <c r="I25" s="106">
        <v>1</v>
      </c>
      <c r="J25" s="106"/>
      <c r="K25" s="113">
        <f t="shared" si="0"/>
        <v>0.5714285714285714</v>
      </c>
      <c r="L25" s="74" t="str">
        <f t="shared" si="2"/>
        <v>□□□□□</v>
      </c>
      <c r="M25" s="74" t="str">
        <f t="shared" si="3"/>
        <v/>
      </c>
    </row>
    <row r="26" spans="1:13">
      <c r="A26" s="76" t="s">
        <v>990</v>
      </c>
      <c r="B26" s="76" t="s">
        <v>991</v>
      </c>
      <c r="C26" s="76" t="s">
        <v>974</v>
      </c>
      <c r="D26" s="106">
        <v>40</v>
      </c>
      <c r="E26" s="106">
        <v>19</v>
      </c>
      <c r="F26" s="106"/>
      <c r="G26" s="106">
        <v>1</v>
      </c>
      <c r="H26" s="106">
        <v>1</v>
      </c>
      <c r="I26" s="106">
        <v>2</v>
      </c>
      <c r="J26" s="106">
        <v>5</v>
      </c>
      <c r="K26" s="113">
        <f t="shared" si="0"/>
        <v>0.57499999999999996</v>
      </c>
      <c r="L26" s="74" t="str">
        <f t="shared" si="2"/>
        <v>□□□□□</v>
      </c>
      <c r="M26" s="74" t="str">
        <f t="shared" si="3"/>
        <v/>
      </c>
    </row>
    <row r="27" spans="1:13">
      <c r="A27" s="76" t="s">
        <v>990</v>
      </c>
      <c r="B27" s="76" t="s">
        <v>991</v>
      </c>
      <c r="C27" s="76" t="s">
        <v>975</v>
      </c>
      <c r="D27" s="106">
        <v>50</v>
      </c>
      <c r="E27" s="106">
        <v>23</v>
      </c>
      <c r="F27" s="106">
        <v>1</v>
      </c>
      <c r="G27" s="106">
        <v>1</v>
      </c>
      <c r="H27" s="106">
        <v>7</v>
      </c>
      <c r="I27" s="106">
        <v>3</v>
      </c>
      <c r="J27" s="106"/>
      <c r="K27" s="113">
        <f t="shared" si="0"/>
        <v>0.7</v>
      </c>
      <c r="L27" s="74" t="str">
        <f t="shared" si="2"/>
        <v>□□□□□□</v>
      </c>
      <c r="M27" s="74" t="str">
        <f t="shared" si="3"/>
        <v/>
      </c>
    </row>
    <row r="28" spans="1:13">
      <c r="A28" s="76" t="s">
        <v>990</v>
      </c>
      <c r="B28" s="76" t="s">
        <v>992</v>
      </c>
      <c r="C28" s="76" t="s">
        <v>974</v>
      </c>
      <c r="D28" s="106">
        <v>45</v>
      </c>
      <c r="E28" s="106">
        <v>21</v>
      </c>
      <c r="F28" s="106"/>
      <c r="G28" s="106"/>
      <c r="H28" s="106">
        <v>4</v>
      </c>
      <c r="I28" s="106">
        <v>1</v>
      </c>
      <c r="J28" s="106">
        <v>1</v>
      </c>
      <c r="K28" s="113">
        <f t="shared" si="0"/>
        <v>0.57777777777777772</v>
      </c>
      <c r="L28" s="74" t="str">
        <f t="shared" si="2"/>
        <v>□□□□□</v>
      </c>
      <c r="M28" s="74" t="str">
        <f t="shared" si="3"/>
        <v/>
      </c>
    </row>
    <row r="29" spans="1:13">
      <c r="A29" s="76" t="s">
        <v>990</v>
      </c>
      <c r="B29" s="76" t="s">
        <v>992</v>
      </c>
      <c r="C29" s="76" t="s">
        <v>975</v>
      </c>
      <c r="D29" s="106">
        <v>50</v>
      </c>
      <c r="E29" s="106">
        <v>24</v>
      </c>
      <c r="F29" s="106"/>
      <c r="G29" s="106">
        <v>2</v>
      </c>
      <c r="H29" s="106">
        <v>5</v>
      </c>
      <c r="I29" s="106">
        <v>1</v>
      </c>
      <c r="J29" s="106"/>
      <c r="K29" s="113">
        <f t="shared" si="0"/>
        <v>0.64</v>
      </c>
      <c r="L29" s="74" t="str">
        <f t="shared" si="2"/>
        <v>□□□□□□</v>
      </c>
      <c r="M29" s="74" t="str">
        <f t="shared" si="3"/>
        <v/>
      </c>
    </row>
    <row r="30" spans="1:13">
      <c r="A30" s="76" t="s">
        <v>990</v>
      </c>
      <c r="B30" s="76" t="s">
        <v>993</v>
      </c>
      <c r="C30" s="76" t="s">
        <v>974</v>
      </c>
      <c r="D30" s="106">
        <v>60</v>
      </c>
      <c r="E30" s="106">
        <v>39</v>
      </c>
      <c r="F30" s="106">
        <v>2</v>
      </c>
      <c r="G30" s="106">
        <v>1</v>
      </c>
      <c r="H30" s="106">
        <v>5</v>
      </c>
      <c r="I30" s="106">
        <v>1</v>
      </c>
      <c r="J30" s="106">
        <v>3</v>
      </c>
      <c r="K30" s="113">
        <f t="shared" si="0"/>
        <v>0.8</v>
      </c>
      <c r="L30" s="74" t="str">
        <f t="shared" si="2"/>
        <v>□□□□□□□□</v>
      </c>
      <c r="M30" s="74" t="str">
        <f t="shared" si="3"/>
        <v>우수학과</v>
      </c>
    </row>
    <row r="31" spans="1:13">
      <c r="A31" s="76" t="s">
        <v>990</v>
      </c>
      <c r="B31" s="76" t="s">
        <v>993</v>
      </c>
      <c r="C31" s="76" t="s">
        <v>975</v>
      </c>
      <c r="D31" s="106">
        <v>60</v>
      </c>
      <c r="E31" s="106">
        <v>29</v>
      </c>
      <c r="F31" s="106">
        <v>3</v>
      </c>
      <c r="G31" s="106">
        <v>1</v>
      </c>
      <c r="H31" s="106">
        <v>12</v>
      </c>
      <c r="I31" s="106">
        <v>2</v>
      </c>
      <c r="J31" s="106"/>
      <c r="K31" s="113">
        <f t="shared" si="0"/>
        <v>0.78333333333333333</v>
      </c>
      <c r="L31" s="74" t="str">
        <f t="shared" si="2"/>
        <v>□□□□□□□</v>
      </c>
      <c r="M31" s="74" t="str">
        <f t="shared" si="3"/>
        <v/>
      </c>
    </row>
    <row r="32" spans="1:13">
      <c r="A32" s="76" t="s">
        <v>990</v>
      </c>
      <c r="B32" s="76" t="s">
        <v>994</v>
      </c>
      <c r="C32" s="76" t="s">
        <v>974</v>
      </c>
      <c r="D32" s="106">
        <v>40</v>
      </c>
      <c r="E32" s="106">
        <v>15</v>
      </c>
      <c r="F32" s="106"/>
      <c r="G32" s="106">
        <v>1</v>
      </c>
      <c r="H32" s="106">
        <v>2</v>
      </c>
      <c r="I32" s="106">
        <v>1</v>
      </c>
      <c r="J32" s="106">
        <v>3</v>
      </c>
      <c r="K32" s="113">
        <f t="shared" si="0"/>
        <v>0.47499999999999998</v>
      </c>
      <c r="L32" s="74" t="str">
        <f t="shared" si="2"/>
        <v>■■■■</v>
      </c>
      <c r="M32" s="74" t="str">
        <f t="shared" si="3"/>
        <v>전문상담필요</v>
      </c>
    </row>
    <row r="33" spans="1:13">
      <c r="A33" s="76" t="s">
        <v>990</v>
      </c>
      <c r="B33" s="76" t="s">
        <v>994</v>
      </c>
      <c r="C33" s="76" t="s">
        <v>975</v>
      </c>
      <c r="D33" s="106">
        <v>35</v>
      </c>
      <c r="E33" s="106">
        <v>13</v>
      </c>
      <c r="F33" s="106"/>
      <c r="G33" s="106">
        <v>2</v>
      </c>
      <c r="H33" s="106">
        <v>5</v>
      </c>
      <c r="I33" s="106">
        <v>1</v>
      </c>
      <c r="J33" s="106"/>
      <c r="K33" s="113">
        <f t="shared" si="0"/>
        <v>0.6</v>
      </c>
      <c r="L33" s="74" t="str">
        <f t="shared" si="2"/>
        <v>□□□□□</v>
      </c>
      <c r="M33" s="74" t="str">
        <f t="shared" si="3"/>
        <v/>
      </c>
    </row>
  </sheetData>
  <phoneticPr fontId="4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L33"/>
  <sheetViews>
    <sheetView workbookViewId="0">
      <selection activeCell="M24" sqref="M24"/>
    </sheetView>
  </sheetViews>
  <sheetFormatPr defaultRowHeight="16.5"/>
  <cols>
    <col min="4" max="4" width="14.375" bestFit="1" customWidth="1"/>
    <col min="5" max="5" width="11.375" customWidth="1"/>
    <col min="6" max="6" width="9.875" customWidth="1"/>
    <col min="7" max="7" width="11.125" bestFit="1" customWidth="1"/>
    <col min="8" max="8" width="3.375" customWidth="1"/>
    <col min="9" max="9" width="9.875" bestFit="1" customWidth="1"/>
    <col min="10" max="10" width="15.125" bestFit="1" customWidth="1"/>
    <col min="11" max="11" width="13.875" bestFit="1" customWidth="1"/>
    <col min="12" max="12" width="13" bestFit="1" customWidth="1"/>
  </cols>
  <sheetData>
    <row r="2" spans="1:12">
      <c r="A2" t="s">
        <v>891</v>
      </c>
      <c r="F2" s="78" t="s">
        <v>892</v>
      </c>
      <c r="G2" s="101">
        <v>43132</v>
      </c>
      <c r="I2" t="s">
        <v>893</v>
      </c>
    </row>
    <row r="3" spans="1:12">
      <c r="A3" s="173" t="s">
        <v>894</v>
      </c>
      <c r="B3" s="173" t="s">
        <v>895</v>
      </c>
      <c r="C3" s="173" t="s">
        <v>896</v>
      </c>
      <c r="D3" s="174" t="s">
        <v>897</v>
      </c>
      <c r="E3" s="173" t="s">
        <v>898</v>
      </c>
      <c r="F3" s="174" t="s">
        <v>899</v>
      </c>
      <c r="G3" s="174" t="s">
        <v>900</v>
      </c>
      <c r="I3" s="200"/>
      <c r="J3" s="176">
        <v>100</v>
      </c>
      <c r="K3" s="176">
        <v>300</v>
      </c>
      <c r="L3" s="176">
        <v>400</v>
      </c>
    </row>
    <row r="4" spans="1:12">
      <c r="A4" s="173" t="s">
        <v>901</v>
      </c>
      <c r="B4" s="173" t="s">
        <v>902</v>
      </c>
      <c r="C4" s="74">
        <v>230</v>
      </c>
      <c r="D4" s="173" t="str">
        <f>PROPER(HLOOKUP(C4, $J$3:$L$6, MATCH(B4, $I$5:$I$6, 0) + 2))</f>
        <v>Crystal Hall</v>
      </c>
      <c r="E4" s="75">
        <v>43195</v>
      </c>
      <c r="F4" s="173" t="str">
        <f>IF(NETWORKDAYS($G$2, E4, $I$27:$I$32) &lt; 0, "", TEXT(NETWORKDAYS($G$2, E4, $I$27:$I$32), "000"))</f>
        <v>043</v>
      </c>
      <c r="G4" s="173"/>
      <c r="I4" s="201"/>
      <c r="J4" s="177">
        <v>300</v>
      </c>
      <c r="K4" s="177">
        <v>400</v>
      </c>
      <c r="L4" s="177">
        <v>600</v>
      </c>
    </row>
    <row r="5" spans="1:12">
      <c r="A5" s="173" t="s">
        <v>903</v>
      </c>
      <c r="B5" s="173" t="s">
        <v>902</v>
      </c>
      <c r="C5" s="74">
        <v>390</v>
      </c>
      <c r="D5" s="188" t="str">
        <f t="shared" ref="D5:D33" si="0">PROPER(HLOOKUP(C5, $J$3:$L$6, MATCH(B5, $I$5:$I$6, 0) + 2))</f>
        <v xml:space="preserve">Diamond Hall </v>
      </c>
      <c r="E5" s="75">
        <v>43140</v>
      </c>
      <c r="F5" s="188" t="str">
        <f t="shared" ref="F5:F33" si="1">IF(NETWORKDAYS($G$2, E5, $I$27:$I$32) &lt; 0, "", TEXT(NETWORKDAYS($G$2, E5, $I$27:$I$32), "000"))</f>
        <v>007</v>
      </c>
      <c r="G5" s="173"/>
      <c r="I5" s="76" t="s">
        <v>904</v>
      </c>
      <c r="J5" s="76" t="s">
        <v>905</v>
      </c>
      <c r="K5" s="76" t="s">
        <v>906</v>
      </c>
      <c r="L5" s="76" t="s">
        <v>907</v>
      </c>
    </row>
    <row r="6" spans="1:12">
      <c r="A6" s="173" t="s">
        <v>908</v>
      </c>
      <c r="B6" s="173" t="s">
        <v>909</v>
      </c>
      <c r="C6" s="74">
        <v>120</v>
      </c>
      <c r="D6" s="188" t="str">
        <f t="shared" si="0"/>
        <v>Crystal Hall</v>
      </c>
      <c r="E6" s="75">
        <v>43078</v>
      </c>
      <c r="F6" s="188" t="str">
        <f t="shared" si="1"/>
        <v/>
      </c>
      <c r="G6" s="173"/>
      <c r="I6" s="76" t="s">
        <v>910</v>
      </c>
      <c r="J6" s="76" t="s">
        <v>906</v>
      </c>
      <c r="K6" s="76" t="s">
        <v>911</v>
      </c>
      <c r="L6" s="76" t="s">
        <v>912</v>
      </c>
    </row>
    <row r="7" spans="1:12">
      <c r="A7" s="173" t="s">
        <v>913</v>
      </c>
      <c r="B7" s="173" t="s">
        <v>909</v>
      </c>
      <c r="C7" s="74">
        <v>350</v>
      </c>
      <c r="D7" s="188" t="str">
        <f t="shared" si="0"/>
        <v xml:space="preserve">Diamond Hall </v>
      </c>
      <c r="E7" s="75">
        <v>43223</v>
      </c>
      <c r="F7" s="188" t="str">
        <f t="shared" si="1"/>
        <v>063</v>
      </c>
      <c r="G7" s="173"/>
    </row>
    <row r="8" spans="1:12">
      <c r="A8" s="173" t="s">
        <v>914</v>
      </c>
      <c r="B8" s="173" t="s">
        <v>915</v>
      </c>
      <c r="C8" s="74">
        <v>150</v>
      </c>
      <c r="D8" s="188" t="str">
        <f t="shared" si="0"/>
        <v xml:space="preserve">Diamond Hall </v>
      </c>
      <c r="E8" s="75">
        <v>43194</v>
      </c>
      <c r="F8" s="188" t="str">
        <f t="shared" si="1"/>
        <v>042</v>
      </c>
      <c r="G8" s="173"/>
      <c r="I8" t="s">
        <v>916</v>
      </c>
    </row>
    <row r="9" spans="1:12">
      <c r="A9" s="173" t="s">
        <v>917</v>
      </c>
      <c r="B9" s="173" t="s">
        <v>918</v>
      </c>
      <c r="C9" s="74">
        <v>452</v>
      </c>
      <c r="D9" s="188" t="str">
        <f t="shared" si="0"/>
        <v xml:space="preserve">Ruby Hall </v>
      </c>
      <c r="E9" s="75">
        <v>43136</v>
      </c>
      <c r="F9" s="188" t="str">
        <f t="shared" si="1"/>
        <v>003</v>
      </c>
      <c r="G9" s="173"/>
      <c r="I9" s="202" t="s">
        <v>919</v>
      </c>
      <c r="J9" s="202"/>
      <c r="K9" s="174" t="s">
        <v>918</v>
      </c>
      <c r="L9" s="174" t="s">
        <v>915</v>
      </c>
    </row>
    <row r="10" spans="1:12">
      <c r="A10" s="173" t="s">
        <v>920</v>
      </c>
      <c r="B10" s="173" t="s">
        <v>915</v>
      </c>
      <c r="C10" s="74">
        <v>210</v>
      </c>
      <c r="D10" s="188" t="str">
        <f t="shared" si="0"/>
        <v xml:space="preserve">Diamond Hall </v>
      </c>
      <c r="E10" s="75">
        <v>43161</v>
      </c>
      <c r="F10" s="188" t="str">
        <f t="shared" si="1"/>
        <v>019</v>
      </c>
      <c r="G10" s="173"/>
      <c r="I10" s="178">
        <v>0</v>
      </c>
      <c r="J10" s="173">
        <v>200</v>
      </c>
      <c r="K10" s="74">
        <f t="array" ref="K10:L14">FREQUENCY(IF($B$4:$B$33 = K$9, $C$4:$C$33), $J$10:$J$14)</f>
        <v>2</v>
      </c>
      <c r="L10" s="74">
        <v>2</v>
      </c>
    </row>
    <row r="11" spans="1:12">
      <c r="A11" s="173" t="s">
        <v>921</v>
      </c>
      <c r="B11" s="173" t="s">
        <v>922</v>
      </c>
      <c r="C11" s="74">
        <v>215</v>
      </c>
      <c r="D11" s="188" t="str">
        <f t="shared" si="0"/>
        <v xml:space="preserve">Diamond Hall </v>
      </c>
      <c r="E11" s="75">
        <v>43103</v>
      </c>
      <c r="F11" s="188" t="str">
        <f t="shared" si="1"/>
        <v/>
      </c>
      <c r="G11" s="173"/>
      <c r="I11" s="178">
        <v>201</v>
      </c>
      <c r="J11" s="173">
        <v>300</v>
      </c>
      <c r="K11" s="74">
        <v>3</v>
      </c>
      <c r="L11" s="74">
        <v>3</v>
      </c>
    </row>
    <row r="12" spans="1:12">
      <c r="A12" s="173" t="s">
        <v>923</v>
      </c>
      <c r="B12" s="173" t="s">
        <v>924</v>
      </c>
      <c r="C12" s="74">
        <v>153</v>
      </c>
      <c r="D12" s="188" t="str">
        <f t="shared" si="0"/>
        <v>Crystal Hall</v>
      </c>
      <c r="E12" s="75">
        <v>43151</v>
      </c>
      <c r="F12" s="188" t="str">
        <f t="shared" si="1"/>
        <v>012</v>
      </c>
      <c r="G12" s="173"/>
      <c r="I12" s="178">
        <v>301</v>
      </c>
      <c r="J12" s="173">
        <v>400</v>
      </c>
      <c r="K12" s="74">
        <v>4</v>
      </c>
      <c r="L12" s="74">
        <v>4</v>
      </c>
    </row>
    <row r="13" spans="1:12">
      <c r="A13" s="173" t="s">
        <v>925</v>
      </c>
      <c r="B13" s="173" t="s">
        <v>924</v>
      </c>
      <c r="C13" s="74">
        <v>412</v>
      </c>
      <c r="D13" s="188" t="str">
        <f t="shared" si="0"/>
        <v xml:space="preserve">Ruby Hall </v>
      </c>
      <c r="E13" s="75">
        <v>43137</v>
      </c>
      <c r="F13" s="188" t="str">
        <f t="shared" si="1"/>
        <v>004</v>
      </c>
      <c r="G13" s="173"/>
      <c r="I13" s="178">
        <v>401</v>
      </c>
      <c r="J13" s="173">
        <v>500</v>
      </c>
      <c r="K13" s="74">
        <v>3</v>
      </c>
      <c r="L13" s="74">
        <v>3</v>
      </c>
    </row>
    <row r="14" spans="1:12">
      <c r="A14" s="173" t="s">
        <v>926</v>
      </c>
      <c r="B14" s="173" t="s">
        <v>924</v>
      </c>
      <c r="C14" s="74">
        <v>523</v>
      </c>
      <c r="D14" s="188" t="str">
        <f t="shared" si="0"/>
        <v xml:space="preserve">Ruby Hall </v>
      </c>
      <c r="E14" s="75">
        <v>43223</v>
      </c>
      <c r="F14" s="188" t="str">
        <f t="shared" si="1"/>
        <v>063</v>
      </c>
      <c r="G14" s="173"/>
      <c r="I14" s="178">
        <v>501</v>
      </c>
      <c r="J14" s="173">
        <v>600</v>
      </c>
      <c r="K14" s="74">
        <v>1</v>
      </c>
      <c r="L14" s="74">
        <v>1</v>
      </c>
    </row>
    <row r="15" spans="1:12">
      <c r="A15" s="173" t="s">
        <v>927</v>
      </c>
      <c r="B15" s="173" t="s">
        <v>922</v>
      </c>
      <c r="C15" s="74">
        <v>352</v>
      </c>
      <c r="D15" s="188" t="str">
        <f t="shared" si="0"/>
        <v xml:space="preserve">Ruby Hall </v>
      </c>
      <c r="E15" s="75">
        <v>43210</v>
      </c>
      <c r="F15" s="188" t="str">
        <f t="shared" si="1"/>
        <v>054</v>
      </c>
      <c r="G15" s="173"/>
    </row>
    <row r="16" spans="1:12">
      <c r="A16" s="173" t="s">
        <v>928</v>
      </c>
      <c r="B16" s="173" t="s">
        <v>922</v>
      </c>
      <c r="C16" s="74">
        <v>321</v>
      </c>
      <c r="D16" s="188" t="str">
        <f t="shared" si="0"/>
        <v xml:space="preserve">Ruby Hall </v>
      </c>
      <c r="E16" s="75">
        <v>43174</v>
      </c>
      <c r="F16" s="188" t="str">
        <f t="shared" si="1"/>
        <v>028</v>
      </c>
      <c r="G16" s="173"/>
      <c r="I16" t="s">
        <v>929</v>
      </c>
    </row>
    <row r="17" spans="1:10">
      <c r="A17" s="173" t="s">
        <v>930</v>
      </c>
      <c r="B17" s="173" t="s">
        <v>922</v>
      </c>
      <c r="C17" s="74">
        <v>214</v>
      </c>
      <c r="D17" s="188" t="str">
        <f t="shared" si="0"/>
        <v xml:space="preserve">Diamond Hall </v>
      </c>
      <c r="E17" s="75">
        <v>43215</v>
      </c>
      <c r="F17" s="188" t="str">
        <f t="shared" si="1"/>
        <v>057</v>
      </c>
      <c r="G17" s="173"/>
      <c r="I17" s="173" t="s">
        <v>931</v>
      </c>
      <c r="J17" s="174" t="s">
        <v>932</v>
      </c>
    </row>
    <row r="18" spans="1:10">
      <c r="A18" s="173" t="s">
        <v>933</v>
      </c>
      <c r="B18" s="173" t="s">
        <v>922</v>
      </c>
      <c r="C18" s="74">
        <v>251</v>
      </c>
      <c r="D18" s="188" t="str">
        <f t="shared" si="0"/>
        <v xml:space="preserve">Diamond Hall </v>
      </c>
      <c r="E18" s="75">
        <v>43250</v>
      </c>
      <c r="F18" s="188" t="str">
        <f t="shared" si="1"/>
        <v>081</v>
      </c>
      <c r="G18" s="173"/>
      <c r="I18" s="179">
        <v>1</v>
      </c>
      <c r="J18" s="74" t="str">
        <f t="array" ref="J18">REPT("♥", SUM(IF(MONTH($E$4:$E$33)=I18,1)))</f>
        <v>♥♥</v>
      </c>
    </row>
    <row r="19" spans="1:10">
      <c r="A19" s="173" t="s">
        <v>934</v>
      </c>
      <c r="B19" s="173" t="s">
        <v>922</v>
      </c>
      <c r="C19" s="74">
        <v>360</v>
      </c>
      <c r="D19" s="188" t="str">
        <f t="shared" si="0"/>
        <v xml:space="preserve">Ruby Hall </v>
      </c>
      <c r="E19" s="75">
        <v>43150</v>
      </c>
      <c r="F19" s="188" t="str">
        <f t="shared" si="1"/>
        <v>011</v>
      </c>
      <c r="G19" s="173"/>
      <c r="I19" s="179">
        <v>2</v>
      </c>
      <c r="J19" s="74" t="str">
        <f t="array" ref="J19">REPT("♥", SUM(IF(MONTH($E$4:$E$33)=I19,1)))</f>
        <v>♥♥♥♥♥</v>
      </c>
    </row>
    <row r="20" spans="1:10">
      <c r="A20" s="173" t="s">
        <v>935</v>
      </c>
      <c r="B20" s="173" t="s">
        <v>924</v>
      </c>
      <c r="C20" s="74">
        <v>394</v>
      </c>
      <c r="D20" s="188" t="str">
        <f t="shared" si="0"/>
        <v xml:space="preserve">Diamond Hall </v>
      </c>
      <c r="E20" s="75">
        <v>43261</v>
      </c>
      <c r="F20" s="188" t="str">
        <f t="shared" si="1"/>
        <v>087</v>
      </c>
      <c r="G20" s="173"/>
      <c r="I20" s="179">
        <v>3</v>
      </c>
      <c r="J20" s="74" t="str">
        <f t="array" ref="J20">REPT("♥", SUM(IF(MONTH($E$4:$E$33)=I20,1)))</f>
        <v>♥♥♥♥♥♥♥</v>
      </c>
    </row>
    <row r="21" spans="1:10">
      <c r="A21" s="173" t="s">
        <v>936</v>
      </c>
      <c r="B21" s="173" t="s">
        <v>922</v>
      </c>
      <c r="C21" s="74">
        <v>387</v>
      </c>
      <c r="D21" s="188" t="str">
        <f t="shared" si="0"/>
        <v xml:space="preserve">Ruby Hall </v>
      </c>
      <c r="E21" s="75">
        <v>43246</v>
      </c>
      <c r="F21" s="188" t="str">
        <f t="shared" si="1"/>
        <v>078</v>
      </c>
      <c r="G21" s="173"/>
      <c r="I21" s="179">
        <v>4</v>
      </c>
      <c r="J21" s="74" t="str">
        <f t="array" ref="J21">REPT("♥", SUM(IF(MONTH($E$4:$E$33)=I21,1)))</f>
        <v>♥♥♥♥♥♥</v>
      </c>
    </row>
    <row r="22" spans="1:10">
      <c r="A22" s="173" t="s">
        <v>937</v>
      </c>
      <c r="B22" s="173" t="s">
        <v>924</v>
      </c>
      <c r="C22" s="74">
        <v>458</v>
      </c>
      <c r="D22" s="188" t="str">
        <f t="shared" si="0"/>
        <v xml:space="preserve">Ruby Hall </v>
      </c>
      <c r="E22" s="75">
        <v>43178</v>
      </c>
      <c r="F22" s="188" t="str">
        <f t="shared" si="1"/>
        <v>030</v>
      </c>
      <c r="G22" s="173"/>
      <c r="I22" s="179">
        <v>5</v>
      </c>
      <c r="J22" s="74" t="str">
        <f t="array" ref="J22">REPT("♥", SUM(IF(MONTH($E$4:$E$33)=I22,1)))</f>
        <v>♥♥♥♥♥♥</v>
      </c>
    </row>
    <row r="23" spans="1:10">
      <c r="A23" s="173" t="s">
        <v>938</v>
      </c>
      <c r="B23" s="173" t="s">
        <v>924</v>
      </c>
      <c r="C23" s="74">
        <v>294</v>
      </c>
      <c r="D23" s="188" t="str">
        <f t="shared" si="0"/>
        <v>Crystal Hall</v>
      </c>
      <c r="E23" s="75">
        <v>43179</v>
      </c>
      <c r="F23" s="188" t="str">
        <f t="shared" si="1"/>
        <v>031</v>
      </c>
      <c r="G23" s="173"/>
      <c r="I23" s="179">
        <v>6</v>
      </c>
      <c r="J23" s="74" t="str">
        <f t="array" ref="J23">REPT("♥", SUM(IF(MONTH($E$4:$E$33)=I23,1)))</f>
        <v>♥♥♥</v>
      </c>
    </row>
    <row r="24" spans="1:10">
      <c r="A24" s="173" t="s">
        <v>939</v>
      </c>
      <c r="B24" s="173" t="s">
        <v>922</v>
      </c>
      <c r="C24" s="74">
        <v>597</v>
      </c>
      <c r="D24" s="188" t="str">
        <f t="shared" si="0"/>
        <v xml:space="preserve">Emerald Hall </v>
      </c>
      <c r="E24" s="75">
        <v>43130</v>
      </c>
      <c r="F24" s="188" t="str">
        <f t="shared" si="1"/>
        <v/>
      </c>
      <c r="G24" s="173"/>
    </row>
    <row r="25" spans="1:10">
      <c r="A25" s="173" t="s">
        <v>940</v>
      </c>
      <c r="B25" s="173" t="s">
        <v>922</v>
      </c>
      <c r="C25" s="74">
        <v>481</v>
      </c>
      <c r="D25" s="188" t="str">
        <f t="shared" si="0"/>
        <v xml:space="preserve">Emerald Hall </v>
      </c>
      <c r="E25" s="75">
        <v>43184</v>
      </c>
      <c r="F25" s="188" t="str">
        <f t="shared" si="1"/>
        <v>034</v>
      </c>
      <c r="G25" s="173"/>
      <c r="I25" t="s">
        <v>941</v>
      </c>
    </row>
    <row r="26" spans="1:10">
      <c r="A26" s="173" t="s">
        <v>942</v>
      </c>
      <c r="B26" s="173" t="s">
        <v>924</v>
      </c>
      <c r="C26" s="74">
        <v>254</v>
      </c>
      <c r="D26" s="188" t="str">
        <f t="shared" si="0"/>
        <v>Crystal Hall</v>
      </c>
      <c r="E26" s="75">
        <v>43219</v>
      </c>
      <c r="F26" s="188" t="str">
        <f t="shared" si="1"/>
        <v>059</v>
      </c>
      <c r="G26" s="173"/>
      <c r="I26" s="173" t="s">
        <v>943</v>
      </c>
      <c r="J26" s="173" t="s">
        <v>944</v>
      </c>
    </row>
    <row r="27" spans="1:10">
      <c r="A27" s="173" t="s">
        <v>945</v>
      </c>
      <c r="B27" s="173" t="s">
        <v>924</v>
      </c>
      <c r="C27" s="74">
        <v>398</v>
      </c>
      <c r="D27" s="188" t="str">
        <f t="shared" si="0"/>
        <v xml:space="preserve">Diamond Hall </v>
      </c>
      <c r="E27" s="75">
        <v>43246</v>
      </c>
      <c r="F27" s="188" t="str">
        <f t="shared" si="1"/>
        <v>078</v>
      </c>
      <c r="G27" s="173"/>
      <c r="I27" s="180">
        <v>43101</v>
      </c>
      <c r="J27" s="173" t="s">
        <v>946</v>
      </c>
    </row>
    <row r="28" spans="1:10">
      <c r="A28" s="173" t="s">
        <v>947</v>
      </c>
      <c r="B28" s="173" t="s">
        <v>922</v>
      </c>
      <c r="C28" s="74">
        <v>251</v>
      </c>
      <c r="D28" s="188" t="str">
        <f t="shared" si="0"/>
        <v xml:space="preserve">Diamond Hall </v>
      </c>
      <c r="E28" s="75">
        <v>43261</v>
      </c>
      <c r="F28" s="188" t="str">
        <f t="shared" si="1"/>
        <v>087</v>
      </c>
      <c r="G28" s="173"/>
      <c r="I28" s="180">
        <v>43146</v>
      </c>
      <c r="J28" s="173" t="s">
        <v>948</v>
      </c>
    </row>
    <row r="29" spans="1:10">
      <c r="A29" s="173" t="s">
        <v>949</v>
      </c>
      <c r="B29" s="173" t="s">
        <v>922</v>
      </c>
      <c r="C29" s="74">
        <v>394</v>
      </c>
      <c r="D29" s="188" t="str">
        <f t="shared" si="0"/>
        <v xml:space="preserve">Ruby Hall </v>
      </c>
      <c r="E29" s="75">
        <v>43228</v>
      </c>
      <c r="F29" s="188" t="str">
        <f t="shared" si="1"/>
        <v>066</v>
      </c>
      <c r="G29" s="173"/>
      <c r="I29" s="180">
        <v>43147</v>
      </c>
      <c r="J29" s="173" t="s">
        <v>948</v>
      </c>
    </row>
    <row r="30" spans="1:10">
      <c r="A30" s="173" t="s">
        <v>950</v>
      </c>
      <c r="B30" s="173" t="s">
        <v>922</v>
      </c>
      <c r="C30" s="74">
        <v>540</v>
      </c>
      <c r="D30" s="188" t="str">
        <f t="shared" si="0"/>
        <v xml:space="preserve">Emerald Hall </v>
      </c>
      <c r="E30" s="75">
        <v>43199</v>
      </c>
      <c r="F30" s="188" t="str">
        <f t="shared" si="1"/>
        <v>045</v>
      </c>
      <c r="G30" s="173"/>
      <c r="I30" s="180">
        <v>43160</v>
      </c>
      <c r="J30" s="173" t="s">
        <v>951</v>
      </c>
    </row>
    <row r="31" spans="1:10">
      <c r="A31" s="173" t="s">
        <v>952</v>
      </c>
      <c r="B31" s="173" t="s">
        <v>922</v>
      </c>
      <c r="C31" s="74">
        <v>480</v>
      </c>
      <c r="D31" s="188" t="str">
        <f t="shared" si="0"/>
        <v xml:space="preserve">Emerald Hall </v>
      </c>
      <c r="E31" s="75">
        <v>43161</v>
      </c>
      <c r="F31" s="188" t="str">
        <f t="shared" si="1"/>
        <v>019</v>
      </c>
      <c r="G31" s="173"/>
      <c r="I31" s="180">
        <v>43242</v>
      </c>
      <c r="J31" s="173" t="s">
        <v>953</v>
      </c>
    </row>
    <row r="32" spans="1:10">
      <c r="A32" s="173" t="s">
        <v>954</v>
      </c>
      <c r="B32" s="173" t="s">
        <v>922</v>
      </c>
      <c r="C32" s="74">
        <v>271</v>
      </c>
      <c r="D32" s="188" t="str">
        <f t="shared" si="0"/>
        <v xml:space="preserve">Diamond Hall </v>
      </c>
      <c r="E32" s="75">
        <v>43277</v>
      </c>
      <c r="F32" s="188" t="str">
        <f t="shared" si="1"/>
        <v>099</v>
      </c>
      <c r="G32" s="173"/>
      <c r="I32" s="180">
        <v>43257</v>
      </c>
      <c r="J32" s="173" t="s">
        <v>955</v>
      </c>
    </row>
    <row r="33" spans="1:9">
      <c r="A33" s="173" t="s">
        <v>956</v>
      </c>
      <c r="B33" s="173" t="s">
        <v>922</v>
      </c>
      <c r="C33" s="74">
        <v>359</v>
      </c>
      <c r="D33" s="188" t="str">
        <f t="shared" si="0"/>
        <v xml:space="preserve">Ruby Hall </v>
      </c>
      <c r="E33" s="75">
        <v>43170</v>
      </c>
      <c r="F33" s="188" t="str">
        <f t="shared" si="1"/>
        <v>024</v>
      </c>
      <c r="G33" s="173"/>
      <c r="I33" s="181"/>
    </row>
  </sheetData>
  <mergeCells count="2">
    <mergeCell ref="I3:I4"/>
    <mergeCell ref="I9:J9"/>
  </mergeCells>
  <phoneticPr fontId="4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J35"/>
  <sheetViews>
    <sheetView workbookViewId="0">
      <selection activeCell="L18" sqref="L18"/>
    </sheetView>
  </sheetViews>
  <sheetFormatPr defaultRowHeight="16.5"/>
  <cols>
    <col min="2" max="2" width="14" customWidth="1"/>
    <col min="3" max="3" width="13.25" customWidth="1"/>
    <col min="4" max="4" width="13" bestFit="1" customWidth="1"/>
    <col min="5" max="5" width="11" bestFit="1" customWidth="1"/>
    <col min="6" max="6" width="8.625" customWidth="1"/>
    <col min="7" max="7" width="10.5" customWidth="1"/>
    <col min="8" max="8" width="9.625" bestFit="1" customWidth="1"/>
    <col min="9" max="9" width="11.625" bestFit="1" customWidth="1"/>
    <col min="10" max="10" width="10.125" customWidth="1"/>
  </cols>
  <sheetData>
    <row r="1" spans="1:10">
      <c r="A1" t="s">
        <v>843</v>
      </c>
    </row>
    <row r="2" spans="1:10">
      <c r="A2" s="173" t="s">
        <v>844</v>
      </c>
      <c r="B2" s="173" t="s">
        <v>845</v>
      </c>
      <c r="C2" s="173" t="s">
        <v>846</v>
      </c>
      <c r="D2" s="173" t="s">
        <v>847</v>
      </c>
      <c r="E2" s="173" t="s">
        <v>848</v>
      </c>
      <c r="F2" s="173" t="s">
        <v>849</v>
      </c>
      <c r="G2" s="173" t="s">
        <v>850</v>
      </c>
      <c r="H2" s="173" t="s">
        <v>851</v>
      </c>
      <c r="I2" s="174" t="s">
        <v>852</v>
      </c>
      <c r="J2" s="174" t="s">
        <v>853</v>
      </c>
    </row>
    <row r="3" spans="1:10">
      <c r="A3" s="173" t="s">
        <v>854</v>
      </c>
      <c r="B3" s="173">
        <v>2513</v>
      </c>
      <c r="C3" s="74">
        <v>54</v>
      </c>
      <c r="D3" s="74">
        <v>95</v>
      </c>
      <c r="E3" s="74">
        <v>55</v>
      </c>
      <c r="F3" s="74">
        <v>69</v>
      </c>
      <c r="G3" s="74">
        <f>SUM(C3:F3)</f>
        <v>273</v>
      </c>
      <c r="H3" s="74">
        <v>2</v>
      </c>
      <c r="I3" s="173" t="str">
        <f>IF(AND(AVERAGE(C3:F3) &gt;= AVERAGE($C$3:$F$21), ISBLANK(H3)), "통과", "재시험")</f>
        <v>재시험</v>
      </c>
      <c r="J3" s="173" t="str">
        <f>fn이해수준(A3, G3)</f>
        <v>부족39</v>
      </c>
    </row>
    <row r="4" spans="1:10">
      <c r="A4" s="173" t="s">
        <v>855</v>
      </c>
      <c r="B4" s="173">
        <v>3534</v>
      </c>
      <c r="C4" s="74">
        <v>95</v>
      </c>
      <c r="D4" s="74">
        <v>98</v>
      </c>
      <c r="E4" s="74">
        <v>98</v>
      </c>
      <c r="F4" s="74">
        <v>86</v>
      </c>
      <c r="G4" s="74">
        <f t="shared" ref="G4:G21" si="0">SUM(C4:F4)</f>
        <v>377</v>
      </c>
      <c r="H4" s="74"/>
      <c r="I4" s="188" t="str">
        <f t="shared" ref="I4:I21" si="1">IF(AND(AVERAGE(C4:F4) &gt;= AVERAGE($C$3:$F$21), ISBLANK(H4)), "통과", "재시험")</f>
        <v>통과</v>
      </c>
      <c r="J4" s="188" t="str">
        <f t="shared" ref="J4:J21" si="2">fn이해수준(A4, G4)</f>
        <v>우수34</v>
      </c>
    </row>
    <row r="5" spans="1:10">
      <c r="A5" s="173" t="s">
        <v>856</v>
      </c>
      <c r="B5" s="173">
        <v>7856</v>
      </c>
      <c r="C5" s="74">
        <v>95</v>
      </c>
      <c r="D5" s="74">
        <v>54</v>
      </c>
      <c r="E5" s="74">
        <v>50</v>
      </c>
      <c r="F5" s="74">
        <v>54</v>
      </c>
      <c r="G5" s="74">
        <f t="shared" si="0"/>
        <v>253</v>
      </c>
      <c r="H5" s="74"/>
      <c r="I5" s="188" t="str">
        <f t="shared" si="1"/>
        <v>재시험</v>
      </c>
      <c r="J5" s="188" t="str">
        <f t="shared" si="2"/>
        <v>부족46</v>
      </c>
    </row>
    <row r="6" spans="1:10">
      <c r="A6" s="173" t="s">
        <v>857</v>
      </c>
      <c r="B6" s="173">
        <v>7535</v>
      </c>
      <c r="C6" s="74">
        <v>38</v>
      </c>
      <c r="D6" s="74">
        <v>75</v>
      </c>
      <c r="E6" s="74">
        <v>75</v>
      </c>
      <c r="F6" s="74">
        <v>54</v>
      </c>
      <c r="G6" s="74">
        <f t="shared" si="0"/>
        <v>242</v>
      </c>
      <c r="H6" s="74">
        <v>1</v>
      </c>
      <c r="I6" s="188" t="str">
        <f t="shared" si="1"/>
        <v>재시험</v>
      </c>
      <c r="J6" s="188" t="str">
        <f t="shared" si="2"/>
        <v>부족78</v>
      </c>
    </row>
    <row r="7" spans="1:10">
      <c r="A7" s="173" t="s">
        <v>856</v>
      </c>
      <c r="B7" s="173">
        <v>3545</v>
      </c>
      <c r="C7" s="74">
        <v>24</v>
      </c>
      <c r="D7" s="74">
        <v>89</v>
      </c>
      <c r="E7" s="74">
        <v>90</v>
      </c>
      <c r="F7" s="74">
        <v>48</v>
      </c>
      <c r="G7" s="74">
        <f t="shared" si="0"/>
        <v>251</v>
      </c>
      <c r="H7" s="74">
        <v>1</v>
      </c>
      <c r="I7" s="188" t="str">
        <f t="shared" si="1"/>
        <v>재시험</v>
      </c>
      <c r="J7" s="188" t="str">
        <f t="shared" si="2"/>
        <v>부족46</v>
      </c>
    </row>
    <row r="8" spans="1:10">
      <c r="A8" s="173" t="s">
        <v>858</v>
      </c>
      <c r="B8" s="173">
        <v>6718</v>
      </c>
      <c r="C8" s="74">
        <v>80</v>
      </c>
      <c r="D8" s="74">
        <v>82</v>
      </c>
      <c r="E8" s="74">
        <v>83</v>
      </c>
      <c r="F8" s="74">
        <v>95</v>
      </c>
      <c r="G8" s="74">
        <f t="shared" si="0"/>
        <v>340</v>
      </c>
      <c r="H8" s="74"/>
      <c r="I8" s="188" t="str">
        <f t="shared" si="1"/>
        <v>통과</v>
      </c>
      <c r="J8" s="188" t="str">
        <f t="shared" si="2"/>
        <v>보통39</v>
      </c>
    </row>
    <row r="9" spans="1:10">
      <c r="A9" s="173" t="s">
        <v>859</v>
      </c>
      <c r="B9" s="173">
        <v>6445</v>
      </c>
      <c r="C9" s="74">
        <v>75</v>
      </c>
      <c r="D9" s="74">
        <v>79</v>
      </c>
      <c r="E9" s="74">
        <v>50</v>
      </c>
      <c r="F9" s="74">
        <v>98</v>
      </c>
      <c r="G9" s="74">
        <f t="shared" si="0"/>
        <v>302</v>
      </c>
      <c r="H9" s="74"/>
      <c r="I9" s="188" t="str">
        <f t="shared" si="1"/>
        <v>재시험</v>
      </c>
      <c r="J9" s="188" t="str">
        <f t="shared" si="2"/>
        <v>보통78</v>
      </c>
    </row>
    <row r="10" spans="1:10">
      <c r="A10" s="173" t="s">
        <v>860</v>
      </c>
      <c r="B10" s="173">
        <v>3520</v>
      </c>
      <c r="C10" s="74">
        <v>86</v>
      </c>
      <c r="D10" s="74">
        <v>45</v>
      </c>
      <c r="E10" s="74">
        <v>75</v>
      </c>
      <c r="F10" s="74">
        <v>70</v>
      </c>
      <c r="G10" s="74">
        <f t="shared" si="0"/>
        <v>276</v>
      </c>
      <c r="H10" s="74">
        <v>3</v>
      </c>
      <c r="I10" s="188" t="str">
        <f t="shared" si="1"/>
        <v>재시험</v>
      </c>
      <c r="J10" s="188" t="str">
        <f t="shared" si="2"/>
        <v>부족43</v>
      </c>
    </row>
    <row r="11" spans="1:10">
      <c r="A11" s="173" t="s">
        <v>861</v>
      </c>
      <c r="B11" s="173">
        <v>9621</v>
      </c>
      <c r="C11" s="74">
        <v>98</v>
      </c>
      <c r="D11" s="74">
        <v>96</v>
      </c>
      <c r="E11" s="74">
        <v>86</v>
      </c>
      <c r="F11" s="74">
        <v>89</v>
      </c>
      <c r="G11" s="74">
        <f t="shared" si="0"/>
        <v>369</v>
      </c>
      <c r="H11" s="74"/>
      <c r="I11" s="188" t="str">
        <f t="shared" si="1"/>
        <v>통과</v>
      </c>
      <c r="J11" s="188" t="str">
        <f t="shared" si="2"/>
        <v>우수43</v>
      </c>
    </row>
    <row r="12" spans="1:10">
      <c r="A12" s="173" t="s">
        <v>862</v>
      </c>
      <c r="B12" s="173">
        <v>4554</v>
      </c>
      <c r="C12" s="74">
        <v>63</v>
      </c>
      <c r="D12" s="74">
        <v>94</v>
      </c>
      <c r="E12" s="74">
        <v>89</v>
      </c>
      <c r="F12" s="74">
        <v>90</v>
      </c>
      <c r="G12" s="74">
        <f t="shared" si="0"/>
        <v>336</v>
      </c>
      <c r="H12" s="74"/>
      <c r="I12" s="188" t="str">
        <f t="shared" si="1"/>
        <v>통과</v>
      </c>
      <c r="J12" s="188" t="str">
        <f t="shared" si="2"/>
        <v>보통33</v>
      </c>
    </row>
    <row r="13" spans="1:10">
      <c r="A13" s="173" t="s">
        <v>863</v>
      </c>
      <c r="B13" s="173">
        <v>7875</v>
      </c>
      <c r="C13" s="74">
        <v>55</v>
      </c>
      <c r="D13" s="74">
        <v>84</v>
      </c>
      <c r="E13" s="74">
        <v>63</v>
      </c>
      <c r="F13" s="74">
        <v>55</v>
      </c>
      <c r="G13" s="74">
        <f t="shared" si="0"/>
        <v>257</v>
      </c>
      <c r="H13" s="74">
        <v>1</v>
      </c>
      <c r="I13" s="188" t="str">
        <f t="shared" si="1"/>
        <v>재시험</v>
      </c>
      <c r="J13" s="188" t="str">
        <f t="shared" si="2"/>
        <v>부족33</v>
      </c>
    </row>
    <row r="14" spans="1:10">
      <c r="A14" s="173" t="s">
        <v>858</v>
      </c>
      <c r="B14" s="173">
        <v>9034</v>
      </c>
      <c r="C14" s="74">
        <v>98</v>
      </c>
      <c r="D14" s="74">
        <v>100</v>
      </c>
      <c r="E14" s="74">
        <v>95</v>
      </c>
      <c r="F14" s="74">
        <v>96</v>
      </c>
      <c r="G14" s="74">
        <f t="shared" si="0"/>
        <v>389</v>
      </c>
      <c r="H14" s="74"/>
      <c r="I14" s="188" t="str">
        <f t="shared" si="1"/>
        <v>통과</v>
      </c>
      <c r="J14" s="188" t="str">
        <f t="shared" si="2"/>
        <v>우수39</v>
      </c>
    </row>
    <row r="15" spans="1:10">
      <c r="A15" s="173" t="s">
        <v>859</v>
      </c>
      <c r="B15" s="173">
        <v>4525</v>
      </c>
      <c r="C15" s="74">
        <v>54</v>
      </c>
      <c r="D15" s="74">
        <v>59</v>
      </c>
      <c r="E15" s="74">
        <v>50</v>
      </c>
      <c r="F15" s="74">
        <v>54</v>
      </c>
      <c r="G15" s="74">
        <f t="shared" si="0"/>
        <v>217</v>
      </c>
      <c r="H15" s="74"/>
      <c r="I15" s="188" t="str">
        <f t="shared" si="1"/>
        <v>재시험</v>
      </c>
      <c r="J15" s="188" t="str">
        <f t="shared" si="2"/>
        <v>부족78</v>
      </c>
    </row>
    <row r="16" spans="1:10">
      <c r="A16" s="173" t="s">
        <v>864</v>
      </c>
      <c r="B16" s="173">
        <v>5346</v>
      </c>
      <c r="C16" s="74">
        <v>95</v>
      </c>
      <c r="D16" s="74">
        <v>97</v>
      </c>
      <c r="E16" s="74">
        <v>95</v>
      </c>
      <c r="F16" s="74">
        <v>92</v>
      </c>
      <c r="G16" s="74">
        <f t="shared" si="0"/>
        <v>379</v>
      </c>
      <c r="H16" s="74">
        <v>2</v>
      </c>
      <c r="I16" s="188" t="str">
        <f t="shared" si="1"/>
        <v>재시험</v>
      </c>
      <c r="J16" s="188" t="str">
        <f t="shared" si="2"/>
        <v>우수43</v>
      </c>
    </row>
    <row r="17" spans="1:10">
      <c r="A17" s="173" t="s">
        <v>865</v>
      </c>
      <c r="B17" s="173">
        <v>5785</v>
      </c>
      <c r="C17" s="74">
        <v>90</v>
      </c>
      <c r="D17" s="74">
        <v>69</v>
      </c>
      <c r="E17" s="74">
        <v>89</v>
      </c>
      <c r="F17" s="74">
        <v>90</v>
      </c>
      <c r="G17" s="74">
        <f t="shared" si="0"/>
        <v>338</v>
      </c>
      <c r="H17" s="74"/>
      <c r="I17" s="188" t="str">
        <f t="shared" si="1"/>
        <v>통과</v>
      </c>
      <c r="J17" s="188" t="str">
        <f t="shared" si="2"/>
        <v>보통39</v>
      </c>
    </row>
    <row r="18" spans="1:10">
      <c r="A18" s="173" t="s">
        <v>866</v>
      </c>
      <c r="B18" s="173">
        <v>2595</v>
      </c>
      <c r="C18" s="74">
        <v>100</v>
      </c>
      <c r="D18" s="74">
        <v>24</v>
      </c>
      <c r="E18" s="74">
        <v>54</v>
      </c>
      <c r="F18" s="74">
        <v>66</v>
      </c>
      <c r="G18" s="74">
        <f t="shared" si="0"/>
        <v>244</v>
      </c>
      <c r="H18" s="74"/>
      <c r="I18" s="188" t="str">
        <f t="shared" si="1"/>
        <v>재시험</v>
      </c>
      <c r="J18" s="188" t="str">
        <f t="shared" si="2"/>
        <v>부족33</v>
      </c>
    </row>
    <row r="19" spans="1:10">
      <c r="A19" s="173" t="s">
        <v>865</v>
      </c>
      <c r="B19" s="173">
        <v>7941</v>
      </c>
      <c r="C19" s="74">
        <v>70</v>
      </c>
      <c r="D19" s="74">
        <v>63</v>
      </c>
      <c r="E19" s="74">
        <v>95</v>
      </c>
      <c r="F19" s="74">
        <v>63</v>
      </c>
      <c r="G19" s="74">
        <f t="shared" si="0"/>
        <v>291</v>
      </c>
      <c r="H19" s="74">
        <v>1</v>
      </c>
      <c r="I19" s="188" t="str">
        <f t="shared" si="1"/>
        <v>재시험</v>
      </c>
      <c r="J19" s="188" t="str">
        <f t="shared" si="2"/>
        <v>부족39</v>
      </c>
    </row>
    <row r="20" spans="1:10">
      <c r="A20" s="173" t="s">
        <v>867</v>
      </c>
      <c r="B20" s="173">
        <v>3456</v>
      </c>
      <c r="C20" s="74">
        <v>94</v>
      </c>
      <c r="D20" s="74">
        <v>75</v>
      </c>
      <c r="E20" s="74">
        <v>100</v>
      </c>
      <c r="F20" s="74">
        <v>79</v>
      </c>
      <c r="G20" s="74">
        <f t="shared" si="0"/>
        <v>348</v>
      </c>
      <c r="H20" s="74"/>
      <c r="I20" s="188" t="str">
        <f t="shared" si="1"/>
        <v>통과</v>
      </c>
      <c r="J20" s="188" t="str">
        <f t="shared" si="2"/>
        <v>보통78</v>
      </c>
    </row>
    <row r="21" spans="1:10">
      <c r="A21" s="173" t="s">
        <v>867</v>
      </c>
      <c r="B21" s="173">
        <v>5615</v>
      </c>
      <c r="C21" s="74">
        <v>75</v>
      </c>
      <c r="D21" s="74">
        <v>86</v>
      </c>
      <c r="E21" s="74">
        <v>96</v>
      </c>
      <c r="F21" s="74">
        <v>95</v>
      </c>
      <c r="G21" s="74">
        <f t="shared" si="0"/>
        <v>352</v>
      </c>
      <c r="H21" s="74">
        <v>2</v>
      </c>
      <c r="I21" s="188" t="str">
        <f t="shared" si="1"/>
        <v>재시험</v>
      </c>
      <c r="J21" s="188" t="str">
        <f t="shared" si="2"/>
        <v>보통78</v>
      </c>
    </row>
    <row r="23" spans="1:10">
      <c r="A23" t="s">
        <v>868</v>
      </c>
      <c r="G23" t="s">
        <v>869</v>
      </c>
    </row>
    <row r="24" spans="1:10">
      <c r="A24" s="173" t="s">
        <v>870</v>
      </c>
      <c r="B24" s="173" t="s">
        <v>871</v>
      </c>
      <c r="C24" s="174" t="s">
        <v>872</v>
      </c>
      <c r="D24" s="174" t="s">
        <v>873</v>
      </c>
      <c r="G24" s="173" t="s">
        <v>874</v>
      </c>
      <c r="H24" s="174" t="s">
        <v>875</v>
      </c>
      <c r="I24" s="174" t="s">
        <v>876</v>
      </c>
    </row>
    <row r="25" spans="1:10">
      <c r="A25" s="173" t="s">
        <v>877</v>
      </c>
      <c r="B25" s="173" t="s">
        <v>878</v>
      </c>
      <c r="C25" s="173" t="str">
        <f t="shared" ref="C25:D27" si="3">COUNTIFS($A$3:$A$21, "?" &amp; $A25 &amp; "*", D$3:D$21, "&gt;=90") &amp; "명"</f>
        <v>2명</v>
      </c>
      <c r="D25" s="188" t="str">
        <f t="shared" si="3"/>
        <v>2명</v>
      </c>
      <c r="G25" s="173" t="s">
        <v>879</v>
      </c>
      <c r="H25" s="74">
        <f t="array" ref="H25">ROUND(AVERAGE(IF(($A$3:$A$21 = $G25), G$3:G$21)), 1)</f>
        <v>377</v>
      </c>
      <c r="I25" s="74">
        <f t="array" ref="I25">ROUND(AVERAGE(IF(($A$3:$A$21 = $G25), H$3:H$21)), 1)</f>
        <v>0</v>
      </c>
    </row>
    <row r="26" spans="1:10">
      <c r="A26" s="173" t="s">
        <v>880</v>
      </c>
      <c r="B26" s="173" t="s">
        <v>881</v>
      </c>
      <c r="C26" s="188" t="str">
        <f t="shared" si="3"/>
        <v>2명</v>
      </c>
      <c r="D26" s="188" t="str">
        <f t="shared" si="3"/>
        <v>4명</v>
      </c>
      <c r="G26" s="173" t="s">
        <v>865</v>
      </c>
      <c r="H26" s="74">
        <f t="array" ref="H26">ROUND(AVERAGE(IF(($A$3:$A$21 = $G26), G$3:G$21)), 1)</f>
        <v>326.2</v>
      </c>
      <c r="I26" s="74">
        <f t="array" ref="I26">ROUND(AVERAGE(IF(($A$3:$A$21 = $G26), H$3:H$21)), 1)</f>
        <v>0.6</v>
      </c>
    </row>
    <row r="27" spans="1:10">
      <c r="A27" s="173" t="s">
        <v>882</v>
      </c>
      <c r="B27" s="173" t="s">
        <v>883</v>
      </c>
      <c r="C27" s="188" t="str">
        <f t="shared" si="3"/>
        <v>2명</v>
      </c>
      <c r="D27" s="188" t="str">
        <f t="shared" si="3"/>
        <v>1명</v>
      </c>
      <c r="G27" s="173" t="s">
        <v>884</v>
      </c>
      <c r="H27" s="74">
        <f t="array" ref="H27">ROUND(AVERAGE(IF(($A$3:$A$21 = $G27), G$3:G$21)), 1)</f>
        <v>252</v>
      </c>
      <c r="I27" s="74">
        <f t="array" ref="I27">ROUND(AVERAGE(IF(($A$3:$A$21 = $G27), H$3:H$21)), 1)</f>
        <v>0.5</v>
      </c>
    </row>
    <row r="28" spans="1:10">
      <c r="G28" s="173" t="s">
        <v>885</v>
      </c>
      <c r="H28" s="74">
        <f t="array" ref="H28">ROUND(AVERAGE(IF(($A$3:$A$21 = $G28), G$3:G$21)), 1)</f>
        <v>279</v>
      </c>
      <c r="I28" s="74">
        <f t="array" ref="I28">ROUND(AVERAGE(IF(($A$3:$A$21 = $G28), H$3:H$21)), 1)</f>
        <v>0.3</v>
      </c>
    </row>
    <row r="29" spans="1:10">
      <c r="A29" t="s">
        <v>886</v>
      </c>
      <c r="G29" s="173" t="s">
        <v>887</v>
      </c>
      <c r="H29" s="74">
        <f t="array" ref="H29">ROUND(AVERAGE(IF(($A$3:$A$21 = $G29), G$3:G$21)), 1)</f>
        <v>292.2</v>
      </c>
      <c r="I29" s="74">
        <f t="array" ref="I29">ROUND(AVERAGE(IF(($A$3:$A$21 = $G29), H$3:H$21)), 1)</f>
        <v>0.6</v>
      </c>
    </row>
    <row r="30" spans="1:10">
      <c r="A30" s="173" t="s">
        <v>888</v>
      </c>
      <c r="B30" s="174" t="s">
        <v>889</v>
      </c>
      <c r="C30" s="174" t="s">
        <v>847</v>
      </c>
      <c r="D30" s="174" t="s">
        <v>848</v>
      </c>
      <c r="E30" s="174" t="s">
        <v>849</v>
      </c>
      <c r="G30" s="173" t="s">
        <v>890</v>
      </c>
      <c r="H30" s="74">
        <f t="array" ref="H30">ROUND(AVERAGE(IF(($A$3:$A$21 = $G30), G$3:G$21)), 1)</f>
        <v>341.3</v>
      </c>
      <c r="I30" s="74">
        <f t="array" ref="I30">ROUND(AVERAGE(IF(($A$3:$A$21 = $G30), H$3:H$21)), 1)</f>
        <v>1.7</v>
      </c>
    </row>
    <row r="31" spans="1:10">
      <c r="A31" s="173">
        <v>60</v>
      </c>
      <c r="B31" s="74" t="str">
        <f t="array" ref="B31:B35">REPT("★", FREQUENCY(C3:C21, $A$31:$A$35))</f>
        <v>★★★★★</v>
      </c>
      <c r="C31" s="74" t="str">
        <f t="array" ref="C31:C35">REPT("★", FREQUENCY(D3:D21, $A$31:$A$35))</f>
        <v>★★★★</v>
      </c>
      <c r="D31" s="74" t="str">
        <f t="array" ref="D31:D35">REPT("★", FREQUENCY(E3:E21, $A$31:$A$35))</f>
        <v>★★★★★</v>
      </c>
      <c r="E31" s="74" t="str">
        <f t="array" ref="E31:E35">REPT("★", FREQUENCY(F3:F21, $A$31:$A$35))</f>
        <v>★★★★★</v>
      </c>
    </row>
    <row r="32" spans="1:10">
      <c r="A32" s="173">
        <v>70</v>
      </c>
      <c r="B32" s="74" t="str">
        <v>★★</v>
      </c>
      <c r="C32" s="74" t="str">
        <v>★★</v>
      </c>
      <c r="D32" s="74" t="str">
        <v>★</v>
      </c>
      <c r="E32" s="74" t="str">
        <v>★★★★</v>
      </c>
    </row>
    <row r="33" spans="1:5">
      <c r="A33" s="173">
        <v>80</v>
      </c>
      <c r="B33" s="74" t="str">
        <v>★★★</v>
      </c>
      <c r="C33" s="74" t="str">
        <v>★★★</v>
      </c>
      <c r="D33" s="74" t="str">
        <v>★★</v>
      </c>
      <c r="E33" s="74" t="str">
        <v>★</v>
      </c>
    </row>
    <row r="34" spans="1:5">
      <c r="A34" s="173">
        <v>90</v>
      </c>
      <c r="B34" s="74" t="str">
        <v>★★</v>
      </c>
      <c r="C34" s="74" t="str">
        <v>★★★★</v>
      </c>
      <c r="D34" s="74" t="str">
        <v>★★★★★</v>
      </c>
      <c r="E34" s="74" t="str">
        <v>★★★★</v>
      </c>
    </row>
    <row r="35" spans="1:5">
      <c r="A35" s="173">
        <v>100</v>
      </c>
      <c r="B35" s="74" t="str">
        <v>★★★★★★★</v>
      </c>
      <c r="C35" s="74" t="str">
        <v>★★★★★★</v>
      </c>
      <c r="D35" s="74" t="str">
        <v>★★★★★★</v>
      </c>
      <c r="E35" s="74" t="str">
        <v>★★★★★</v>
      </c>
    </row>
  </sheetData>
  <phoneticPr fontId="4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B1:S56"/>
  <sheetViews>
    <sheetView workbookViewId="0">
      <selection activeCell="L34" sqref="L34"/>
    </sheetView>
  </sheetViews>
  <sheetFormatPr defaultColWidth="9" defaultRowHeight="16.5"/>
  <cols>
    <col min="1" max="1" width="5" style="85" customWidth="1"/>
    <col min="2" max="3" width="9" style="124"/>
    <col min="4" max="4" width="15.125" style="124" customWidth="1"/>
    <col min="5" max="5" width="9.375" style="125" bestFit="1" customWidth="1"/>
    <col min="6" max="7" width="10.75" style="125" bestFit="1" customWidth="1"/>
    <col min="8" max="8" width="11.875" style="125" customWidth="1"/>
    <col min="9" max="9" width="2.5" style="85" customWidth="1"/>
    <col min="10" max="10" width="7.25" style="124" customWidth="1"/>
    <col min="11" max="12" width="10.25" style="85" bestFit="1" customWidth="1"/>
    <col min="13" max="17" width="9.75" style="85" customWidth="1"/>
    <col min="18" max="19" width="10.25" style="85" bestFit="1" customWidth="1"/>
    <col min="20" max="16384" width="9" style="85"/>
  </cols>
  <sheetData>
    <row r="1" spans="2:18">
      <c r="B1" s="123" t="s">
        <v>406</v>
      </c>
      <c r="F1" s="126"/>
      <c r="G1" s="126"/>
      <c r="H1" s="126"/>
    </row>
    <row r="2" spans="2:18">
      <c r="B2" s="127" t="s">
        <v>755</v>
      </c>
      <c r="C2" s="127" t="s">
        <v>590</v>
      </c>
      <c r="D2" s="128" t="s">
        <v>756</v>
      </c>
      <c r="E2" s="129" t="s">
        <v>757</v>
      </c>
      <c r="F2" s="130" t="s">
        <v>758</v>
      </c>
      <c r="G2" s="130" t="s">
        <v>759</v>
      </c>
      <c r="H2" s="129" t="s">
        <v>760</v>
      </c>
      <c r="J2" s="123" t="s">
        <v>761</v>
      </c>
    </row>
    <row r="3" spans="2:18">
      <c r="B3" s="131">
        <v>24</v>
      </c>
      <c r="C3" s="132" t="s">
        <v>762</v>
      </c>
      <c r="D3" s="132" t="str">
        <f>CONCATENATE(VLOOKUP(C3, $J$4:$L$7, 2), "-", VLOOKUP(C3, $J$4:$L$7, 3))</f>
        <v>기본형-남자</v>
      </c>
      <c r="E3" s="133">
        <f>INDEX($K$12:$R$15, MATCH(C3, $J$12:$J$15, 0), MATCH(B3, $K$10:$R$10, 1))</f>
        <v>13200</v>
      </c>
      <c r="F3" s="134">
        <v>5</v>
      </c>
      <c r="G3" s="134">
        <v>3</v>
      </c>
      <c r="H3" s="135" t="str">
        <f>fn가입상태(F3, G3)</f>
        <v>휴먼보험</v>
      </c>
      <c r="J3" s="136" t="s">
        <v>590</v>
      </c>
      <c r="K3" s="136" t="s">
        <v>376</v>
      </c>
      <c r="L3" s="136" t="s">
        <v>410</v>
      </c>
    </row>
    <row r="4" spans="2:18">
      <c r="B4" s="137">
        <v>41</v>
      </c>
      <c r="C4" s="138" t="s">
        <v>763</v>
      </c>
      <c r="D4" s="132" t="str">
        <f t="shared" ref="D4:D38" si="0">CONCATENATE(VLOOKUP(C4, $J$4:$L$7, 2), "-", VLOOKUP(C4, $J$4:$L$7, 3))</f>
        <v>기본형-남자</v>
      </c>
      <c r="E4" s="133">
        <f t="shared" ref="E4:E38" si="1">INDEX($K$12:$R$15, MATCH(C4, $J$12:$J$15, 0), MATCH(B4, $K$10:$R$10, 1))</f>
        <v>22500</v>
      </c>
      <c r="F4" s="139">
        <v>3</v>
      </c>
      <c r="G4" s="139">
        <v>0</v>
      </c>
      <c r="H4" s="135" t="str">
        <f t="shared" ref="H4:H38" si="2">fn가입상태(F4, G4)</f>
        <v>정상</v>
      </c>
      <c r="J4" s="138" t="s">
        <v>762</v>
      </c>
      <c r="K4" s="138" t="s">
        <v>764</v>
      </c>
      <c r="L4" s="138" t="s">
        <v>765</v>
      </c>
    </row>
    <row r="5" spans="2:18">
      <c r="B5" s="137">
        <v>50</v>
      </c>
      <c r="C5" s="138" t="s">
        <v>766</v>
      </c>
      <c r="D5" s="132" t="str">
        <f t="shared" si="0"/>
        <v>추가보장-남자</v>
      </c>
      <c r="E5" s="133">
        <f t="shared" si="1"/>
        <v>45000</v>
      </c>
      <c r="F5" s="139">
        <v>15</v>
      </c>
      <c r="G5" s="139">
        <v>0</v>
      </c>
      <c r="H5" s="135" t="str">
        <f t="shared" si="2"/>
        <v>정상</v>
      </c>
      <c r="J5" s="138" t="s">
        <v>766</v>
      </c>
      <c r="K5" s="138" t="s">
        <v>767</v>
      </c>
      <c r="L5" s="138" t="s">
        <v>765</v>
      </c>
    </row>
    <row r="6" spans="2:18">
      <c r="B6" s="137">
        <v>29</v>
      </c>
      <c r="C6" s="138" t="s">
        <v>768</v>
      </c>
      <c r="D6" s="132" t="str">
        <f t="shared" si="0"/>
        <v>추가보장-여자</v>
      </c>
      <c r="E6" s="133">
        <f t="shared" si="1"/>
        <v>14200</v>
      </c>
      <c r="F6" s="139">
        <v>15</v>
      </c>
      <c r="G6" s="139">
        <v>0</v>
      </c>
      <c r="H6" s="135" t="str">
        <f t="shared" si="2"/>
        <v>정상</v>
      </c>
      <c r="J6" s="138" t="s">
        <v>763</v>
      </c>
      <c r="K6" s="138" t="s">
        <v>764</v>
      </c>
      <c r="L6" s="138" t="s">
        <v>769</v>
      </c>
    </row>
    <row r="7" spans="2:18">
      <c r="B7" s="137">
        <v>42</v>
      </c>
      <c r="C7" s="138" t="s">
        <v>768</v>
      </c>
      <c r="D7" s="132" t="str">
        <f t="shared" si="0"/>
        <v>추가보장-여자</v>
      </c>
      <c r="E7" s="133">
        <f t="shared" si="1"/>
        <v>28400</v>
      </c>
      <c r="F7" s="139">
        <v>5</v>
      </c>
      <c r="G7" s="139">
        <v>1</v>
      </c>
      <c r="H7" s="135" t="str">
        <f t="shared" si="2"/>
        <v>1개월 미납</v>
      </c>
      <c r="J7" s="138" t="s">
        <v>768</v>
      </c>
      <c r="K7" s="138" t="s">
        <v>767</v>
      </c>
      <c r="L7" s="138" t="s">
        <v>769</v>
      </c>
    </row>
    <row r="8" spans="2:18">
      <c r="B8" s="137">
        <v>7</v>
      </c>
      <c r="C8" s="138" t="s">
        <v>768</v>
      </c>
      <c r="D8" s="132" t="str">
        <f t="shared" si="0"/>
        <v>추가보장-여자</v>
      </c>
      <c r="E8" s="133">
        <f t="shared" si="1"/>
        <v>13000</v>
      </c>
      <c r="F8" s="139">
        <v>10</v>
      </c>
      <c r="G8" s="139">
        <v>0</v>
      </c>
      <c r="H8" s="135" t="str">
        <f t="shared" si="2"/>
        <v>정상</v>
      </c>
    </row>
    <row r="9" spans="2:18">
      <c r="B9" s="137">
        <v>45</v>
      </c>
      <c r="C9" s="138" t="s">
        <v>766</v>
      </c>
      <c r="D9" s="132" t="str">
        <f t="shared" si="0"/>
        <v>추가보장-남자</v>
      </c>
      <c r="E9" s="133">
        <f t="shared" si="1"/>
        <v>24000</v>
      </c>
      <c r="F9" s="139">
        <v>14</v>
      </c>
      <c r="G9" s="139">
        <v>1</v>
      </c>
      <c r="H9" s="135" t="str">
        <f t="shared" si="2"/>
        <v>1개월 미납</v>
      </c>
      <c r="J9" s="123" t="s">
        <v>770</v>
      </c>
    </row>
    <row r="10" spans="2:18">
      <c r="B10" s="137">
        <v>16</v>
      </c>
      <c r="C10" s="138" t="s">
        <v>768</v>
      </c>
      <c r="D10" s="132" t="str">
        <f t="shared" si="0"/>
        <v>추가보장-여자</v>
      </c>
      <c r="E10" s="133">
        <f t="shared" si="1"/>
        <v>12900</v>
      </c>
      <c r="F10" s="139">
        <v>5</v>
      </c>
      <c r="G10" s="139">
        <v>1</v>
      </c>
      <c r="H10" s="135" t="str">
        <f t="shared" si="2"/>
        <v>1개월 미납</v>
      </c>
      <c r="J10" s="140"/>
      <c r="K10" s="141">
        <v>0</v>
      </c>
      <c r="L10" s="141">
        <v>10</v>
      </c>
      <c r="M10" s="141">
        <v>20</v>
      </c>
      <c r="N10" s="141">
        <v>30</v>
      </c>
      <c r="O10" s="141">
        <v>40</v>
      </c>
      <c r="P10" s="141">
        <v>50</v>
      </c>
      <c r="Q10" s="141">
        <v>60</v>
      </c>
      <c r="R10" s="141">
        <v>70</v>
      </c>
    </row>
    <row r="11" spans="2:18">
      <c r="B11" s="137">
        <v>16</v>
      </c>
      <c r="C11" s="138" t="s">
        <v>762</v>
      </c>
      <c r="D11" s="132" t="str">
        <f t="shared" si="0"/>
        <v>기본형-남자</v>
      </c>
      <c r="E11" s="133">
        <f t="shared" si="1"/>
        <v>12800</v>
      </c>
      <c r="F11" s="139">
        <v>6</v>
      </c>
      <c r="G11" s="139">
        <v>1</v>
      </c>
      <c r="H11" s="135" t="str">
        <f t="shared" si="2"/>
        <v>1개월 미납</v>
      </c>
      <c r="J11" s="142"/>
      <c r="K11" s="143">
        <v>10</v>
      </c>
      <c r="L11" s="143">
        <v>20</v>
      </c>
      <c r="M11" s="143">
        <v>30</v>
      </c>
      <c r="N11" s="143">
        <v>40</v>
      </c>
      <c r="O11" s="143">
        <v>50</v>
      </c>
      <c r="P11" s="143">
        <v>60</v>
      </c>
      <c r="Q11" s="143">
        <v>70</v>
      </c>
      <c r="R11" s="143"/>
    </row>
    <row r="12" spans="2:18">
      <c r="B12" s="137">
        <v>51</v>
      </c>
      <c r="C12" s="138" t="s">
        <v>762</v>
      </c>
      <c r="D12" s="132" t="str">
        <f t="shared" si="0"/>
        <v>기본형-남자</v>
      </c>
      <c r="E12" s="133">
        <f t="shared" si="1"/>
        <v>33000</v>
      </c>
      <c r="F12" s="139">
        <v>8</v>
      </c>
      <c r="G12" s="139">
        <v>0</v>
      </c>
      <c r="H12" s="135" t="str">
        <f t="shared" si="2"/>
        <v>정상</v>
      </c>
      <c r="J12" s="138" t="s">
        <v>762</v>
      </c>
      <c r="K12" s="144">
        <v>12800</v>
      </c>
      <c r="L12" s="144">
        <v>12800</v>
      </c>
      <c r="M12" s="144">
        <v>13200</v>
      </c>
      <c r="N12" s="144">
        <v>14800</v>
      </c>
      <c r="O12" s="144">
        <v>19800</v>
      </c>
      <c r="P12" s="144">
        <v>33000</v>
      </c>
      <c r="Q12" s="144">
        <v>58300</v>
      </c>
      <c r="R12" s="144">
        <v>89500</v>
      </c>
    </row>
    <row r="13" spans="2:18">
      <c r="B13" s="137">
        <v>46</v>
      </c>
      <c r="C13" s="138" t="s">
        <v>762</v>
      </c>
      <c r="D13" s="132" t="str">
        <f t="shared" si="0"/>
        <v>기본형-남자</v>
      </c>
      <c r="E13" s="133">
        <f t="shared" si="1"/>
        <v>19800</v>
      </c>
      <c r="F13" s="139">
        <v>8</v>
      </c>
      <c r="G13" s="139">
        <v>2</v>
      </c>
      <c r="H13" s="135" t="str">
        <f t="shared" si="2"/>
        <v>2개월 미납</v>
      </c>
      <c r="J13" s="138" t="s">
        <v>766</v>
      </c>
      <c r="K13" s="144">
        <v>13100</v>
      </c>
      <c r="L13" s="144">
        <v>13100</v>
      </c>
      <c r="M13" s="144">
        <v>13700</v>
      </c>
      <c r="N13" s="144">
        <v>16100</v>
      </c>
      <c r="O13" s="144">
        <v>24000</v>
      </c>
      <c r="P13" s="144">
        <v>45000</v>
      </c>
      <c r="Q13" s="144">
        <v>85500</v>
      </c>
      <c r="R13" s="144">
        <v>134800</v>
      </c>
    </row>
    <row r="14" spans="2:18">
      <c r="B14" s="137">
        <v>22</v>
      </c>
      <c r="C14" s="138" t="s">
        <v>762</v>
      </c>
      <c r="D14" s="132" t="str">
        <f t="shared" si="0"/>
        <v>기본형-남자</v>
      </c>
      <c r="E14" s="133">
        <f t="shared" si="1"/>
        <v>13200</v>
      </c>
      <c r="F14" s="139">
        <v>21</v>
      </c>
      <c r="G14" s="139">
        <v>0</v>
      </c>
      <c r="H14" s="135" t="str">
        <f t="shared" si="2"/>
        <v>정상</v>
      </c>
      <c r="J14" s="138" t="s">
        <v>763</v>
      </c>
      <c r="K14" s="144">
        <v>12700</v>
      </c>
      <c r="L14" s="144">
        <v>12600</v>
      </c>
      <c r="M14" s="144">
        <v>13500</v>
      </c>
      <c r="N14" s="144">
        <v>16700</v>
      </c>
      <c r="O14" s="144">
        <v>22500</v>
      </c>
      <c r="P14" s="144">
        <v>26500</v>
      </c>
      <c r="Q14" s="144">
        <v>32200</v>
      </c>
      <c r="R14" s="144">
        <v>43100</v>
      </c>
    </row>
    <row r="15" spans="2:18">
      <c r="B15" s="137">
        <v>6</v>
      </c>
      <c r="C15" s="138" t="s">
        <v>762</v>
      </c>
      <c r="D15" s="132" t="str">
        <f t="shared" si="0"/>
        <v>기본형-남자</v>
      </c>
      <c r="E15" s="133">
        <f t="shared" si="1"/>
        <v>12800</v>
      </c>
      <c r="F15" s="139">
        <v>7</v>
      </c>
      <c r="G15" s="139">
        <v>0</v>
      </c>
      <c r="H15" s="135" t="str">
        <f t="shared" si="2"/>
        <v>정상</v>
      </c>
      <c r="J15" s="138" t="s">
        <v>768</v>
      </c>
      <c r="K15" s="144">
        <v>13000</v>
      </c>
      <c r="L15" s="144">
        <v>12900</v>
      </c>
      <c r="M15" s="144">
        <v>14200</v>
      </c>
      <c r="N15" s="144">
        <v>19100</v>
      </c>
      <c r="O15" s="144">
        <v>28400</v>
      </c>
      <c r="P15" s="144">
        <v>34900</v>
      </c>
      <c r="Q15" s="144">
        <v>43900</v>
      </c>
      <c r="R15" s="144">
        <v>60700</v>
      </c>
    </row>
    <row r="16" spans="2:18">
      <c r="B16" s="137">
        <v>22</v>
      </c>
      <c r="C16" s="138" t="s">
        <v>763</v>
      </c>
      <c r="D16" s="132" t="str">
        <f t="shared" si="0"/>
        <v>기본형-남자</v>
      </c>
      <c r="E16" s="133">
        <f t="shared" si="1"/>
        <v>13500</v>
      </c>
      <c r="F16" s="139">
        <v>21</v>
      </c>
      <c r="G16" s="139">
        <v>2</v>
      </c>
      <c r="H16" s="135" t="str">
        <f t="shared" si="2"/>
        <v>2개월 미납</v>
      </c>
    </row>
    <row r="17" spans="2:19" ht="16.5" customHeight="1">
      <c r="B17" s="137">
        <v>21</v>
      </c>
      <c r="C17" s="138" t="s">
        <v>766</v>
      </c>
      <c r="D17" s="132" t="str">
        <f t="shared" si="0"/>
        <v>추가보장-남자</v>
      </c>
      <c r="E17" s="133">
        <f t="shared" si="1"/>
        <v>13700</v>
      </c>
      <c r="F17" s="139">
        <v>20</v>
      </c>
      <c r="G17" s="139">
        <v>0</v>
      </c>
      <c r="H17" s="135" t="str">
        <f t="shared" si="2"/>
        <v>정상</v>
      </c>
    </row>
    <row r="18" spans="2:19" ht="16.5" customHeight="1">
      <c r="B18" s="137">
        <v>13</v>
      </c>
      <c r="C18" s="138" t="s">
        <v>768</v>
      </c>
      <c r="D18" s="132" t="str">
        <f t="shared" si="0"/>
        <v>추가보장-여자</v>
      </c>
      <c r="E18" s="133">
        <f t="shared" si="1"/>
        <v>12900</v>
      </c>
      <c r="F18" s="139">
        <v>8</v>
      </c>
      <c r="G18" s="139">
        <v>0</v>
      </c>
      <c r="H18" s="135" t="str">
        <f t="shared" si="2"/>
        <v>정상</v>
      </c>
      <c r="J18" s="123" t="s">
        <v>771</v>
      </c>
      <c r="N18" s="123" t="s">
        <v>772</v>
      </c>
    </row>
    <row r="19" spans="2:19" ht="16.5" customHeight="1">
      <c r="B19" s="137">
        <v>29</v>
      </c>
      <c r="C19" s="138" t="s">
        <v>762</v>
      </c>
      <c r="D19" s="132" t="str">
        <f t="shared" si="0"/>
        <v>기본형-남자</v>
      </c>
      <c r="E19" s="133">
        <f t="shared" si="1"/>
        <v>13200</v>
      </c>
      <c r="F19" s="139">
        <v>24</v>
      </c>
      <c r="G19" s="139">
        <v>0</v>
      </c>
      <c r="H19" s="135" t="str">
        <f t="shared" si="2"/>
        <v>정상</v>
      </c>
      <c r="J19" s="203" t="s">
        <v>409</v>
      </c>
      <c r="K19" s="204"/>
      <c r="L19" s="145" t="s">
        <v>773</v>
      </c>
      <c r="N19" s="205" t="s">
        <v>590</v>
      </c>
      <c r="O19" s="146">
        <v>0</v>
      </c>
      <c r="P19" s="146">
        <v>20</v>
      </c>
      <c r="Q19" s="146">
        <v>30</v>
      </c>
      <c r="R19" s="146">
        <v>40</v>
      </c>
      <c r="S19" s="146">
        <v>60</v>
      </c>
    </row>
    <row r="20" spans="2:19" ht="16.5" customHeight="1">
      <c r="B20" s="137">
        <v>61</v>
      </c>
      <c r="C20" s="138" t="s">
        <v>763</v>
      </c>
      <c r="D20" s="132" t="str">
        <f t="shared" si="0"/>
        <v>기본형-남자</v>
      </c>
      <c r="E20" s="133">
        <f t="shared" si="1"/>
        <v>32200</v>
      </c>
      <c r="F20" s="139">
        <v>23</v>
      </c>
      <c r="G20" s="139">
        <v>1</v>
      </c>
      <c r="H20" s="135" t="str">
        <f t="shared" si="2"/>
        <v>1개월 미납</v>
      </c>
      <c r="J20" s="147">
        <v>1</v>
      </c>
      <c r="K20" s="148">
        <v>10</v>
      </c>
      <c r="L20" s="132" t="str">
        <f t="array" ref="L20:L26">IF(FREQUENCY($B$3:$B$38, $K$20:$K$26) &gt; 0, TEXT(FREQUENCY($B$3:$B$38, $K$20:$K$26), "0명"), "미가입")</f>
        <v>3명</v>
      </c>
      <c r="N20" s="205"/>
      <c r="O20" s="149">
        <v>20</v>
      </c>
      <c r="P20" s="149">
        <v>30</v>
      </c>
      <c r="Q20" s="149">
        <v>40</v>
      </c>
      <c r="R20" s="149">
        <v>60</v>
      </c>
      <c r="S20" s="149">
        <v>80</v>
      </c>
    </row>
    <row r="21" spans="2:19" ht="16.5" customHeight="1">
      <c r="B21" s="137">
        <v>12</v>
      </c>
      <c r="C21" s="138" t="s">
        <v>763</v>
      </c>
      <c r="D21" s="132" t="str">
        <f t="shared" si="0"/>
        <v>기본형-남자</v>
      </c>
      <c r="E21" s="133">
        <f t="shared" si="1"/>
        <v>12600</v>
      </c>
      <c r="F21" s="139">
        <v>20</v>
      </c>
      <c r="G21" s="139">
        <v>2</v>
      </c>
      <c r="H21" s="135" t="str">
        <f t="shared" si="2"/>
        <v>2개월 미납</v>
      </c>
      <c r="J21" s="147">
        <v>11</v>
      </c>
      <c r="K21" s="148">
        <v>20</v>
      </c>
      <c r="L21" s="132" t="str">
        <v>6명</v>
      </c>
      <c r="N21" s="150" t="s">
        <v>762</v>
      </c>
      <c r="O21" s="151">
        <f t="array" ref="O21">IFERROR(AVERAGE(IF(($C$3:$C$38 = $N21) * ($B$3:$B$38 &lt; O$20) * ($B$3:$B$38 &gt;= O$19), $F$3:$F$38)), "")</f>
        <v>7.333333333333333</v>
      </c>
      <c r="P21" s="151">
        <f t="array" ref="P21">IFERROR(AVERAGE(IF(($C$3:$C$38 = $N21) * ($B$3:$B$38 &lt; P$20) * ($B$3:$B$38 &gt;= P$19), $F$3:$F$38)), "")</f>
        <v>16.75</v>
      </c>
      <c r="Q21" s="151" t="str">
        <f t="array" ref="Q21">IFERROR(AVERAGE(IF(($C$3:$C$38 = $N21) * ($B$3:$B$38 &lt; Q$20) * ($B$3:$B$38 &gt;= Q$19), $F$3:$F$38)), "")</f>
        <v/>
      </c>
      <c r="R21" s="151">
        <f t="array" ref="R21">IFERROR(AVERAGE(IF(($C$3:$C$38 = $N21) * ($B$3:$B$38 &lt; R$20) * ($B$3:$B$38 &gt;= R$19), $F$3:$F$38)), "")</f>
        <v>8</v>
      </c>
      <c r="S21" s="151" t="str">
        <f t="array" ref="S21">IFERROR(AVERAGE(IF(($C$3:$C$38 = $N21) * ($B$3:$B$38 &lt; S$20) * ($B$3:$B$38 &gt;= S$19), $F$3:$F$38)), "")</f>
        <v/>
      </c>
    </row>
    <row r="22" spans="2:19" ht="16.5" customHeight="1">
      <c r="B22" s="137">
        <v>64</v>
      </c>
      <c r="C22" s="138" t="s">
        <v>768</v>
      </c>
      <c r="D22" s="132" t="str">
        <f t="shared" si="0"/>
        <v>추가보장-여자</v>
      </c>
      <c r="E22" s="133">
        <f t="shared" si="1"/>
        <v>43900</v>
      </c>
      <c r="F22" s="139">
        <v>7</v>
      </c>
      <c r="G22" s="139">
        <v>0</v>
      </c>
      <c r="H22" s="135" t="str">
        <f t="shared" si="2"/>
        <v>정상</v>
      </c>
      <c r="J22" s="147">
        <v>21</v>
      </c>
      <c r="K22" s="148">
        <v>30</v>
      </c>
      <c r="L22" s="132" t="str">
        <v>12명</v>
      </c>
      <c r="N22" s="138" t="s">
        <v>763</v>
      </c>
      <c r="O22" s="151">
        <f t="array" ref="O22">IFERROR(AVERAGE(IF(($C$3:$C$38 = $N22) * ($B$3:$B$38 &lt; O$20) * ($B$3:$B$38 &gt;= O$19), $F$3:$F$38)), "")</f>
        <v>20.5</v>
      </c>
      <c r="P22" s="151">
        <f t="array" ref="P22">IFERROR(AVERAGE(IF(($C$3:$C$38 = $N22) * ($B$3:$B$38 &lt; P$20) * ($B$3:$B$38 &gt;= P$19), $F$3:$F$38)), "")</f>
        <v>21</v>
      </c>
      <c r="Q22" s="151" t="str">
        <f t="array" ref="Q22">IFERROR(AVERAGE(IF(($C$3:$C$38 = $N22) * ($B$3:$B$38 &lt; Q$20) * ($B$3:$B$38 &gt;= Q$19), $F$3:$F$38)), "")</f>
        <v/>
      </c>
      <c r="R22" s="151">
        <f t="array" ref="R22">IFERROR(AVERAGE(IF(($C$3:$C$38 = $N22) * ($B$3:$B$38 &lt; R$20) * ($B$3:$B$38 &gt;= R$19), $F$3:$F$38)), "")</f>
        <v>5</v>
      </c>
      <c r="S22" s="151">
        <f t="array" ref="S22">IFERROR(AVERAGE(IF(($C$3:$C$38 = $N22) * ($B$3:$B$38 &lt; S$20) * ($B$3:$B$38 &gt;= S$19), $F$3:$F$38)), "")</f>
        <v>23</v>
      </c>
    </row>
    <row r="23" spans="2:19" ht="16.5" customHeight="1">
      <c r="B23" s="137">
        <v>29</v>
      </c>
      <c r="C23" s="138" t="s">
        <v>762</v>
      </c>
      <c r="D23" s="132" t="str">
        <f t="shared" si="0"/>
        <v>기본형-남자</v>
      </c>
      <c r="E23" s="133">
        <f t="shared" si="1"/>
        <v>13200</v>
      </c>
      <c r="F23" s="139">
        <v>17</v>
      </c>
      <c r="G23" s="139">
        <v>2</v>
      </c>
      <c r="H23" s="135" t="str">
        <f t="shared" si="2"/>
        <v>2개월 미납</v>
      </c>
      <c r="J23" s="147">
        <v>31</v>
      </c>
      <c r="K23" s="148">
        <v>40</v>
      </c>
      <c r="L23" s="132" t="str">
        <v>미가입</v>
      </c>
      <c r="N23" s="138" t="s">
        <v>766</v>
      </c>
      <c r="O23" s="151">
        <f t="array" ref="O23">IFERROR(AVERAGE(IF(($C$3:$C$38 = $N23) * ($B$3:$B$38 &lt; O$20) * ($B$3:$B$38 &gt;= O$19), $F$3:$F$38)), "")</f>
        <v>9</v>
      </c>
      <c r="P23" s="151">
        <f t="array" ref="P23">IFERROR(AVERAGE(IF(($C$3:$C$38 = $N23) * ($B$3:$B$38 &lt; P$20) * ($B$3:$B$38 &gt;= P$19), $F$3:$F$38)), "")</f>
        <v>8.6666666666666661</v>
      </c>
      <c r="Q23" s="151" t="str">
        <f t="array" ref="Q23">IFERROR(AVERAGE(IF(($C$3:$C$38 = $N23) * ($B$3:$B$38 &lt; Q$20) * ($B$3:$B$38 &gt;= Q$19), $F$3:$F$38)), "")</f>
        <v/>
      </c>
      <c r="R23" s="151">
        <f t="array" ref="R23">IFERROR(AVERAGE(IF(($C$3:$C$38 = $N23) * ($B$3:$B$38 &lt; R$20) * ($B$3:$B$38 &gt;= R$19), $F$3:$F$38)), "")</f>
        <v>13</v>
      </c>
      <c r="S23" s="151" t="str">
        <f t="array" ref="S23">IFERROR(AVERAGE(IF(($C$3:$C$38 = $N23) * ($B$3:$B$38 &lt; S$20) * ($B$3:$B$38 &gt;= S$19), $F$3:$F$38)), "")</f>
        <v/>
      </c>
    </row>
    <row r="24" spans="2:19" ht="16.5" customHeight="1">
      <c r="B24" s="137">
        <v>17</v>
      </c>
      <c r="C24" s="138" t="s">
        <v>763</v>
      </c>
      <c r="D24" s="132" t="str">
        <f t="shared" si="0"/>
        <v>기본형-남자</v>
      </c>
      <c r="E24" s="133">
        <f t="shared" si="1"/>
        <v>12600</v>
      </c>
      <c r="F24" s="139">
        <v>21</v>
      </c>
      <c r="G24" s="139">
        <v>2</v>
      </c>
      <c r="H24" s="135" t="str">
        <f t="shared" si="2"/>
        <v>2개월 미납</v>
      </c>
      <c r="J24" s="147">
        <v>41</v>
      </c>
      <c r="K24" s="148">
        <v>50</v>
      </c>
      <c r="L24" s="132" t="str">
        <v>7명</v>
      </c>
      <c r="N24" s="138" t="s">
        <v>768</v>
      </c>
      <c r="O24" s="151">
        <f t="array" ref="O24">IFERROR(AVERAGE(IF(($C$3:$C$38 = $N24) * ($B$3:$B$38 &lt; O$20) * ($B$3:$B$38 &gt;= O$19), $F$3:$F$38)), "")</f>
        <v>7.666666666666667</v>
      </c>
      <c r="P24" s="151">
        <f t="array" ref="P24">IFERROR(AVERAGE(IF(($C$3:$C$38 = $N24) * ($B$3:$B$38 &lt; P$20) * ($B$3:$B$38 &gt;= P$19), $F$3:$F$38)), "")</f>
        <v>16.5</v>
      </c>
      <c r="Q24" s="151" t="str">
        <f t="array" ref="Q24">IFERROR(AVERAGE(IF(($C$3:$C$38 = $N24) * ($B$3:$B$38 &lt; Q$20) * ($B$3:$B$38 &gt;= Q$19), $F$3:$F$38)), "")</f>
        <v/>
      </c>
      <c r="R24" s="151">
        <f t="array" ref="R24">IFERROR(AVERAGE(IF(($C$3:$C$38 = $N24) * ($B$3:$B$38 &lt; R$20) * ($B$3:$B$38 &gt;= R$19), $F$3:$F$38)), "")</f>
        <v>12.333333333333334</v>
      </c>
      <c r="S24" s="151">
        <f t="array" ref="S24">IFERROR(AVERAGE(IF(($C$3:$C$38 = $N24) * ($B$3:$B$38 &lt; S$20) * ($B$3:$B$38 &gt;= S$19), $F$3:$F$38)), "")</f>
        <v>13.5</v>
      </c>
    </row>
    <row r="25" spans="2:19" ht="16.5" customHeight="1">
      <c r="B25" s="137">
        <v>29</v>
      </c>
      <c r="C25" s="138" t="s">
        <v>766</v>
      </c>
      <c r="D25" s="132" t="str">
        <f t="shared" si="0"/>
        <v>추가보장-남자</v>
      </c>
      <c r="E25" s="133">
        <f t="shared" si="1"/>
        <v>13700</v>
      </c>
      <c r="F25" s="139">
        <v>2</v>
      </c>
      <c r="G25" s="139">
        <v>2</v>
      </c>
      <c r="H25" s="135" t="str">
        <f t="shared" si="2"/>
        <v>해지예상</v>
      </c>
      <c r="J25" s="147">
        <v>51</v>
      </c>
      <c r="K25" s="148">
        <v>60</v>
      </c>
      <c r="L25" s="132" t="str">
        <v>5명</v>
      </c>
    </row>
    <row r="26" spans="2:19" ht="16.5" customHeight="1">
      <c r="B26" s="137">
        <v>26</v>
      </c>
      <c r="C26" s="138" t="s">
        <v>766</v>
      </c>
      <c r="D26" s="132" t="str">
        <f t="shared" si="0"/>
        <v>추가보장-남자</v>
      </c>
      <c r="E26" s="133">
        <f t="shared" si="1"/>
        <v>13700</v>
      </c>
      <c r="F26" s="139">
        <v>4</v>
      </c>
      <c r="G26" s="139">
        <v>1</v>
      </c>
      <c r="H26" s="135" t="str">
        <f t="shared" si="2"/>
        <v>1개월 미납</v>
      </c>
      <c r="J26" s="147">
        <v>61</v>
      </c>
      <c r="K26" s="148">
        <v>70</v>
      </c>
      <c r="L26" s="132" t="str">
        <v>3명</v>
      </c>
    </row>
    <row r="27" spans="2:19" ht="16.5" customHeight="1">
      <c r="B27" s="137">
        <v>59</v>
      </c>
      <c r="C27" s="138" t="s">
        <v>766</v>
      </c>
      <c r="D27" s="132" t="str">
        <f t="shared" si="0"/>
        <v>추가보장-남자</v>
      </c>
      <c r="E27" s="133">
        <f t="shared" si="1"/>
        <v>45000</v>
      </c>
      <c r="F27" s="139">
        <v>2</v>
      </c>
      <c r="G27" s="139">
        <v>1</v>
      </c>
      <c r="H27" s="135" t="str">
        <f t="shared" si="2"/>
        <v>1개월 미납</v>
      </c>
    </row>
    <row r="28" spans="2:19" ht="16.5" customHeight="1">
      <c r="B28" s="137">
        <v>43</v>
      </c>
      <c r="C28" s="138" t="s">
        <v>763</v>
      </c>
      <c r="D28" s="132" t="str">
        <f t="shared" si="0"/>
        <v>기본형-남자</v>
      </c>
      <c r="E28" s="133">
        <f t="shared" si="1"/>
        <v>22500</v>
      </c>
      <c r="F28" s="139">
        <v>5</v>
      </c>
      <c r="G28" s="139">
        <v>2</v>
      </c>
      <c r="H28" s="135" t="str">
        <f t="shared" si="2"/>
        <v>2개월 미납</v>
      </c>
    </row>
    <row r="29" spans="2:19" ht="16.5" customHeight="1">
      <c r="B29" s="137">
        <v>53</v>
      </c>
      <c r="C29" s="138" t="s">
        <v>766</v>
      </c>
      <c r="D29" s="132" t="str">
        <f t="shared" si="0"/>
        <v>추가보장-남자</v>
      </c>
      <c r="E29" s="133">
        <f t="shared" si="1"/>
        <v>45000</v>
      </c>
      <c r="F29" s="139">
        <v>21</v>
      </c>
      <c r="G29" s="139">
        <v>2</v>
      </c>
      <c r="H29" s="135" t="str">
        <f t="shared" si="2"/>
        <v>2개월 미납</v>
      </c>
    </row>
    <row r="30" spans="2:19" ht="16.5" customHeight="1">
      <c r="B30" s="137">
        <v>29</v>
      </c>
      <c r="C30" s="138" t="s">
        <v>768</v>
      </c>
      <c r="D30" s="132" t="str">
        <f t="shared" si="0"/>
        <v>추가보장-여자</v>
      </c>
      <c r="E30" s="133">
        <f t="shared" si="1"/>
        <v>14200</v>
      </c>
      <c r="F30" s="139">
        <v>18</v>
      </c>
      <c r="G30" s="139">
        <v>1</v>
      </c>
      <c r="H30" s="135" t="str">
        <f t="shared" si="2"/>
        <v>1개월 미납</v>
      </c>
    </row>
    <row r="31" spans="2:19" ht="16.5" customHeight="1">
      <c r="B31" s="137">
        <v>18</v>
      </c>
      <c r="C31" s="138" t="s">
        <v>762</v>
      </c>
      <c r="D31" s="132" t="str">
        <f t="shared" si="0"/>
        <v>기본형-남자</v>
      </c>
      <c r="E31" s="133">
        <f t="shared" si="1"/>
        <v>12800</v>
      </c>
      <c r="F31" s="139">
        <v>9</v>
      </c>
      <c r="G31" s="139">
        <v>1</v>
      </c>
      <c r="H31" s="135" t="str">
        <f t="shared" si="2"/>
        <v>1개월 미납</v>
      </c>
    </row>
    <row r="32" spans="2:19" ht="16.5" customHeight="1">
      <c r="B32" s="137">
        <v>41</v>
      </c>
      <c r="C32" s="138" t="s">
        <v>763</v>
      </c>
      <c r="D32" s="132" t="str">
        <f t="shared" si="0"/>
        <v>기본형-남자</v>
      </c>
      <c r="E32" s="133">
        <f t="shared" si="1"/>
        <v>22500</v>
      </c>
      <c r="F32" s="139">
        <v>7</v>
      </c>
      <c r="G32" s="139">
        <v>0</v>
      </c>
      <c r="H32" s="135" t="str">
        <f t="shared" si="2"/>
        <v>정상</v>
      </c>
    </row>
    <row r="33" spans="2:16">
      <c r="B33" s="137">
        <v>8</v>
      </c>
      <c r="C33" s="138" t="s">
        <v>766</v>
      </c>
      <c r="D33" s="132" t="str">
        <f t="shared" si="0"/>
        <v>추가보장-남자</v>
      </c>
      <c r="E33" s="133">
        <f t="shared" si="1"/>
        <v>13100</v>
      </c>
      <c r="F33" s="139">
        <v>9</v>
      </c>
      <c r="G33" s="139">
        <v>2</v>
      </c>
      <c r="H33" s="135" t="str">
        <f t="shared" si="2"/>
        <v>2개월 미납</v>
      </c>
    </row>
    <row r="34" spans="2:16">
      <c r="B34" s="137">
        <v>64</v>
      </c>
      <c r="C34" s="138" t="s">
        <v>768</v>
      </c>
      <c r="D34" s="132" t="str">
        <f t="shared" si="0"/>
        <v>추가보장-여자</v>
      </c>
      <c r="E34" s="133">
        <f t="shared" si="1"/>
        <v>43900</v>
      </c>
      <c r="F34" s="139">
        <v>20</v>
      </c>
      <c r="G34" s="139">
        <v>1</v>
      </c>
      <c r="H34" s="135" t="str">
        <f t="shared" si="2"/>
        <v>1개월 미납</v>
      </c>
    </row>
    <row r="35" spans="2:16">
      <c r="B35" s="137">
        <v>21</v>
      </c>
      <c r="C35" s="138" t="s">
        <v>768</v>
      </c>
      <c r="D35" s="132" t="str">
        <f t="shared" si="0"/>
        <v>추가보장-여자</v>
      </c>
      <c r="E35" s="133">
        <f t="shared" si="1"/>
        <v>14200</v>
      </c>
      <c r="F35" s="139">
        <v>12</v>
      </c>
      <c r="G35" s="139">
        <v>2</v>
      </c>
      <c r="H35" s="135" t="str">
        <f t="shared" si="2"/>
        <v>2개월 미납</v>
      </c>
    </row>
    <row r="36" spans="2:16">
      <c r="B36" s="137">
        <v>25</v>
      </c>
      <c r="C36" s="138" t="s">
        <v>768</v>
      </c>
      <c r="D36" s="132" t="str">
        <f t="shared" si="0"/>
        <v>추가보장-여자</v>
      </c>
      <c r="E36" s="133">
        <f t="shared" si="1"/>
        <v>14200</v>
      </c>
      <c r="F36" s="139">
        <v>21</v>
      </c>
      <c r="G36" s="139">
        <v>0</v>
      </c>
      <c r="H36" s="135" t="str">
        <f t="shared" si="2"/>
        <v>정상</v>
      </c>
    </row>
    <row r="37" spans="2:16">
      <c r="B37" s="137">
        <v>53</v>
      </c>
      <c r="C37" s="138" t="s">
        <v>768</v>
      </c>
      <c r="D37" s="132" t="str">
        <f t="shared" si="0"/>
        <v>추가보장-여자</v>
      </c>
      <c r="E37" s="133">
        <f t="shared" si="1"/>
        <v>34900</v>
      </c>
      <c r="F37" s="139">
        <v>23</v>
      </c>
      <c r="G37" s="139">
        <v>0</v>
      </c>
      <c r="H37" s="135" t="str">
        <f t="shared" si="2"/>
        <v>정상</v>
      </c>
    </row>
    <row r="38" spans="2:16">
      <c r="B38" s="137">
        <v>59</v>
      </c>
      <c r="C38" s="138" t="s">
        <v>768</v>
      </c>
      <c r="D38" s="132" t="str">
        <f t="shared" si="0"/>
        <v>추가보장-여자</v>
      </c>
      <c r="E38" s="133">
        <f t="shared" si="1"/>
        <v>34900</v>
      </c>
      <c r="F38" s="139">
        <v>9</v>
      </c>
      <c r="G38" s="139">
        <v>1</v>
      </c>
      <c r="H38" s="135" t="str">
        <f t="shared" si="2"/>
        <v>1개월 미납</v>
      </c>
      <c r="N38" s="110"/>
      <c r="O38" s="110"/>
      <c r="P38" s="110"/>
    </row>
    <row r="39" spans="2:16">
      <c r="N39" s="110"/>
      <c r="O39" s="110"/>
      <c r="P39" s="110"/>
    </row>
    <row r="40" spans="2:16">
      <c r="N40" s="110"/>
      <c r="O40" s="110"/>
      <c r="P40" s="110"/>
    </row>
    <row r="41" spans="2:16">
      <c r="N41" s="110"/>
      <c r="O41" s="110"/>
      <c r="P41" s="110"/>
    </row>
    <row r="42" spans="2:16">
      <c r="N42" s="110"/>
      <c r="O42" s="110"/>
      <c r="P42" s="110"/>
    </row>
    <row r="43" spans="2:16">
      <c r="N43" s="110"/>
      <c r="O43" s="110"/>
      <c r="P43" s="110"/>
    </row>
    <row r="44" spans="2:16">
      <c r="N44" s="110"/>
      <c r="O44" s="110"/>
      <c r="P44" s="110"/>
    </row>
    <row r="45" spans="2:16">
      <c r="N45" s="110"/>
      <c r="O45" s="110"/>
    </row>
    <row r="46" spans="2:16">
      <c r="N46" s="110"/>
      <c r="O46" s="110"/>
    </row>
    <row r="47" spans="2:16">
      <c r="N47" s="110"/>
      <c r="O47" s="110"/>
    </row>
    <row r="48" spans="2:16">
      <c r="N48" s="110"/>
      <c r="O48" s="110"/>
    </row>
    <row r="49" spans="14:15">
      <c r="N49" s="110"/>
      <c r="O49" s="110"/>
    </row>
    <row r="50" spans="14:15">
      <c r="N50" s="110"/>
      <c r="O50" s="110"/>
    </row>
    <row r="51" spans="14:15">
      <c r="N51" s="110"/>
      <c r="O51" s="110"/>
    </row>
    <row r="52" spans="14:15">
      <c r="N52" s="110"/>
      <c r="O52" s="110"/>
    </row>
    <row r="53" spans="14:15">
      <c r="N53" s="110"/>
      <c r="O53" s="110"/>
    </row>
    <row r="54" spans="14:15">
      <c r="N54" s="110"/>
      <c r="O54" s="110"/>
    </row>
    <row r="55" spans="14:15">
      <c r="N55" s="110"/>
    </row>
    <row r="56" spans="14:15">
      <c r="N56" s="110"/>
    </row>
  </sheetData>
  <mergeCells count="2">
    <mergeCell ref="J19:K19"/>
    <mergeCell ref="N19:N20"/>
  </mergeCells>
  <phoneticPr fontId="4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N37"/>
  <sheetViews>
    <sheetView workbookViewId="0">
      <selection activeCell="M31" sqref="M31"/>
    </sheetView>
  </sheetViews>
  <sheetFormatPr defaultColWidth="12.875" defaultRowHeight="16.5"/>
  <cols>
    <col min="1" max="1" width="7.125" style="85" bestFit="1" customWidth="1"/>
    <col min="2" max="2" width="5.5" style="85" bestFit="1" customWidth="1"/>
    <col min="3" max="3" width="9.25" style="85" bestFit="1" customWidth="1"/>
    <col min="4" max="4" width="11" style="85" bestFit="1" customWidth="1"/>
    <col min="5" max="5" width="11.75" style="85" customWidth="1"/>
    <col min="6" max="6" width="10.125" style="124" customWidth="1"/>
    <col min="7" max="7" width="14.125" style="85" bestFit="1" customWidth="1"/>
    <col min="8" max="8" width="9.875" style="85" customWidth="1"/>
    <col min="9" max="9" width="11.25" style="85" bestFit="1" customWidth="1"/>
    <col min="10" max="10" width="3.25" style="85" customWidth="1"/>
    <col min="11" max="11" width="11" style="85" bestFit="1" customWidth="1"/>
    <col min="12" max="12" width="11.25" style="85" bestFit="1" customWidth="1"/>
    <col min="13" max="13" width="11" style="85" bestFit="1" customWidth="1"/>
    <col min="14" max="15" width="12.25" style="85" bestFit="1" customWidth="1"/>
    <col min="16" max="16384" width="12.875" style="85"/>
  </cols>
  <sheetData>
    <row r="1" spans="1:14">
      <c r="A1" s="85" t="s">
        <v>406</v>
      </c>
      <c r="K1" s="85" t="s">
        <v>407</v>
      </c>
      <c r="M1" s="85" t="s">
        <v>375</v>
      </c>
    </row>
    <row r="2" spans="1:14">
      <c r="A2" s="152" t="s">
        <v>23</v>
      </c>
      <c r="B2" s="152" t="s">
        <v>774</v>
      </c>
      <c r="C2" s="153" t="s">
        <v>775</v>
      </c>
      <c r="D2" s="152" t="s">
        <v>776</v>
      </c>
      <c r="E2" s="152" t="s">
        <v>777</v>
      </c>
      <c r="F2" s="152" t="s">
        <v>778</v>
      </c>
      <c r="G2" s="153" t="s">
        <v>779</v>
      </c>
      <c r="H2" s="152" t="s">
        <v>780</v>
      </c>
      <c r="I2" s="153" t="s">
        <v>781</v>
      </c>
      <c r="J2" s="154"/>
      <c r="K2" s="152" t="s">
        <v>23</v>
      </c>
      <c r="L2" s="152" t="s">
        <v>774</v>
      </c>
      <c r="M2" s="152" t="s">
        <v>778</v>
      </c>
      <c r="N2" s="152" t="s">
        <v>779</v>
      </c>
    </row>
    <row r="3" spans="1:14">
      <c r="A3" s="155" t="s">
        <v>782</v>
      </c>
      <c r="B3" s="155" t="s">
        <v>783</v>
      </c>
      <c r="C3" s="155" t="str">
        <f t="shared" ref="C3:C37" si="0">IFERROR(IF(MATCH(A3, $K$3:$K$6, 0) &gt; 0, "예"), "아니오")</f>
        <v>예</v>
      </c>
      <c r="D3" s="156" t="s">
        <v>784</v>
      </c>
      <c r="E3" s="156" t="s">
        <v>785</v>
      </c>
      <c r="F3" s="155" t="s">
        <v>786</v>
      </c>
      <c r="G3" s="155" t="str">
        <f>IFERROR(REPLACE(VLOOKUP(F3, $M$3:$N$8, 2, FALSE), 5, 2, "○●"), "")</f>
        <v>123-○●-6793</v>
      </c>
      <c r="H3" s="157">
        <v>612700</v>
      </c>
      <c r="I3" s="158">
        <f>fn의료비보조(B3, D3, H3)</f>
        <v>306350</v>
      </c>
      <c r="J3" s="159"/>
      <c r="K3" s="160" t="s">
        <v>787</v>
      </c>
      <c r="L3" s="160" t="s">
        <v>408</v>
      </c>
      <c r="M3" s="160" t="s">
        <v>788</v>
      </c>
      <c r="N3" s="160" t="s">
        <v>789</v>
      </c>
    </row>
    <row r="4" spans="1:14">
      <c r="A4" s="161" t="s">
        <v>782</v>
      </c>
      <c r="B4" s="161" t="s">
        <v>783</v>
      </c>
      <c r="C4" s="155" t="str">
        <f t="shared" si="0"/>
        <v>예</v>
      </c>
      <c r="D4" s="162" t="s">
        <v>790</v>
      </c>
      <c r="E4" s="162" t="s">
        <v>791</v>
      </c>
      <c r="F4" s="161" t="s">
        <v>792</v>
      </c>
      <c r="G4" s="155" t="str">
        <f t="shared" ref="G4:G37" si="1">IFERROR(REPLACE(VLOOKUP(F4, $M$3:$N$8, 2, FALSE), 5, 2, "○●"), "")</f>
        <v>123-○●-6791</v>
      </c>
      <c r="H4" s="163">
        <v>13000</v>
      </c>
      <c r="I4" s="158">
        <f t="shared" ref="I4:I37" si="2">fn의료비보조(B4, D4, H4)</f>
        <v>0</v>
      </c>
      <c r="J4" s="159"/>
      <c r="K4" s="160" t="s">
        <v>782</v>
      </c>
      <c r="L4" s="160" t="s">
        <v>783</v>
      </c>
      <c r="M4" s="164" t="s">
        <v>793</v>
      </c>
      <c r="N4" s="160" t="s">
        <v>794</v>
      </c>
    </row>
    <row r="5" spans="1:14">
      <c r="A5" s="161" t="s">
        <v>782</v>
      </c>
      <c r="B5" s="161" t="s">
        <v>783</v>
      </c>
      <c r="C5" s="155" t="str">
        <f t="shared" si="0"/>
        <v>예</v>
      </c>
      <c r="D5" s="162" t="s">
        <v>790</v>
      </c>
      <c r="E5" s="162" t="s">
        <v>791</v>
      </c>
      <c r="F5" s="161" t="s">
        <v>792</v>
      </c>
      <c r="G5" s="155" t="str">
        <f t="shared" si="1"/>
        <v>123-○●-6791</v>
      </c>
      <c r="H5" s="163">
        <v>46000</v>
      </c>
      <c r="I5" s="158">
        <f t="shared" si="2"/>
        <v>0</v>
      </c>
      <c r="J5" s="159"/>
      <c r="K5" s="164" t="s">
        <v>795</v>
      </c>
      <c r="L5" s="164" t="s">
        <v>796</v>
      </c>
      <c r="M5" s="164" t="s">
        <v>792</v>
      </c>
      <c r="N5" s="160" t="s">
        <v>797</v>
      </c>
    </row>
    <row r="6" spans="1:14">
      <c r="A6" s="161" t="s">
        <v>782</v>
      </c>
      <c r="B6" s="161" t="s">
        <v>783</v>
      </c>
      <c r="C6" s="155" t="str">
        <f t="shared" si="0"/>
        <v>예</v>
      </c>
      <c r="D6" s="162" t="s">
        <v>798</v>
      </c>
      <c r="E6" s="162" t="s">
        <v>799</v>
      </c>
      <c r="F6" s="161" t="s">
        <v>800</v>
      </c>
      <c r="G6" s="155" t="str">
        <f t="shared" si="1"/>
        <v/>
      </c>
      <c r="H6" s="163">
        <v>3000</v>
      </c>
      <c r="I6" s="158">
        <f t="shared" si="2"/>
        <v>0</v>
      </c>
      <c r="J6" s="159"/>
      <c r="K6" s="164" t="s">
        <v>801</v>
      </c>
      <c r="L6" s="164" t="s">
        <v>802</v>
      </c>
      <c r="M6" s="164" t="s">
        <v>803</v>
      </c>
      <c r="N6" s="160" t="s">
        <v>804</v>
      </c>
    </row>
    <row r="7" spans="1:14">
      <c r="A7" s="161" t="s">
        <v>782</v>
      </c>
      <c r="B7" s="161" t="s">
        <v>783</v>
      </c>
      <c r="C7" s="155" t="str">
        <f t="shared" si="0"/>
        <v>예</v>
      </c>
      <c r="D7" s="162" t="s">
        <v>790</v>
      </c>
      <c r="E7" s="162" t="s">
        <v>799</v>
      </c>
      <c r="F7" s="161" t="s">
        <v>792</v>
      </c>
      <c r="G7" s="155" t="str">
        <f t="shared" si="1"/>
        <v>123-○●-6791</v>
      </c>
      <c r="H7" s="163">
        <v>536790</v>
      </c>
      <c r="I7" s="158">
        <f t="shared" si="2"/>
        <v>0</v>
      </c>
      <c r="J7" s="159"/>
      <c r="M7" s="160" t="s">
        <v>805</v>
      </c>
      <c r="N7" s="160" t="s">
        <v>806</v>
      </c>
    </row>
    <row r="8" spans="1:14">
      <c r="A8" s="161" t="s">
        <v>782</v>
      </c>
      <c r="B8" s="161" t="s">
        <v>783</v>
      </c>
      <c r="C8" s="155" t="str">
        <f t="shared" si="0"/>
        <v>예</v>
      </c>
      <c r="D8" s="162" t="s">
        <v>790</v>
      </c>
      <c r="E8" s="162" t="s">
        <v>799</v>
      </c>
      <c r="F8" s="161" t="s">
        <v>792</v>
      </c>
      <c r="G8" s="155" t="str">
        <f t="shared" si="1"/>
        <v>123-○●-6791</v>
      </c>
      <c r="H8" s="163">
        <v>1738200</v>
      </c>
      <c r="I8" s="158">
        <f t="shared" si="2"/>
        <v>0</v>
      </c>
      <c r="J8" s="159"/>
      <c r="M8" s="160" t="s">
        <v>807</v>
      </c>
      <c r="N8" s="160" t="s">
        <v>808</v>
      </c>
    </row>
    <row r="9" spans="1:14">
      <c r="A9" s="165" t="s">
        <v>782</v>
      </c>
      <c r="B9" s="165" t="s">
        <v>783</v>
      </c>
      <c r="C9" s="155" t="str">
        <f t="shared" si="0"/>
        <v>예</v>
      </c>
      <c r="D9" s="166" t="s">
        <v>784</v>
      </c>
      <c r="E9" s="166" t="s">
        <v>785</v>
      </c>
      <c r="F9" s="165" t="s">
        <v>807</v>
      </c>
      <c r="G9" s="155" t="str">
        <f t="shared" si="1"/>
        <v>123-○●-6794</v>
      </c>
      <c r="H9" s="167">
        <v>58600</v>
      </c>
      <c r="I9" s="158">
        <f t="shared" si="2"/>
        <v>29300</v>
      </c>
      <c r="J9" s="159"/>
    </row>
    <row r="10" spans="1:14">
      <c r="A10" s="165" t="s">
        <v>782</v>
      </c>
      <c r="B10" s="165" t="s">
        <v>783</v>
      </c>
      <c r="C10" s="155" t="str">
        <f t="shared" si="0"/>
        <v>예</v>
      </c>
      <c r="D10" s="166" t="s">
        <v>784</v>
      </c>
      <c r="E10" s="166" t="s">
        <v>785</v>
      </c>
      <c r="F10" s="165" t="s">
        <v>809</v>
      </c>
      <c r="G10" s="155" t="str">
        <f t="shared" si="1"/>
        <v>123-○●-6794</v>
      </c>
      <c r="H10" s="167">
        <v>117840</v>
      </c>
      <c r="I10" s="158">
        <f t="shared" si="2"/>
        <v>58920</v>
      </c>
      <c r="J10" s="159"/>
      <c r="K10" s="85" t="s">
        <v>810</v>
      </c>
      <c r="N10" s="168" t="s">
        <v>811</v>
      </c>
    </row>
    <row r="11" spans="1:14">
      <c r="A11" s="165" t="s">
        <v>812</v>
      </c>
      <c r="B11" s="165" t="s">
        <v>813</v>
      </c>
      <c r="C11" s="155" t="str">
        <f t="shared" si="0"/>
        <v>아니오</v>
      </c>
      <c r="D11" s="166" t="s">
        <v>814</v>
      </c>
      <c r="E11" s="166" t="s">
        <v>815</v>
      </c>
      <c r="F11" s="165" t="s">
        <v>816</v>
      </c>
      <c r="G11" s="155" t="str">
        <f t="shared" si="1"/>
        <v/>
      </c>
      <c r="H11" s="167">
        <v>220000</v>
      </c>
      <c r="I11" s="158">
        <f t="shared" si="2"/>
        <v>0</v>
      </c>
      <c r="J11" s="159"/>
      <c r="K11" s="152" t="s">
        <v>817</v>
      </c>
      <c r="L11" s="153" t="s">
        <v>818</v>
      </c>
      <c r="M11" s="153" t="s">
        <v>819</v>
      </c>
      <c r="N11" s="153" t="s">
        <v>820</v>
      </c>
    </row>
    <row r="12" spans="1:14">
      <c r="A12" s="165" t="s">
        <v>812</v>
      </c>
      <c r="B12" s="165" t="s">
        <v>813</v>
      </c>
      <c r="C12" s="155" t="str">
        <f t="shared" si="0"/>
        <v>아니오</v>
      </c>
      <c r="D12" s="166" t="s">
        <v>784</v>
      </c>
      <c r="E12" s="166" t="s">
        <v>785</v>
      </c>
      <c r="F12" s="165" t="s">
        <v>805</v>
      </c>
      <c r="G12" s="155" t="str">
        <f t="shared" si="1"/>
        <v>123-○●-6793</v>
      </c>
      <c r="H12" s="167">
        <v>44700</v>
      </c>
      <c r="I12" s="158">
        <f t="shared" si="2"/>
        <v>35760</v>
      </c>
      <c r="J12" s="159"/>
      <c r="K12" s="169" t="s">
        <v>790</v>
      </c>
      <c r="L12" s="170" t="str">
        <f t="array" ref="L12">TEXT(SUM(IF(($D$3:$D$37 = $K12) * ($E$3:$E$37 = L$11), $H$3:$H$37)), "#,##0,")</f>
        <v>29,692</v>
      </c>
      <c r="M12" s="170" t="str">
        <f t="array" ref="M12">TEXT(SUM(IF(($D$3:$D$37 = $K12) * ($E$3:$E$37 = M$11), $H$3:$H$37)), "#,##0,")</f>
        <v>399</v>
      </c>
      <c r="N12" s="170" t="str">
        <f t="array" ref="N12">TEXT(SUM(IF(($D$3:$D$37 = $K12) * ($E$3:$E$37 = N$11), $H$3:$H$37)), "#,##0,")</f>
        <v>68</v>
      </c>
    </row>
    <row r="13" spans="1:14">
      <c r="A13" s="165" t="s">
        <v>812</v>
      </c>
      <c r="B13" s="165" t="s">
        <v>813</v>
      </c>
      <c r="C13" s="155" t="str">
        <f t="shared" si="0"/>
        <v>아니오</v>
      </c>
      <c r="D13" s="166" t="s">
        <v>784</v>
      </c>
      <c r="E13" s="166" t="s">
        <v>785</v>
      </c>
      <c r="F13" s="165" t="s">
        <v>805</v>
      </c>
      <c r="G13" s="155" t="str">
        <f t="shared" si="1"/>
        <v>123-○●-6793</v>
      </c>
      <c r="H13" s="167">
        <v>88400</v>
      </c>
      <c r="I13" s="158">
        <f t="shared" si="2"/>
        <v>70720</v>
      </c>
      <c r="J13" s="159"/>
      <c r="K13" s="169" t="s">
        <v>821</v>
      </c>
      <c r="L13" s="170" t="str">
        <f t="array" ref="L13">TEXT(SUM(IF(($D$3:$D$37 = $K13) * ($E$3:$E$37 = L$11), $H$3:$H$37)), "#,##0,")</f>
        <v>378</v>
      </c>
      <c r="M13" s="170" t="str">
        <f t="array" ref="M13">TEXT(SUM(IF(($D$3:$D$37 = $K13) * ($E$3:$E$37 = M$11), $H$3:$H$37)), "#,##0,")</f>
        <v>189</v>
      </c>
      <c r="N13" s="170" t="str">
        <f t="array" ref="N13">TEXT(SUM(IF(($D$3:$D$37 = $K13) * ($E$3:$E$37 = N$11), $H$3:$H$37)), "#,##0,")</f>
        <v>0</v>
      </c>
    </row>
    <row r="14" spans="1:14">
      <c r="A14" s="165" t="s">
        <v>812</v>
      </c>
      <c r="B14" s="165" t="s">
        <v>813</v>
      </c>
      <c r="C14" s="155" t="str">
        <f t="shared" si="0"/>
        <v>아니오</v>
      </c>
      <c r="D14" s="166" t="s">
        <v>784</v>
      </c>
      <c r="E14" s="166" t="s">
        <v>785</v>
      </c>
      <c r="F14" s="165" t="s">
        <v>809</v>
      </c>
      <c r="G14" s="155" t="str">
        <f t="shared" si="1"/>
        <v>123-○●-6794</v>
      </c>
      <c r="H14" s="167">
        <v>107190</v>
      </c>
      <c r="I14" s="158">
        <f t="shared" si="2"/>
        <v>85752</v>
      </c>
      <c r="J14" s="159"/>
      <c r="K14" s="169" t="s">
        <v>798</v>
      </c>
      <c r="L14" s="170" t="str">
        <f t="array" ref="L14">TEXT(SUM(IF(($D$3:$D$37 = $K14) * ($E$3:$E$37 = L$11), $H$3:$H$37)), "#,##0,")</f>
        <v>509</v>
      </c>
      <c r="M14" s="170" t="str">
        <f t="array" ref="M14">TEXT(SUM(IF(($D$3:$D$37 = $K14) * ($E$3:$E$37 = M$11), $H$3:$H$37)), "#,##0,")</f>
        <v>0</v>
      </c>
      <c r="N14" s="170" t="str">
        <f t="array" ref="N14">TEXT(SUM(IF(($D$3:$D$37 = $K14) * ($E$3:$E$37 = N$11), $H$3:$H$37)), "#,##0,")</f>
        <v>0</v>
      </c>
    </row>
    <row r="15" spans="1:14">
      <c r="A15" s="165" t="s">
        <v>787</v>
      </c>
      <c r="B15" s="165" t="s">
        <v>822</v>
      </c>
      <c r="C15" s="155" t="str">
        <f>IFERROR(IF(MATCH(A15, $K$3:$K$6, 0) &gt; 0, "예"), "아니오")</f>
        <v>예</v>
      </c>
      <c r="D15" s="166" t="s">
        <v>784</v>
      </c>
      <c r="E15" s="166" t="s">
        <v>785</v>
      </c>
      <c r="F15" s="165" t="s">
        <v>809</v>
      </c>
      <c r="G15" s="155" t="str">
        <f t="shared" si="1"/>
        <v>123-○●-6794</v>
      </c>
      <c r="H15" s="167">
        <v>360600</v>
      </c>
      <c r="I15" s="158">
        <f t="shared" si="2"/>
        <v>180300</v>
      </c>
      <c r="J15" s="159"/>
    </row>
    <row r="16" spans="1:14">
      <c r="A16" s="161" t="s">
        <v>787</v>
      </c>
      <c r="B16" s="161" t="s">
        <v>822</v>
      </c>
      <c r="C16" s="155" t="str">
        <f t="shared" ref="C16:C37" si="3">IFERROR(IF(MATCH(A16, $K$3:$K$6, 0) &gt; 0, "예"), "아니오")</f>
        <v>예</v>
      </c>
      <c r="D16" s="162" t="s">
        <v>798</v>
      </c>
      <c r="E16" s="162" t="s">
        <v>799</v>
      </c>
      <c r="F16" s="161" t="s">
        <v>800</v>
      </c>
      <c r="G16" s="155" t="str">
        <f t="shared" si="1"/>
        <v/>
      </c>
      <c r="H16" s="163">
        <v>231000</v>
      </c>
      <c r="I16" s="158">
        <f t="shared" si="2"/>
        <v>0</v>
      </c>
      <c r="J16" s="159"/>
      <c r="K16" s="171" t="s">
        <v>823</v>
      </c>
    </row>
    <row r="17" spans="1:12">
      <c r="A17" s="165" t="s">
        <v>787</v>
      </c>
      <c r="B17" s="165" t="s">
        <v>822</v>
      </c>
      <c r="C17" s="155" t="str">
        <f t="shared" si="3"/>
        <v>예</v>
      </c>
      <c r="D17" s="166" t="s">
        <v>784</v>
      </c>
      <c r="E17" s="166" t="s">
        <v>785</v>
      </c>
      <c r="F17" s="165" t="s">
        <v>809</v>
      </c>
      <c r="G17" s="155" t="str">
        <f t="shared" si="1"/>
        <v>123-○●-6794</v>
      </c>
      <c r="H17" s="167">
        <v>50620</v>
      </c>
      <c r="I17" s="158">
        <f t="shared" si="2"/>
        <v>25310</v>
      </c>
      <c r="J17" s="159"/>
      <c r="K17" s="152" t="s">
        <v>824</v>
      </c>
      <c r="L17" s="153" t="s">
        <v>825</v>
      </c>
    </row>
    <row r="18" spans="1:12">
      <c r="A18" s="161" t="s">
        <v>801</v>
      </c>
      <c r="B18" s="161" t="s">
        <v>802</v>
      </c>
      <c r="C18" s="155" t="str">
        <f t="shared" si="3"/>
        <v>예</v>
      </c>
      <c r="D18" s="162" t="s">
        <v>821</v>
      </c>
      <c r="E18" s="162" t="s">
        <v>791</v>
      </c>
      <c r="F18" s="161" t="s">
        <v>803</v>
      </c>
      <c r="G18" s="155" t="str">
        <f t="shared" si="1"/>
        <v>123-○●-6792</v>
      </c>
      <c r="H18" s="163">
        <v>46360</v>
      </c>
      <c r="I18" s="158">
        <f t="shared" si="2"/>
        <v>0</v>
      </c>
      <c r="J18" s="159"/>
      <c r="K18" s="86" t="s">
        <v>826</v>
      </c>
      <c r="L18" s="172">
        <f t="array" ref="L18">LARGE(IF(($D$3:$D$37 = $L$17) * ($B$3:$B$37 = $K18), $H$3:$H$37), 1) - SMALL(IF(($D$3:$D$37 = $L$17) * ($B$3:$B$37 = $K18), $H$3:$H$37), 1)</f>
        <v>44000</v>
      </c>
    </row>
    <row r="19" spans="1:12">
      <c r="A19" s="161" t="s">
        <v>801</v>
      </c>
      <c r="B19" s="161" t="s">
        <v>802</v>
      </c>
      <c r="C19" s="155" t="str">
        <f t="shared" si="3"/>
        <v>예</v>
      </c>
      <c r="D19" s="162" t="s">
        <v>821</v>
      </c>
      <c r="E19" s="162" t="s">
        <v>791</v>
      </c>
      <c r="F19" s="161" t="s">
        <v>803</v>
      </c>
      <c r="G19" s="155" t="str">
        <f t="shared" si="1"/>
        <v>123-○●-6792</v>
      </c>
      <c r="H19" s="163">
        <v>143040</v>
      </c>
      <c r="I19" s="158">
        <f t="shared" si="2"/>
        <v>0</v>
      </c>
      <c r="J19" s="159"/>
      <c r="K19" s="86" t="s">
        <v>827</v>
      </c>
      <c r="L19" s="172">
        <f t="array" ref="L19">LARGE(IF(($D$3:$D$37 = $L$17) * ($B$3:$B$37 = $K19), $H$3:$H$37), 1) - SMALL(IF(($D$3:$D$37 = $L$17) * ($B$3:$B$37 = $K19), $H$3:$H$37), 1)</f>
        <v>309980</v>
      </c>
    </row>
    <row r="20" spans="1:12">
      <c r="A20" s="161" t="s">
        <v>801</v>
      </c>
      <c r="B20" s="161" t="s">
        <v>802</v>
      </c>
      <c r="C20" s="155" t="str">
        <f t="shared" si="3"/>
        <v>예</v>
      </c>
      <c r="D20" s="162" t="s">
        <v>821</v>
      </c>
      <c r="E20" s="162" t="s">
        <v>799</v>
      </c>
      <c r="F20" s="161" t="s">
        <v>803</v>
      </c>
      <c r="G20" s="155" t="str">
        <f t="shared" si="1"/>
        <v>123-○●-6792</v>
      </c>
      <c r="H20" s="163">
        <v>138660</v>
      </c>
      <c r="I20" s="158">
        <f t="shared" si="2"/>
        <v>0</v>
      </c>
      <c r="J20" s="159"/>
      <c r="K20" s="86" t="s">
        <v>828</v>
      </c>
      <c r="L20" s="172">
        <f t="array" ref="L20">LARGE(IF(($D$3:$D$37 = $L$17) * ($B$3:$B$37 = $K20), $H$3:$H$37), 1) - SMALL(IF(($D$3:$D$37 = $L$17) * ($B$3:$B$37 = $K20), $H$3:$H$37), 1)</f>
        <v>554100</v>
      </c>
    </row>
    <row r="21" spans="1:12">
      <c r="A21" s="161" t="s">
        <v>801</v>
      </c>
      <c r="B21" s="161" t="s">
        <v>802</v>
      </c>
      <c r="C21" s="155" t="str">
        <f t="shared" si="3"/>
        <v>예</v>
      </c>
      <c r="D21" s="162" t="s">
        <v>821</v>
      </c>
      <c r="E21" s="162" t="s">
        <v>799</v>
      </c>
      <c r="F21" s="161" t="s">
        <v>803</v>
      </c>
      <c r="G21" s="155" t="str">
        <f t="shared" si="1"/>
        <v>123-○●-6792</v>
      </c>
      <c r="H21" s="163">
        <v>239250</v>
      </c>
      <c r="I21" s="158">
        <f t="shared" si="2"/>
        <v>0</v>
      </c>
      <c r="J21" s="159"/>
      <c r="K21" s="86" t="s">
        <v>829</v>
      </c>
      <c r="L21" s="172">
        <f t="array" ref="L21">LARGE(IF(($D$3:$D$37 = $L$17) * ($B$3:$B$37 = $K21), $H$3:$H$37), 1) - SMALL(IF(($D$3:$D$37 = $L$17) * ($B$3:$B$37 = $K21), $H$3:$H$37), 1)</f>
        <v>0</v>
      </c>
    </row>
    <row r="22" spans="1:12">
      <c r="A22" s="165" t="s">
        <v>801</v>
      </c>
      <c r="B22" s="165" t="s">
        <v>802</v>
      </c>
      <c r="C22" s="155" t="str">
        <f t="shared" si="3"/>
        <v>예</v>
      </c>
      <c r="D22" s="166" t="s">
        <v>784</v>
      </c>
      <c r="E22" s="166" t="s">
        <v>785</v>
      </c>
      <c r="F22" s="165" t="s">
        <v>807</v>
      </c>
      <c r="G22" s="155" t="str">
        <f t="shared" si="1"/>
        <v>123-○●-6794</v>
      </c>
      <c r="H22" s="167">
        <v>81970</v>
      </c>
      <c r="I22" s="158">
        <f t="shared" si="2"/>
        <v>65576</v>
      </c>
      <c r="J22" s="159"/>
    </row>
    <row r="23" spans="1:12">
      <c r="A23" s="161" t="s">
        <v>795</v>
      </c>
      <c r="B23" s="161" t="s">
        <v>796</v>
      </c>
      <c r="C23" s="155" t="str">
        <f t="shared" si="3"/>
        <v>예</v>
      </c>
      <c r="D23" s="162" t="s">
        <v>790</v>
      </c>
      <c r="E23" s="162" t="s">
        <v>791</v>
      </c>
      <c r="F23" s="161" t="s">
        <v>793</v>
      </c>
      <c r="G23" s="155" t="str">
        <f t="shared" si="1"/>
        <v>123-○●-6790</v>
      </c>
      <c r="H23" s="163">
        <v>15000</v>
      </c>
      <c r="I23" s="158">
        <f t="shared" si="2"/>
        <v>0</v>
      </c>
      <c r="J23" s="159"/>
    </row>
    <row r="24" spans="1:12">
      <c r="A24" s="161" t="s">
        <v>795</v>
      </c>
      <c r="B24" s="161" t="s">
        <v>796</v>
      </c>
      <c r="C24" s="155" t="str">
        <f t="shared" si="3"/>
        <v>예</v>
      </c>
      <c r="D24" s="162" t="s">
        <v>790</v>
      </c>
      <c r="E24" s="162" t="s">
        <v>791</v>
      </c>
      <c r="F24" s="161" t="s">
        <v>830</v>
      </c>
      <c r="G24" s="155" t="str">
        <f t="shared" si="1"/>
        <v>123-○●-6791</v>
      </c>
      <c r="H24" s="163">
        <v>111980</v>
      </c>
      <c r="I24" s="158">
        <f t="shared" si="2"/>
        <v>0</v>
      </c>
      <c r="J24" s="159"/>
    </row>
    <row r="25" spans="1:12">
      <c r="A25" s="161" t="s">
        <v>795</v>
      </c>
      <c r="B25" s="161" t="s">
        <v>796</v>
      </c>
      <c r="C25" s="155" t="str">
        <f t="shared" si="3"/>
        <v>예</v>
      </c>
      <c r="D25" s="162" t="s">
        <v>790</v>
      </c>
      <c r="E25" s="162" t="s">
        <v>791</v>
      </c>
      <c r="F25" s="161" t="s">
        <v>830</v>
      </c>
      <c r="G25" s="155" t="str">
        <f t="shared" si="1"/>
        <v>123-○●-6791</v>
      </c>
      <c r="H25" s="163">
        <v>213200</v>
      </c>
      <c r="I25" s="158">
        <f t="shared" si="2"/>
        <v>0</v>
      </c>
      <c r="J25" s="159"/>
    </row>
    <row r="26" spans="1:12">
      <c r="A26" s="165" t="s">
        <v>795</v>
      </c>
      <c r="B26" s="165" t="s">
        <v>796</v>
      </c>
      <c r="C26" s="155" t="str">
        <f t="shared" si="3"/>
        <v>예</v>
      </c>
      <c r="D26" s="166" t="s">
        <v>814</v>
      </c>
      <c r="E26" s="166" t="s">
        <v>815</v>
      </c>
      <c r="F26" s="165" t="s">
        <v>816</v>
      </c>
      <c r="G26" s="155" t="str">
        <f t="shared" si="1"/>
        <v/>
      </c>
      <c r="H26" s="167">
        <v>110000</v>
      </c>
      <c r="I26" s="158">
        <f t="shared" si="2"/>
        <v>0</v>
      </c>
      <c r="J26" s="159"/>
    </row>
    <row r="27" spans="1:12">
      <c r="A27" s="165" t="s">
        <v>795</v>
      </c>
      <c r="B27" s="165" t="s">
        <v>796</v>
      </c>
      <c r="C27" s="155" t="str">
        <f t="shared" si="3"/>
        <v>예</v>
      </c>
      <c r="D27" s="166" t="s">
        <v>814</v>
      </c>
      <c r="E27" s="166" t="s">
        <v>815</v>
      </c>
      <c r="F27" s="165" t="s">
        <v>816</v>
      </c>
      <c r="G27" s="155" t="str">
        <f t="shared" si="1"/>
        <v/>
      </c>
      <c r="H27" s="167">
        <v>600000</v>
      </c>
      <c r="I27" s="158">
        <f t="shared" si="2"/>
        <v>0</v>
      </c>
      <c r="J27" s="159"/>
    </row>
    <row r="28" spans="1:12">
      <c r="A28" s="161" t="s">
        <v>795</v>
      </c>
      <c r="B28" s="161" t="s">
        <v>796</v>
      </c>
      <c r="C28" s="155" t="str">
        <f t="shared" si="3"/>
        <v>예</v>
      </c>
      <c r="D28" s="162" t="s">
        <v>798</v>
      </c>
      <c r="E28" s="162" t="s">
        <v>799</v>
      </c>
      <c r="F28" s="161" t="s">
        <v>800</v>
      </c>
      <c r="G28" s="155" t="str">
        <f t="shared" si="1"/>
        <v/>
      </c>
      <c r="H28" s="163">
        <v>62340</v>
      </c>
      <c r="I28" s="158">
        <f t="shared" si="2"/>
        <v>0</v>
      </c>
      <c r="J28" s="159"/>
    </row>
    <row r="29" spans="1:12">
      <c r="A29" s="161" t="s">
        <v>795</v>
      </c>
      <c r="B29" s="161" t="s">
        <v>796</v>
      </c>
      <c r="C29" s="155" t="str">
        <f t="shared" si="3"/>
        <v>예</v>
      </c>
      <c r="D29" s="162" t="s">
        <v>798</v>
      </c>
      <c r="E29" s="162" t="s">
        <v>799</v>
      </c>
      <c r="F29" s="161" t="s">
        <v>800</v>
      </c>
      <c r="G29" s="155" t="str">
        <f t="shared" si="1"/>
        <v/>
      </c>
      <c r="H29" s="163">
        <v>213020</v>
      </c>
      <c r="I29" s="158">
        <f t="shared" si="2"/>
        <v>0</v>
      </c>
      <c r="J29" s="159"/>
    </row>
    <row r="30" spans="1:12">
      <c r="A30" s="161" t="s">
        <v>795</v>
      </c>
      <c r="B30" s="161" t="s">
        <v>796</v>
      </c>
      <c r="C30" s="155" t="str">
        <f t="shared" si="3"/>
        <v>예</v>
      </c>
      <c r="D30" s="162" t="s">
        <v>790</v>
      </c>
      <c r="E30" s="162" t="s">
        <v>799</v>
      </c>
      <c r="F30" s="161" t="s">
        <v>830</v>
      </c>
      <c r="G30" s="155" t="str">
        <f t="shared" si="1"/>
        <v>123-○●-6791</v>
      </c>
      <c r="H30" s="163">
        <v>1925602</v>
      </c>
      <c r="I30" s="158">
        <f t="shared" si="2"/>
        <v>0</v>
      </c>
      <c r="J30" s="159"/>
    </row>
    <row r="31" spans="1:12">
      <c r="A31" s="161" t="s">
        <v>795</v>
      </c>
      <c r="B31" s="161" t="s">
        <v>796</v>
      </c>
      <c r="C31" s="155" t="str">
        <f t="shared" si="3"/>
        <v>예</v>
      </c>
      <c r="D31" s="162" t="s">
        <v>790</v>
      </c>
      <c r="E31" s="162" t="s">
        <v>799</v>
      </c>
      <c r="F31" s="161" t="s">
        <v>830</v>
      </c>
      <c r="G31" s="155" t="str">
        <f t="shared" si="1"/>
        <v>123-○●-6791</v>
      </c>
      <c r="H31" s="163">
        <v>2638488</v>
      </c>
      <c r="I31" s="158">
        <f t="shared" si="2"/>
        <v>0</v>
      </c>
      <c r="J31" s="159"/>
    </row>
    <row r="32" spans="1:12">
      <c r="A32" s="161" t="s">
        <v>795</v>
      </c>
      <c r="B32" s="161" t="s">
        <v>796</v>
      </c>
      <c r="C32" s="155" t="str">
        <f t="shared" si="3"/>
        <v>예</v>
      </c>
      <c r="D32" s="162" t="s">
        <v>790</v>
      </c>
      <c r="E32" s="162" t="s">
        <v>799</v>
      </c>
      <c r="F32" s="161" t="s">
        <v>793</v>
      </c>
      <c r="G32" s="155" t="str">
        <f t="shared" si="1"/>
        <v>123-○●-6790</v>
      </c>
      <c r="H32" s="163">
        <v>10725504</v>
      </c>
      <c r="I32" s="158">
        <f t="shared" si="2"/>
        <v>0</v>
      </c>
      <c r="J32" s="159"/>
    </row>
    <row r="33" spans="1:10">
      <c r="A33" s="161" t="s">
        <v>795</v>
      </c>
      <c r="B33" s="161" t="s">
        <v>796</v>
      </c>
      <c r="C33" s="155" t="str">
        <f t="shared" si="3"/>
        <v>예</v>
      </c>
      <c r="D33" s="162" t="s">
        <v>790</v>
      </c>
      <c r="E33" s="162" t="s">
        <v>799</v>
      </c>
      <c r="F33" s="161" t="s">
        <v>793</v>
      </c>
      <c r="G33" s="155" t="str">
        <f t="shared" si="1"/>
        <v>123-○●-6790</v>
      </c>
      <c r="H33" s="163">
        <v>12127516</v>
      </c>
      <c r="I33" s="158">
        <f t="shared" si="2"/>
        <v>0</v>
      </c>
      <c r="J33" s="159"/>
    </row>
    <row r="34" spans="1:10">
      <c r="A34" s="161" t="s">
        <v>795</v>
      </c>
      <c r="B34" s="161" t="s">
        <v>796</v>
      </c>
      <c r="C34" s="155" t="str">
        <f t="shared" si="3"/>
        <v>예</v>
      </c>
      <c r="D34" s="162" t="s">
        <v>790</v>
      </c>
      <c r="E34" s="162" t="s">
        <v>831</v>
      </c>
      <c r="F34" s="161" t="s">
        <v>793</v>
      </c>
      <c r="G34" s="155" t="str">
        <f t="shared" si="1"/>
        <v>123-○●-6790</v>
      </c>
      <c r="H34" s="163">
        <v>8000</v>
      </c>
      <c r="I34" s="158">
        <f t="shared" si="2"/>
        <v>0</v>
      </c>
      <c r="J34" s="159"/>
    </row>
    <row r="35" spans="1:10">
      <c r="A35" s="161" t="s">
        <v>795</v>
      </c>
      <c r="B35" s="161" t="s">
        <v>796</v>
      </c>
      <c r="C35" s="155" t="str">
        <f t="shared" si="3"/>
        <v>예</v>
      </c>
      <c r="D35" s="162" t="s">
        <v>790</v>
      </c>
      <c r="E35" s="162" t="s">
        <v>831</v>
      </c>
      <c r="F35" s="161" t="s">
        <v>793</v>
      </c>
      <c r="G35" s="155" t="str">
        <f t="shared" si="1"/>
        <v>123-○●-6790</v>
      </c>
      <c r="H35" s="163">
        <v>60100</v>
      </c>
      <c r="I35" s="158">
        <f t="shared" si="2"/>
        <v>0</v>
      </c>
      <c r="J35" s="159"/>
    </row>
    <row r="36" spans="1:10">
      <c r="A36" s="165" t="s">
        <v>795</v>
      </c>
      <c r="B36" s="165" t="s">
        <v>796</v>
      </c>
      <c r="C36" s="155" t="str">
        <f t="shared" si="3"/>
        <v>예</v>
      </c>
      <c r="D36" s="166" t="s">
        <v>784</v>
      </c>
      <c r="E36" s="166" t="s">
        <v>785</v>
      </c>
      <c r="F36" s="165" t="s">
        <v>832</v>
      </c>
      <c r="G36" s="155" t="str">
        <f t="shared" si="1"/>
        <v>123-○●-6793</v>
      </c>
      <c r="H36" s="167">
        <v>59400</v>
      </c>
      <c r="I36" s="158">
        <f t="shared" si="2"/>
        <v>47520</v>
      </c>
      <c r="J36" s="159"/>
    </row>
    <row r="37" spans="1:10">
      <c r="A37" s="165" t="s">
        <v>795</v>
      </c>
      <c r="B37" s="165" t="s">
        <v>796</v>
      </c>
      <c r="C37" s="155" t="str">
        <f t="shared" si="3"/>
        <v>예</v>
      </c>
      <c r="D37" s="166" t="s">
        <v>784</v>
      </c>
      <c r="E37" s="166" t="s">
        <v>785</v>
      </c>
      <c r="F37" s="165" t="s">
        <v>805</v>
      </c>
      <c r="G37" s="155" t="str">
        <f t="shared" si="1"/>
        <v>123-○●-6793</v>
      </c>
      <c r="H37" s="167">
        <v>103400</v>
      </c>
      <c r="I37" s="158">
        <f t="shared" si="2"/>
        <v>82720</v>
      </c>
      <c r="J37" s="159"/>
    </row>
  </sheetData>
  <phoneticPr fontId="4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2:O30"/>
  <sheetViews>
    <sheetView workbookViewId="0">
      <selection activeCell="L30" sqref="L30"/>
    </sheetView>
  </sheetViews>
  <sheetFormatPr defaultRowHeight="16.5"/>
  <cols>
    <col min="1" max="1" width="6.375" bestFit="1" customWidth="1"/>
    <col min="2" max="2" width="11" bestFit="1" customWidth="1"/>
    <col min="4" max="5" width="11" bestFit="1" customWidth="1"/>
    <col min="6" max="6" width="7.125" bestFit="1" customWidth="1"/>
    <col min="7" max="7" width="11" bestFit="1" customWidth="1"/>
    <col min="9" max="9" width="13" bestFit="1" customWidth="1"/>
    <col min="10" max="10" width="4.25" customWidth="1"/>
    <col min="11" max="11" width="10.875" customWidth="1"/>
    <col min="12" max="12" width="16.125" customWidth="1"/>
    <col min="13" max="13" width="9.75" bestFit="1" customWidth="1"/>
    <col min="14" max="15" width="10.875" bestFit="1" customWidth="1"/>
  </cols>
  <sheetData>
    <row r="2" spans="1:15">
      <c r="A2" t="s">
        <v>602</v>
      </c>
      <c r="K2" t="s">
        <v>603</v>
      </c>
    </row>
    <row r="3" spans="1:15">
      <c r="A3" s="92" t="s">
        <v>604</v>
      </c>
      <c r="B3" s="96" t="s">
        <v>605</v>
      </c>
      <c r="C3" s="96" t="s">
        <v>606</v>
      </c>
      <c r="D3" s="92" t="s">
        <v>607</v>
      </c>
      <c r="E3" s="96" t="s">
        <v>608</v>
      </c>
      <c r="F3" s="96" t="s">
        <v>609</v>
      </c>
      <c r="G3" s="96" t="s">
        <v>610</v>
      </c>
      <c r="H3" s="96" t="s">
        <v>611</v>
      </c>
      <c r="I3" s="92" t="s">
        <v>612</v>
      </c>
      <c r="K3" s="96" t="s">
        <v>605</v>
      </c>
      <c r="L3" s="96" t="s">
        <v>613</v>
      </c>
    </row>
    <row r="4" spans="1:15">
      <c r="A4" s="96" t="str">
        <f>CONCATENATE(VLOOKUP(B4, $K$4:$L$6, 2, FALSE), "-", ROW() - 3)</f>
        <v>SB-1</v>
      </c>
      <c r="B4" s="96" t="s">
        <v>614</v>
      </c>
      <c r="C4" s="102">
        <v>85</v>
      </c>
      <c r="D4" s="74">
        <f>INDEX($L$10:$O$12, MATCH(B4, $K$10:$K$12, 0), MATCH(C4, L$9:O$9, 1))</f>
        <v>300</v>
      </c>
      <c r="E4" s="74">
        <v>250</v>
      </c>
      <c r="F4" s="74">
        <v>5</v>
      </c>
      <c r="G4" s="74">
        <v>2</v>
      </c>
      <c r="H4" s="74">
        <v>3</v>
      </c>
      <c r="I4" s="96">
        <f>fn가산점(F4, G4, H4)</f>
        <v>23</v>
      </c>
      <c r="K4" s="103" t="s">
        <v>614</v>
      </c>
      <c r="L4" s="96" t="s">
        <v>615</v>
      </c>
    </row>
    <row r="5" spans="1:15">
      <c r="A5" s="190" t="str">
        <f t="shared" ref="A5:A30" si="0">CONCATENATE(VLOOKUP(B5, $K$4:$L$6, 2, FALSE), "-", ROW() - 3)</f>
        <v>KY-2</v>
      </c>
      <c r="B5" s="96" t="s">
        <v>616</v>
      </c>
      <c r="C5" s="102">
        <v>108</v>
      </c>
      <c r="D5" s="74">
        <f t="shared" ref="D5:D30" si="1">INDEX($L$10:$O$12, MATCH(B5, $K$10:$K$12, 0), MATCH(C5, L$9:O$9, 1))</f>
        <v>700</v>
      </c>
      <c r="E5" s="74">
        <v>800</v>
      </c>
      <c r="F5" s="74">
        <v>10</v>
      </c>
      <c r="G5" s="74">
        <v>5</v>
      </c>
      <c r="H5" s="74">
        <v>13</v>
      </c>
      <c r="I5" s="190">
        <f t="shared" ref="I5:I30" si="2">fn가산점(F5, G5, H5)</f>
        <v>58</v>
      </c>
      <c r="K5" s="103" t="s">
        <v>616</v>
      </c>
      <c r="L5" s="96" t="s">
        <v>617</v>
      </c>
    </row>
    <row r="6" spans="1:15">
      <c r="A6" s="190" t="str">
        <f t="shared" si="0"/>
        <v>KT-3</v>
      </c>
      <c r="B6" s="96" t="s">
        <v>618</v>
      </c>
      <c r="C6" s="102">
        <v>59</v>
      </c>
      <c r="D6" s="74">
        <f t="shared" si="1"/>
        <v>200</v>
      </c>
      <c r="E6" s="74">
        <v>200</v>
      </c>
      <c r="F6" s="74">
        <v>3</v>
      </c>
      <c r="G6" s="74">
        <v>4</v>
      </c>
      <c r="H6" s="74">
        <v>5</v>
      </c>
      <c r="I6" s="190">
        <f t="shared" si="2"/>
        <v>31</v>
      </c>
      <c r="K6" s="103" t="s">
        <v>618</v>
      </c>
      <c r="L6" s="96" t="s">
        <v>619</v>
      </c>
    </row>
    <row r="7" spans="1:15">
      <c r="A7" s="190" t="str">
        <f t="shared" si="0"/>
        <v>SB-4</v>
      </c>
      <c r="B7" s="96" t="s">
        <v>614</v>
      </c>
      <c r="C7" s="102">
        <v>108</v>
      </c>
      <c r="D7" s="74">
        <f t="shared" si="1"/>
        <v>1000</v>
      </c>
      <c r="E7" s="74">
        <v>1500</v>
      </c>
      <c r="F7" s="74">
        <v>20</v>
      </c>
      <c r="G7" s="74">
        <v>5</v>
      </c>
      <c r="H7" s="74">
        <v>12</v>
      </c>
      <c r="I7" s="190">
        <f t="shared" si="2"/>
        <v>77</v>
      </c>
    </row>
    <row r="8" spans="1:15">
      <c r="A8" s="190" t="str">
        <f t="shared" si="0"/>
        <v>SB-5</v>
      </c>
      <c r="B8" s="96" t="s">
        <v>614</v>
      </c>
      <c r="C8" s="102">
        <v>98</v>
      </c>
      <c r="D8" s="74">
        <f t="shared" si="1"/>
        <v>600</v>
      </c>
      <c r="E8" s="74">
        <v>550</v>
      </c>
      <c r="F8" s="74">
        <v>8</v>
      </c>
      <c r="G8" s="74">
        <v>2</v>
      </c>
      <c r="H8" s="74">
        <v>5</v>
      </c>
      <c r="I8" s="190">
        <f t="shared" si="2"/>
        <v>31</v>
      </c>
      <c r="K8" t="s">
        <v>620</v>
      </c>
    </row>
    <row r="9" spans="1:15">
      <c r="A9" s="190" t="str">
        <f t="shared" si="0"/>
        <v>KY-6</v>
      </c>
      <c r="B9" s="96" t="s">
        <v>616</v>
      </c>
      <c r="C9" s="102">
        <v>98</v>
      </c>
      <c r="D9" s="74">
        <f t="shared" si="1"/>
        <v>400</v>
      </c>
      <c r="E9" s="74">
        <v>400</v>
      </c>
      <c r="F9" s="74">
        <v>13</v>
      </c>
      <c r="G9" s="74">
        <v>1</v>
      </c>
      <c r="H9" s="74">
        <v>3</v>
      </c>
      <c r="I9" s="190">
        <f t="shared" si="2"/>
        <v>34</v>
      </c>
      <c r="K9" s="96" t="s">
        <v>605</v>
      </c>
      <c r="L9" s="104">
        <v>50</v>
      </c>
      <c r="M9" s="104">
        <v>86</v>
      </c>
      <c r="N9" s="104">
        <v>103</v>
      </c>
      <c r="O9" s="105">
        <v>136</v>
      </c>
    </row>
    <row r="10" spans="1:15">
      <c r="A10" s="190" t="str">
        <f t="shared" si="0"/>
        <v>KY-7</v>
      </c>
      <c r="B10" s="96" t="s">
        <v>621</v>
      </c>
      <c r="C10" s="102">
        <v>50</v>
      </c>
      <c r="D10" s="74">
        <f t="shared" si="1"/>
        <v>250</v>
      </c>
      <c r="E10" s="74">
        <v>300</v>
      </c>
      <c r="F10" s="74">
        <v>5</v>
      </c>
      <c r="G10" s="74">
        <v>2</v>
      </c>
      <c r="H10" s="74">
        <v>5</v>
      </c>
      <c r="I10" s="190">
        <f t="shared" si="2"/>
        <v>25</v>
      </c>
      <c r="K10" s="74" t="s">
        <v>622</v>
      </c>
      <c r="L10" s="74">
        <v>300</v>
      </c>
      <c r="M10" s="74">
        <v>600</v>
      </c>
      <c r="N10" s="74">
        <v>1000</v>
      </c>
      <c r="O10" s="106">
        <v>1500</v>
      </c>
    </row>
    <row r="11" spans="1:15">
      <c r="A11" s="190" t="str">
        <f t="shared" si="0"/>
        <v>KT-8</v>
      </c>
      <c r="B11" s="96" t="s">
        <v>623</v>
      </c>
      <c r="C11" s="102">
        <v>98</v>
      </c>
      <c r="D11" s="74">
        <f t="shared" si="1"/>
        <v>300</v>
      </c>
      <c r="E11" s="74">
        <v>250</v>
      </c>
      <c r="F11" s="74">
        <v>9</v>
      </c>
      <c r="G11" s="74">
        <v>3</v>
      </c>
      <c r="H11" s="74">
        <v>5</v>
      </c>
      <c r="I11" s="190">
        <f t="shared" si="2"/>
        <v>38</v>
      </c>
      <c r="K11" s="74" t="s">
        <v>624</v>
      </c>
      <c r="L11" s="74">
        <v>250</v>
      </c>
      <c r="M11" s="74">
        <v>400</v>
      </c>
      <c r="N11" s="74">
        <v>700</v>
      </c>
      <c r="O11" s="106">
        <v>1000</v>
      </c>
    </row>
    <row r="12" spans="1:15">
      <c r="A12" s="190" t="str">
        <f t="shared" si="0"/>
        <v>KT-9</v>
      </c>
      <c r="B12" s="96" t="s">
        <v>623</v>
      </c>
      <c r="C12" s="102">
        <v>69</v>
      </c>
      <c r="D12" s="74">
        <f t="shared" si="1"/>
        <v>200</v>
      </c>
      <c r="E12" s="74">
        <v>350</v>
      </c>
      <c r="F12" s="74">
        <v>4</v>
      </c>
      <c r="G12" s="74">
        <v>4</v>
      </c>
      <c r="H12" s="74">
        <v>12</v>
      </c>
      <c r="I12" s="190">
        <f t="shared" si="2"/>
        <v>40</v>
      </c>
      <c r="K12" s="74" t="s">
        <v>623</v>
      </c>
      <c r="L12" s="74">
        <v>200</v>
      </c>
      <c r="M12" s="74">
        <v>300</v>
      </c>
      <c r="N12" s="74">
        <v>400</v>
      </c>
      <c r="O12" s="106">
        <v>500</v>
      </c>
    </row>
    <row r="13" spans="1:15">
      <c r="A13" s="190" t="str">
        <f t="shared" si="0"/>
        <v>KY-10</v>
      </c>
      <c r="B13" s="96" t="s">
        <v>624</v>
      </c>
      <c r="C13" s="102">
        <v>59</v>
      </c>
      <c r="D13" s="74">
        <f t="shared" si="1"/>
        <v>250</v>
      </c>
      <c r="E13" s="74">
        <v>300</v>
      </c>
      <c r="F13" s="74">
        <v>3</v>
      </c>
      <c r="G13" s="74">
        <v>2</v>
      </c>
      <c r="H13" s="74">
        <v>5</v>
      </c>
      <c r="I13" s="190">
        <f t="shared" si="2"/>
        <v>21</v>
      </c>
    </row>
    <row r="14" spans="1:15">
      <c r="A14" s="190" t="str">
        <f t="shared" si="0"/>
        <v>KT-11</v>
      </c>
      <c r="B14" s="96" t="s">
        <v>625</v>
      </c>
      <c r="C14" s="102">
        <v>84</v>
      </c>
      <c r="D14" s="74">
        <f t="shared" si="1"/>
        <v>200</v>
      </c>
      <c r="E14" s="74">
        <v>100</v>
      </c>
      <c r="F14" s="74">
        <v>12</v>
      </c>
      <c r="G14" s="74">
        <v>1</v>
      </c>
      <c r="H14" s="74">
        <v>1</v>
      </c>
      <c r="I14" s="190" t="str">
        <f t="shared" si="2"/>
        <v>가입기간미달</v>
      </c>
      <c r="K14" t="s">
        <v>626</v>
      </c>
    </row>
    <row r="15" spans="1:15">
      <c r="A15" s="190" t="str">
        <f t="shared" si="0"/>
        <v>SB-12</v>
      </c>
      <c r="B15" s="96" t="s">
        <v>627</v>
      </c>
      <c r="C15" s="102">
        <v>151</v>
      </c>
      <c r="D15" s="74">
        <f t="shared" si="1"/>
        <v>1500</v>
      </c>
      <c r="E15" s="74">
        <v>2000</v>
      </c>
      <c r="F15" s="74">
        <v>8</v>
      </c>
      <c r="G15" s="74">
        <v>3</v>
      </c>
      <c r="H15" s="74">
        <v>5</v>
      </c>
      <c r="I15" s="190">
        <f t="shared" si="2"/>
        <v>36</v>
      </c>
      <c r="K15" s="96" t="s">
        <v>628</v>
      </c>
      <c r="L15" s="107" t="s">
        <v>629</v>
      </c>
    </row>
    <row r="16" spans="1:15">
      <c r="A16" s="190" t="str">
        <f t="shared" si="0"/>
        <v>KY-13</v>
      </c>
      <c r="B16" s="96" t="s">
        <v>624</v>
      </c>
      <c r="C16" s="102">
        <v>104</v>
      </c>
      <c r="D16" s="74">
        <f t="shared" si="1"/>
        <v>700</v>
      </c>
      <c r="E16" s="74">
        <v>500</v>
      </c>
      <c r="F16" s="74">
        <v>2</v>
      </c>
      <c r="G16" s="74">
        <v>2</v>
      </c>
      <c r="H16" s="74">
        <v>5</v>
      </c>
      <c r="I16" s="190">
        <f t="shared" si="2"/>
        <v>19</v>
      </c>
      <c r="K16" s="74" t="s">
        <v>627</v>
      </c>
      <c r="L16" s="74" t="str">
        <f t="array" ref="L16">REPT("■", AVERAGE(IF(($B$4:$B$30 = $K16), $F$4:$F$30)))</f>
        <v>■■■■■■■■</v>
      </c>
    </row>
    <row r="17" spans="1:13">
      <c r="A17" s="190" t="str">
        <f t="shared" si="0"/>
        <v>SB-14</v>
      </c>
      <c r="B17" s="96" t="s">
        <v>630</v>
      </c>
      <c r="C17" s="102">
        <v>105</v>
      </c>
      <c r="D17" s="74">
        <f t="shared" si="1"/>
        <v>1000</v>
      </c>
      <c r="E17" s="74">
        <v>800</v>
      </c>
      <c r="F17" s="74">
        <v>8</v>
      </c>
      <c r="G17" s="74">
        <v>2</v>
      </c>
      <c r="H17" s="74">
        <v>10</v>
      </c>
      <c r="I17" s="190">
        <f t="shared" si="2"/>
        <v>36</v>
      </c>
      <c r="K17" s="74" t="s">
        <v>631</v>
      </c>
      <c r="L17" s="74" t="str">
        <f t="array" ref="L17">REPT("■", AVERAGE(IF(($B$4:$B$30 = $K17), $F$4:$F$30)))</f>
        <v>■■■■■■</v>
      </c>
    </row>
    <row r="18" spans="1:13">
      <c r="A18" s="190" t="str">
        <f t="shared" si="0"/>
        <v>KT-15</v>
      </c>
      <c r="B18" s="96" t="s">
        <v>623</v>
      </c>
      <c r="C18" s="102">
        <v>98</v>
      </c>
      <c r="D18" s="74">
        <f t="shared" si="1"/>
        <v>300</v>
      </c>
      <c r="E18" s="74">
        <v>250</v>
      </c>
      <c r="F18" s="74">
        <v>3</v>
      </c>
      <c r="G18" s="74">
        <v>1</v>
      </c>
      <c r="H18" s="74">
        <v>8</v>
      </c>
      <c r="I18" s="190">
        <f t="shared" si="2"/>
        <v>19</v>
      </c>
      <c r="K18" s="74" t="s">
        <v>623</v>
      </c>
      <c r="L18" s="74" t="str">
        <f t="array" ref="L18">REPT("■", AVERAGE(IF(($B$4:$B$30 = $K18), $F$4:$F$30)))</f>
        <v>■■■■■■■</v>
      </c>
    </row>
    <row r="19" spans="1:13">
      <c r="A19" s="190" t="str">
        <f t="shared" si="0"/>
        <v>SB-16</v>
      </c>
      <c r="B19" s="96" t="s">
        <v>627</v>
      </c>
      <c r="C19" s="102">
        <v>69</v>
      </c>
      <c r="D19" s="74">
        <f t="shared" si="1"/>
        <v>300</v>
      </c>
      <c r="E19" s="74">
        <v>450</v>
      </c>
      <c r="F19" s="74">
        <v>2</v>
      </c>
      <c r="G19" s="74">
        <v>5</v>
      </c>
      <c r="H19" s="74">
        <v>3</v>
      </c>
      <c r="I19" s="190">
        <f t="shared" si="2"/>
        <v>32</v>
      </c>
    </row>
    <row r="20" spans="1:13">
      <c r="A20" s="190" t="str">
        <f t="shared" si="0"/>
        <v>SB-17</v>
      </c>
      <c r="B20" s="96" t="s">
        <v>627</v>
      </c>
      <c r="C20" s="102">
        <v>105</v>
      </c>
      <c r="D20" s="74">
        <f t="shared" si="1"/>
        <v>1000</v>
      </c>
      <c r="E20" s="74">
        <v>1500</v>
      </c>
      <c r="F20" s="74">
        <v>20</v>
      </c>
      <c r="G20" s="74">
        <v>3</v>
      </c>
      <c r="H20" s="74">
        <v>11</v>
      </c>
      <c r="I20" s="190">
        <f t="shared" si="2"/>
        <v>66</v>
      </c>
      <c r="K20" t="s">
        <v>632</v>
      </c>
    </row>
    <row r="21" spans="1:13">
      <c r="A21" s="190" t="str">
        <f t="shared" si="0"/>
        <v>KT-18</v>
      </c>
      <c r="B21" s="96" t="s">
        <v>623</v>
      </c>
      <c r="C21" s="102">
        <v>113</v>
      </c>
      <c r="D21" s="74">
        <f t="shared" si="1"/>
        <v>400</v>
      </c>
      <c r="E21" s="74">
        <v>500</v>
      </c>
      <c r="F21" s="74">
        <v>9</v>
      </c>
      <c r="G21" s="74">
        <v>2</v>
      </c>
      <c r="H21" s="74">
        <v>5</v>
      </c>
      <c r="I21" s="190">
        <f t="shared" si="2"/>
        <v>33</v>
      </c>
      <c r="K21" s="202" t="s">
        <v>633</v>
      </c>
      <c r="L21" s="202"/>
      <c r="M21" s="92" t="s">
        <v>634</v>
      </c>
    </row>
    <row r="22" spans="1:13">
      <c r="A22" s="190" t="str">
        <f t="shared" si="0"/>
        <v>SB-19</v>
      </c>
      <c r="B22" s="96" t="s">
        <v>627</v>
      </c>
      <c r="C22" s="102">
        <v>98</v>
      </c>
      <c r="D22" s="74">
        <f t="shared" si="1"/>
        <v>600</v>
      </c>
      <c r="E22" s="74">
        <v>500</v>
      </c>
      <c r="F22" s="74">
        <v>11</v>
      </c>
      <c r="G22" s="74">
        <v>5</v>
      </c>
      <c r="H22" s="74">
        <v>13</v>
      </c>
      <c r="I22" s="190">
        <f t="shared" si="2"/>
        <v>60</v>
      </c>
      <c r="K22" s="108">
        <v>0</v>
      </c>
      <c r="L22" s="96">
        <v>200</v>
      </c>
      <c r="M22" s="109">
        <f t="array" ref="M22:M26">FREQUENCY($E$4:$E$30,$L$22:$L$26)/COUNT($E$4:$E$30)*100</f>
        <v>7.4074074074074066</v>
      </c>
    </row>
    <row r="23" spans="1:13">
      <c r="A23" s="190" t="str">
        <f t="shared" si="0"/>
        <v>KY-20</v>
      </c>
      <c r="B23" s="96" t="s">
        <v>635</v>
      </c>
      <c r="C23" s="102">
        <v>98</v>
      </c>
      <c r="D23" s="74">
        <f t="shared" si="1"/>
        <v>400</v>
      </c>
      <c r="E23" s="74">
        <v>300</v>
      </c>
      <c r="F23" s="74">
        <v>5</v>
      </c>
      <c r="G23" s="74">
        <v>1</v>
      </c>
      <c r="H23" s="74">
        <v>6</v>
      </c>
      <c r="I23" s="190">
        <f t="shared" si="2"/>
        <v>21</v>
      </c>
      <c r="K23" s="108">
        <v>201</v>
      </c>
      <c r="L23" s="96">
        <v>400</v>
      </c>
      <c r="M23" s="109">
        <v>40.74074074074074</v>
      </c>
    </row>
    <row r="24" spans="1:13">
      <c r="A24" s="190" t="str">
        <f t="shared" si="0"/>
        <v>KT-21</v>
      </c>
      <c r="B24" s="96" t="s">
        <v>636</v>
      </c>
      <c r="C24" s="102">
        <v>50</v>
      </c>
      <c r="D24" s="74">
        <f t="shared" si="1"/>
        <v>200</v>
      </c>
      <c r="E24" s="74">
        <v>350</v>
      </c>
      <c r="F24" s="74">
        <v>5</v>
      </c>
      <c r="G24" s="74">
        <v>3</v>
      </c>
      <c r="H24" s="74">
        <v>5</v>
      </c>
      <c r="I24" s="190">
        <f t="shared" si="2"/>
        <v>30</v>
      </c>
      <c r="K24" s="108">
        <v>401</v>
      </c>
      <c r="L24" s="96">
        <v>600</v>
      </c>
      <c r="M24" s="109">
        <v>25.925925925925924</v>
      </c>
    </row>
    <row r="25" spans="1:13">
      <c r="A25" s="190" t="str">
        <f t="shared" si="0"/>
        <v>SB-22</v>
      </c>
      <c r="B25" s="96" t="s">
        <v>637</v>
      </c>
      <c r="C25" s="102">
        <v>108</v>
      </c>
      <c r="D25" s="74">
        <f t="shared" si="1"/>
        <v>1000</v>
      </c>
      <c r="E25" s="74">
        <v>1200</v>
      </c>
      <c r="F25" s="74">
        <v>6</v>
      </c>
      <c r="G25" s="74">
        <v>4</v>
      </c>
      <c r="H25" s="74">
        <v>8</v>
      </c>
      <c r="I25" s="190">
        <f t="shared" si="2"/>
        <v>40</v>
      </c>
      <c r="K25" s="108">
        <v>601</v>
      </c>
      <c r="L25" s="96">
        <v>1000</v>
      </c>
      <c r="M25" s="109">
        <v>11.111111111111111</v>
      </c>
    </row>
    <row r="26" spans="1:13">
      <c r="A26" s="190" t="str">
        <f t="shared" si="0"/>
        <v>KY-23</v>
      </c>
      <c r="B26" s="96" t="s">
        <v>635</v>
      </c>
      <c r="C26" s="102">
        <v>105</v>
      </c>
      <c r="D26" s="74">
        <f t="shared" si="1"/>
        <v>700</v>
      </c>
      <c r="E26" s="74">
        <v>800</v>
      </c>
      <c r="F26" s="74">
        <v>5</v>
      </c>
      <c r="G26" s="74">
        <v>2</v>
      </c>
      <c r="H26" s="74">
        <v>1</v>
      </c>
      <c r="I26" s="190" t="str">
        <f t="shared" si="2"/>
        <v>가입기간미달</v>
      </c>
      <c r="K26" s="108">
        <v>1001</v>
      </c>
      <c r="L26" s="77">
        <v>3000</v>
      </c>
      <c r="M26" s="109">
        <v>14.814814814814813</v>
      </c>
    </row>
    <row r="27" spans="1:13">
      <c r="A27" s="190" t="str">
        <f t="shared" si="0"/>
        <v>KT-24</v>
      </c>
      <c r="B27" s="96" t="s">
        <v>636</v>
      </c>
      <c r="C27" s="102">
        <v>69</v>
      </c>
      <c r="D27" s="74">
        <f t="shared" si="1"/>
        <v>200</v>
      </c>
      <c r="E27" s="74">
        <v>300</v>
      </c>
      <c r="F27" s="74">
        <v>13</v>
      </c>
      <c r="G27" s="74">
        <v>2</v>
      </c>
      <c r="H27" s="74">
        <v>2</v>
      </c>
      <c r="I27" s="190">
        <f t="shared" si="2"/>
        <v>38</v>
      </c>
    </row>
    <row r="28" spans="1:13">
      <c r="A28" s="190" t="str">
        <f t="shared" si="0"/>
        <v>SB-25</v>
      </c>
      <c r="B28" s="96" t="s">
        <v>637</v>
      </c>
      <c r="C28" s="102">
        <v>98</v>
      </c>
      <c r="D28" s="74">
        <f t="shared" si="1"/>
        <v>600</v>
      </c>
      <c r="E28" s="74">
        <v>500</v>
      </c>
      <c r="F28" s="74">
        <v>1</v>
      </c>
      <c r="G28" s="74">
        <v>1</v>
      </c>
      <c r="H28" s="74">
        <v>5</v>
      </c>
      <c r="I28" s="190">
        <f t="shared" si="2"/>
        <v>12</v>
      </c>
    </row>
    <row r="29" spans="1:13">
      <c r="A29" s="190" t="str">
        <f t="shared" si="0"/>
        <v>KY-26</v>
      </c>
      <c r="B29" s="96" t="s">
        <v>635</v>
      </c>
      <c r="C29" s="102">
        <v>69</v>
      </c>
      <c r="D29" s="74">
        <f t="shared" si="1"/>
        <v>250</v>
      </c>
      <c r="E29" s="74">
        <v>300</v>
      </c>
      <c r="F29" s="74">
        <v>8</v>
      </c>
      <c r="G29" s="74">
        <v>3</v>
      </c>
      <c r="H29" s="74">
        <v>9</v>
      </c>
      <c r="I29" s="190">
        <f t="shared" si="2"/>
        <v>40</v>
      </c>
    </row>
    <row r="30" spans="1:13">
      <c r="A30" s="190" t="str">
        <f t="shared" si="0"/>
        <v>KY-27</v>
      </c>
      <c r="B30" s="96" t="s">
        <v>635</v>
      </c>
      <c r="C30" s="102">
        <v>105</v>
      </c>
      <c r="D30" s="74">
        <f t="shared" si="1"/>
        <v>700</v>
      </c>
      <c r="E30" s="74">
        <v>600</v>
      </c>
      <c r="F30" s="74">
        <v>9</v>
      </c>
      <c r="G30" s="74">
        <v>2</v>
      </c>
      <c r="H30" s="74">
        <v>5</v>
      </c>
      <c r="I30" s="190">
        <f t="shared" si="2"/>
        <v>33</v>
      </c>
    </row>
  </sheetData>
  <mergeCells count="1">
    <mergeCell ref="K21:L21"/>
  </mergeCells>
  <phoneticPr fontId="4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B1:P50"/>
  <sheetViews>
    <sheetView workbookViewId="0">
      <selection activeCell="O16" sqref="O16"/>
    </sheetView>
  </sheetViews>
  <sheetFormatPr defaultRowHeight="16.5"/>
  <cols>
    <col min="1" max="1" width="1.875" style="110" customWidth="1"/>
    <col min="2" max="2" width="7.125" style="110" bestFit="1" customWidth="1"/>
    <col min="3" max="3" width="9.875" style="110" bestFit="1" customWidth="1"/>
    <col min="4" max="4" width="7.875" style="110" bestFit="1" customWidth="1"/>
    <col min="5" max="6" width="7.25" style="110" customWidth="1"/>
    <col min="7" max="7" width="11" style="110" bestFit="1" customWidth="1"/>
    <col min="8" max="10" width="9" style="110" bestFit="1" customWidth="1"/>
    <col min="11" max="11" width="4.375" style="110" customWidth="1"/>
    <col min="12" max="12" width="10" style="110" customWidth="1"/>
    <col min="13" max="15" width="8" style="110" customWidth="1"/>
    <col min="16" max="16" width="14.375" style="110" bestFit="1" customWidth="1"/>
    <col min="17" max="16384" width="9" style="110"/>
  </cols>
  <sheetData>
    <row r="1" spans="2:16">
      <c r="B1" s="110" t="s">
        <v>638</v>
      </c>
      <c r="L1" s="110" t="s">
        <v>639</v>
      </c>
    </row>
    <row r="2" spans="2:16">
      <c r="B2" s="76" t="s">
        <v>640</v>
      </c>
      <c r="C2" s="76" t="s">
        <v>641</v>
      </c>
      <c r="D2" s="92" t="s">
        <v>642</v>
      </c>
      <c r="E2" s="76" t="s">
        <v>643</v>
      </c>
      <c r="F2" s="76" t="s">
        <v>644</v>
      </c>
      <c r="G2" s="76" t="s">
        <v>645</v>
      </c>
      <c r="H2" s="76" t="s">
        <v>646</v>
      </c>
      <c r="I2" s="92" t="s">
        <v>647</v>
      </c>
      <c r="J2" s="92" t="s">
        <v>648</v>
      </c>
      <c r="L2" s="76" t="s">
        <v>645</v>
      </c>
      <c r="M2" s="76" t="s">
        <v>649</v>
      </c>
      <c r="N2" s="76" t="s">
        <v>650</v>
      </c>
      <c r="O2" s="76" t="s">
        <v>651</v>
      </c>
    </row>
    <row r="3" spans="2:16">
      <c r="B3" s="76" t="s">
        <v>652</v>
      </c>
      <c r="C3" s="76" t="s">
        <v>653</v>
      </c>
      <c r="D3" s="111" t="str">
        <f>CONCATENATE(VALUE(MID(C3,3,3)),"-",VALUE(MID(C3,6,3)))</f>
        <v>9-21</v>
      </c>
      <c r="E3" s="76" t="s">
        <v>649</v>
      </c>
      <c r="F3" s="76" t="s">
        <v>654</v>
      </c>
      <c r="G3" s="76" t="s">
        <v>655</v>
      </c>
      <c r="H3" s="112">
        <v>100</v>
      </c>
      <c r="I3" s="112">
        <f>H3 * VLOOKUP(G3, $L$3:$O$7, MATCH(E3, M$2:O$2, 0) + 1, FALSE)</f>
        <v>35</v>
      </c>
      <c r="J3" s="106" t="str">
        <f>fn기타(I3)</f>
        <v>■■■</v>
      </c>
      <c r="L3" s="76" t="s">
        <v>655</v>
      </c>
      <c r="M3" s="113">
        <f>70%/2</f>
        <v>0.35</v>
      </c>
      <c r="N3" s="113">
        <v>0.3</v>
      </c>
      <c r="O3" s="113">
        <v>0.3</v>
      </c>
    </row>
    <row r="4" spans="2:16">
      <c r="B4" s="76" t="s">
        <v>656</v>
      </c>
      <c r="C4" s="76" t="s">
        <v>657</v>
      </c>
      <c r="D4" s="111" t="str">
        <f t="shared" ref="D4:D31" si="0">CONCATENATE(VALUE(MID(C4,3,3)),"-",VALUE(MID(C4,6,3)))</f>
        <v>9-21</v>
      </c>
      <c r="E4" s="76" t="s">
        <v>658</v>
      </c>
      <c r="F4" s="76" t="s">
        <v>659</v>
      </c>
      <c r="G4" s="76" t="s">
        <v>660</v>
      </c>
      <c r="H4" s="112">
        <v>64</v>
      </c>
      <c r="I4" s="112">
        <f t="shared" ref="I4:I31" si="1">H4 * VLOOKUP(G4, $L$3:$O$7, MATCH(E4, M$2:O$2, 0) + 1, FALSE)</f>
        <v>19.2</v>
      </c>
      <c r="J4" s="106" t="str">
        <f t="shared" ref="J4:J31" si="2">fn기타(I4)</f>
        <v>■</v>
      </c>
      <c r="L4" s="76" t="s">
        <v>661</v>
      </c>
      <c r="M4" s="113">
        <f>70%/2</f>
        <v>0.35</v>
      </c>
      <c r="N4" s="113">
        <v>0.3</v>
      </c>
      <c r="O4" s="113">
        <v>0.3</v>
      </c>
    </row>
    <row r="5" spans="2:16">
      <c r="B5" s="76" t="s">
        <v>652</v>
      </c>
      <c r="C5" s="76" t="s">
        <v>653</v>
      </c>
      <c r="D5" s="111" t="str">
        <f t="shared" si="0"/>
        <v>9-21</v>
      </c>
      <c r="E5" s="5" t="s">
        <v>651</v>
      </c>
      <c r="F5" s="76" t="s">
        <v>662</v>
      </c>
      <c r="G5" s="76" t="s">
        <v>663</v>
      </c>
      <c r="H5" s="112">
        <v>76</v>
      </c>
      <c r="I5" s="112">
        <f t="shared" si="1"/>
        <v>15.200000000000001</v>
      </c>
      <c r="J5" s="106" t="str">
        <f t="shared" si="2"/>
        <v>■</v>
      </c>
      <c r="L5" s="76" t="s">
        <v>664</v>
      </c>
      <c r="M5" s="113"/>
      <c r="N5" s="113">
        <v>0.3</v>
      </c>
      <c r="O5" s="113"/>
    </row>
    <row r="6" spans="2:16">
      <c r="B6" s="76" t="s">
        <v>652</v>
      </c>
      <c r="C6" s="76" t="s">
        <v>653</v>
      </c>
      <c r="D6" s="111" t="str">
        <f t="shared" si="0"/>
        <v>9-21</v>
      </c>
      <c r="E6" s="5" t="s">
        <v>649</v>
      </c>
      <c r="F6" s="76" t="s">
        <v>662</v>
      </c>
      <c r="G6" s="76" t="s">
        <v>665</v>
      </c>
      <c r="H6" s="112">
        <v>92</v>
      </c>
      <c r="I6" s="112">
        <f t="shared" si="1"/>
        <v>18.400000000000002</v>
      </c>
      <c r="J6" s="106" t="str">
        <f t="shared" si="2"/>
        <v>■</v>
      </c>
      <c r="L6" s="76" t="s">
        <v>663</v>
      </c>
      <c r="M6" s="113">
        <v>0.1</v>
      </c>
      <c r="N6" s="113">
        <v>0.1</v>
      </c>
      <c r="O6" s="113">
        <v>0.2</v>
      </c>
    </row>
    <row r="7" spans="2:16">
      <c r="B7" s="76" t="s">
        <v>652</v>
      </c>
      <c r="C7" s="76" t="s">
        <v>653</v>
      </c>
      <c r="D7" s="111" t="str">
        <f t="shared" si="0"/>
        <v>9-21</v>
      </c>
      <c r="E7" s="76" t="s">
        <v>666</v>
      </c>
      <c r="F7" s="76" t="s">
        <v>667</v>
      </c>
      <c r="G7" s="76" t="s">
        <v>668</v>
      </c>
      <c r="H7" s="112">
        <v>96</v>
      </c>
      <c r="I7" s="112">
        <f t="shared" si="1"/>
        <v>28.799999999999997</v>
      </c>
      <c r="J7" s="106" t="str">
        <f t="shared" si="2"/>
        <v>■■</v>
      </c>
      <c r="L7" s="76" t="s">
        <v>669</v>
      </c>
      <c r="M7" s="113">
        <v>0.2</v>
      </c>
      <c r="N7" s="113"/>
      <c r="O7" s="113">
        <v>0.2</v>
      </c>
    </row>
    <row r="8" spans="2:16">
      <c r="B8" s="76" t="s">
        <v>670</v>
      </c>
      <c r="C8" s="76" t="s">
        <v>671</v>
      </c>
      <c r="D8" s="111" t="str">
        <f t="shared" si="0"/>
        <v>12-19</v>
      </c>
      <c r="E8" s="5" t="s">
        <v>650</v>
      </c>
      <c r="F8" s="76" t="s">
        <v>654</v>
      </c>
      <c r="G8" s="76" t="s">
        <v>672</v>
      </c>
      <c r="H8" s="112">
        <v>84</v>
      </c>
      <c r="I8" s="112">
        <f t="shared" si="1"/>
        <v>25.2</v>
      </c>
      <c r="J8" s="106" t="str">
        <f t="shared" si="2"/>
        <v>■■</v>
      </c>
      <c r="M8" s="114"/>
      <c r="N8" s="114"/>
      <c r="O8" s="114"/>
    </row>
    <row r="9" spans="2:16">
      <c r="B9" s="76" t="s">
        <v>673</v>
      </c>
      <c r="C9" s="76" t="s">
        <v>674</v>
      </c>
      <c r="D9" s="111" t="str">
        <f t="shared" si="0"/>
        <v>12-19</v>
      </c>
      <c r="E9" s="76" t="s">
        <v>650</v>
      </c>
      <c r="F9" s="76" t="s">
        <v>662</v>
      </c>
      <c r="G9" s="76" t="s">
        <v>664</v>
      </c>
      <c r="H9" s="112">
        <v>100</v>
      </c>
      <c r="I9" s="112">
        <f t="shared" si="1"/>
        <v>30</v>
      </c>
      <c r="J9" s="106" t="str">
        <f t="shared" si="2"/>
        <v>■■■</v>
      </c>
      <c r="L9" s="115" t="s">
        <v>675</v>
      </c>
    </row>
    <row r="10" spans="2:16">
      <c r="B10" s="76" t="s">
        <v>673</v>
      </c>
      <c r="C10" s="76" t="s">
        <v>674</v>
      </c>
      <c r="D10" s="111" t="str">
        <f t="shared" si="0"/>
        <v>12-19</v>
      </c>
      <c r="E10" s="5" t="s">
        <v>666</v>
      </c>
      <c r="F10" s="76" t="s">
        <v>659</v>
      </c>
      <c r="G10" s="76" t="s">
        <v>676</v>
      </c>
      <c r="H10" s="112">
        <v>96</v>
      </c>
      <c r="I10" s="112">
        <f t="shared" si="1"/>
        <v>19.200000000000003</v>
      </c>
      <c r="J10" s="106" t="str">
        <f t="shared" si="2"/>
        <v>■</v>
      </c>
      <c r="L10" s="76" t="s">
        <v>376</v>
      </c>
      <c r="M10" s="92" t="s">
        <v>677</v>
      </c>
      <c r="N10" s="92" t="s">
        <v>658</v>
      </c>
      <c r="O10" s="92" t="s">
        <v>666</v>
      </c>
      <c r="P10" s="92" t="s">
        <v>678</v>
      </c>
    </row>
    <row r="11" spans="2:16">
      <c r="B11" s="76" t="s">
        <v>670</v>
      </c>
      <c r="C11" s="76" t="s">
        <v>671</v>
      </c>
      <c r="D11" s="111" t="str">
        <f t="shared" si="0"/>
        <v>12-19</v>
      </c>
      <c r="E11" s="76" t="s">
        <v>651</v>
      </c>
      <c r="F11" s="76" t="s">
        <v>662</v>
      </c>
      <c r="G11" s="76" t="s">
        <v>665</v>
      </c>
      <c r="H11" s="112">
        <v>80</v>
      </c>
      <c r="I11" s="112">
        <f t="shared" si="1"/>
        <v>16</v>
      </c>
      <c r="J11" s="106" t="str">
        <f t="shared" si="2"/>
        <v>■</v>
      </c>
      <c r="L11" s="76" t="s">
        <v>654</v>
      </c>
      <c r="M11" s="106">
        <f t="array" ref="M11">SUM(IF(($F$3:$F$31=$L11)*($E$3:$E$31=M$10),$H$3:$H$31))</f>
        <v>376</v>
      </c>
      <c r="N11" s="106">
        <f t="array" ref="N11">SUM(IF(($F$3:$F$31=$L11)*($E$3:$E$31=N$10),$H$3:$H$31))</f>
        <v>236</v>
      </c>
      <c r="O11" s="106">
        <f t="array" ref="O11">SUM(IF(($F$3:$F$31=$L11)*($E$3:$E$31=O$10),$H$3:$H$31))</f>
        <v>432</v>
      </c>
      <c r="P11" s="76" t="str">
        <f t="array" ref="P11">TEXT(AVERAGE(IF($F$3:$F$31=$L11,$H$3:$H$31)),"00.0") &amp; TEXT(_xlfn.STDEV.S(IF($F$3:$F$31 = $L11, $H$3:$H$31)), "(0.0)")</f>
        <v>87.0(9.4)</v>
      </c>
    </row>
    <row r="12" spans="2:16">
      <c r="B12" s="76" t="s">
        <v>673</v>
      </c>
      <c r="C12" s="76" t="s">
        <v>674</v>
      </c>
      <c r="D12" s="111" t="str">
        <f t="shared" si="0"/>
        <v>12-19</v>
      </c>
      <c r="E12" s="5" t="s">
        <v>649</v>
      </c>
      <c r="F12" s="76" t="s">
        <v>654</v>
      </c>
      <c r="G12" s="76" t="s">
        <v>655</v>
      </c>
      <c r="H12" s="112">
        <v>88</v>
      </c>
      <c r="I12" s="112">
        <f t="shared" si="1"/>
        <v>30.799999999999997</v>
      </c>
      <c r="J12" s="106" t="str">
        <f t="shared" si="2"/>
        <v>■■■</v>
      </c>
      <c r="L12" s="76" t="s">
        <v>662</v>
      </c>
      <c r="M12" s="106">
        <f t="array" ref="M12">SUM(IF(($F$3:$F$31=$L12)*($E$3:$E$31=M$10),$H$3:$H$31))</f>
        <v>448</v>
      </c>
      <c r="N12" s="106">
        <f t="array" ref="N12">SUM(IF(($F$3:$F$31=$L12)*($E$3:$E$31=N$10),$H$3:$H$31))</f>
        <v>480</v>
      </c>
      <c r="O12" s="106">
        <f t="array" ref="O12">SUM(IF(($F$3:$F$31=$L12)*($E$3:$E$31=O$10),$H$3:$H$31))</f>
        <v>480</v>
      </c>
      <c r="P12" s="76" t="str">
        <f t="array" ref="P12">TEXT(AVERAGE(IF($F$3:$F$31=$L12,$H$3:$H$31)),"00.0") &amp; TEXT(_xlfn.STDEV.S(IF($F$3:$F$31 = $L12, $H$3:$H$31)), "(0.0)")</f>
        <v>82.8(13.5)</v>
      </c>
    </row>
    <row r="13" spans="2:16">
      <c r="B13" s="76" t="s">
        <v>673</v>
      </c>
      <c r="C13" s="76" t="s">
        <v>674</v>
      </c>
      <c r="D13" s="111" t="str">
        <f t="shared" si="0"/>
        <v>12-19</v>
      </c>
      <c r="E13" s="76" t="s">
        <v>651</v>
      </c>
      <c r="F13" s="76" t="s">
        <v>654</v>
      </c>
      <c r="G13" s="76" t="s">
        <v>655</v>
      </c>
      <c r="H13" s="112">
        <v>92</v>
      </c>
      <c r="I13" s="112">
        <f t="shared" si="1"/>
        <v>27.599999999999998</v>
      </c>
      <c r="J13" s="106" t="str">
        <f t="shared" si="2"/>
        <v>■■</v>
      </c>
    </row>
    <row r="14" spans="2:16">
      <c r="B14" s="76" t="s">
        <v>679</v>
      </c>
      <c r="C14" s="76" t="s">
        <v>680</v>
      </c>
      <c r="D14" s="111" t="str">
        <f t="shared" si="0"/>
        <v>10-3</v>
      </c>
      <c r="E14" s="76" t="s">
        <v>677</v>
      </c>
      <c r="F14" s="76" t="s">
        <v>667</v>
      </c>
      <c r="G14" s="76" t="s">
        <v>661</v>
      </c>
      <c r="H14" s="112">
        <v>88</v>
      </c>
      <c r="I14" s="112">
        <f t="shared" si="1"/>
        <v>30.799999999999997</v>
      </c>
      <c r="J14" s="106" t="str">
        <f t="shared" si="2"/>
        <v>■■■</v>
      </c>
    </row>
    <row r="15" spans="2:16">
      <c r="B15" s="76" t="s">
        <v>681</v>
      </c>
      <c r="C15" s="76" t="s">
        <v>682</v>
      </c>
      <c r="D15" s="111" t="str">
        <f t="shared" si="0"/>
        <v>10-3</v>
      </c>
      <c r="E15" s="5" t="s">
        <v>650</v>
      </c>
      <c r="F15" s="76" t="s">
        <v>662</v>
      </c>
      <c r="G15" s="76" t="s">
        <v>663</v>
      </c>
      <c r="H15" s="112">
        <v>72</v>
      </c>
      <c r="I15" s="112">
        <f t="shared" si="1"/>
        <v>7.2</v>
      </c>
      <c r="J15" s="106" t="str">
        <f t="shared" si="2"/>
        <v>노력요함</v>
      </c>
    </row>
    <row r="16" spans="2:16">
      <c r="B16" s="76" t="s">
        <v>679</v>
      </c>
      <c r="C16" s="76" t="s">
        <v>680</v>
      </c>
      <c r="D16" s="111" t="str">
        <f t="shared" si="0"/>
        <v>10-3</v>
      </c>
      <c r="E16" s="5" t="s">
        <v>666</v>
      </c>
      <c r="F16" s="76" t="s">
        <v>659</v>
      </c>
      <c r="G16" s="76" t="s">
        <v>669</v>
      </c>
      <c r="H16" s="112">
        <v>68</v>
      </c>
      <c r="I16" s="112">
        <f t="shared" si="1"/>
        <v>13.600000000000001</v>
      </c>
      <c r="J16" s="106" t="str">
        <f t="shared" si="2"/>
        <v>■</v>
      </c>
    </row>
    <row r="17" spans="2:10">
      <c r="B17" s="76" t="s">
        <v>681</v>
      </c>
      <c r="C17" s="76" t="s">
        <v>682</v>
      </c>
      <c r="D17" s="111" t="str">
        <f t="shared" si="0"/>
        <v>10-3</v>
      </c>
      <c r="E17" s="5" t="s">
        <v>650</v>
      </c>
      <c r="F17" s="76" t="s">
        <v>662</v>
      </c>
      <c r="G17" s="76" t="s">
        <v>664</v>
      </c>
      <c r="H17" s="112">
        <v>88</v>
      </c>
      <c r="I17" s="112">
        <f t="shared" si="1"/>
        <v>26.4</v>
      </c>
      <c r="J17" s="106" t="str">
        <f t="shared" si="2"/>
        <v>■■</v>
      </c>
    </row>
    <row r="18" spans="2:10">
      <c r="B18" s="76" t="s">
        <v>679</v>
      </c>
      <c r="C18" s="76" t="s">
        <v>680</v>
      </c>
      <c r="D18" s="111" t="str">
        <f t="shared" si="0"/>
        <v>10-3</v>
      </c>
      <c r="E18" s="5" t="s">
        <v>649</v>
      </c>
      <c r="F18" s="76" t="s">
        <v>662</v>
      </c>
      <c r="G18" s="76" t="s">
        <v>663</v>
      </c>
      <c r="H18" s="112">
        <v>64</v>
      </c>
      <c r="I18" s="112">
        <f t="shared" si="1"/>
        <v>6.4</v>
      </c>
      <c r="J18" s="106" t="str">
        <f t="shared" si="2"/>
        <v>노력요함</v>
      </c>
    </row>
    <row r="19" spans="2:10">
      <c r="B19" s="76" t="s">
        <v>679</v>
      </c>
      <c r="C19" s="76" t="s">
        <v>680</v>
      </c>
      <c r="D19" s="111" t="str">
        <f t="shared" si="0"/>
        <v>10-3</v>
      </c>
      <c r="E19" s="5" t="s">
        <v>651</v>
      </c>
      <c r="F19" s="76" t="s">
        <v>654</v>
      </c>
      <c r="G19" s="76" t="s">
        <v>655</v>
      </c>
      <c r="H19" s="112">
        <v>84</v>
      </c>
      <c r="I19" s="112">
        <f t="shared" si="1"/>
        <v>25.2</v>
      </c>
      <c r="J19" s="106" t="str">
        <f t="shared" si="2"/>
        <v>■■</v>
      </c>
    </row>
    <row r="20" spans="2:10">
      <c r="B20" s="76" t="s">
        <v>683</v>
      </c>
      <c r="C20" s="76" t="s">
        <v>684</v>
      </c>
      <c r="D20" s="111" t="str">
        <f t="shared" si="0"/>
        <v>7-29</v>
      </c>
      <c r="E20" s="5" t="s">
        <v>666</v>
      </c>
      <c r="F20" s="76" t="s">
        <v>667</v>
      </c>
      <c r="G20" s="76" t="s">
        <v>661</v>
      </c>
      <c r="H20" s="112">
        <v>88</v>
      </c>
      <c r="I20" s="112">
        <f t="shared" si="1"/>
        <v>26.4</v>
      </c>
      <c r="J20" s="106" t="str">
        <f t="shared" si="2"/>
        <v>■■</v>
      </c>
    </row>
    <row r="21" spans="2:10">
      <c r="B21" s="76" t="s">
        <v>685</v>
      </c>
      <c r="C21" s="76" t="s">
        <v>686</v>
      </c>
      <c r="D21" s="111" t="str">
        <f t="shared" si="0"/>
        <v>7-29</v>
      </c>
      <c r="E21" s="76" t="s">
        <v>650</v>
      </c>
      <c r="F21" s="76" t="s">
        <v>654</v>
      </c>
      <c r="G21" s="76" t="s">
        <v>655</v>
      </c>
      <c r="H21" s="112">
        <v>72</v>
      </c>
      <c r="I21" s="112">
        <f t="shared" si="1"/>
        <v>21.599999999999998</v>
      </c>
      <c r="J21" s="106" t="str">
        <f t="shared" si="2"/>
        <v>■■</v>
      </c>
    </row>
    <row r="22" spans="2:10">
      <c r="B22" s="76" t="s">
        <v>683</v>
      </c>
      <c r="C22" s="76" t="s">
        <v>684</v>
      </c>
      <c r="D22" s="111" t="str">
        <f t="shared" si="0"/>
        <v>7-29</v>
      </c>
      <c r="E22" s="5" t="s">
        <v>649</v>
      </c>
      <c r="F22" s="76" t="s">
        <v>662</v>
      </c>
      <c r="G22" s="76" t="s">
        <v>663</v>
      </c>
      <c r="H22" s="112">
        <v>92</v>
      </c>
      <c r="I22" s="112">
        <f t="shared" si="1"/>
        <v>9.2000000000000011</v>
      </c>
      <c r="J22" s="106" t="str">
        <f t="shared" si="2"/>
        <v>노력요함</v>
      </c>
    </row>
    <row r="23" spans="2:10">
      <c r="B23" s="76" t="s">
        <v>683</v>
      </c>
      <c r="C23" s="76" t="s">
        <v>684</v>
      </c>
      <c r="D23" s="111" t="str">
        <f t="shared" si="0"/>
        <v>7-29</v>
      </c>
      <c r="E23" s="5" t="s">
        <v>649</v>
      </c>
      <c r="F23" s="76" t="s">
        <v>654</v>
      </c>
      <c r="G23" s="76" t="s">
        <v>672</v>
      </c>
      <c r="H23" s="112">
        <v>100</v>
      </c>
      <c r="I23" s="112">
        <f t="shared" si="1"/>
        <v>35</v>
      </c>
      <c r="J23" s="106" t="str">
        <f t="shared" si="2"/>
        <v>■■■</v>
      </c>
    </row>
    <row r="24" spans="2:10">
      <c r="B24" s="76" t="s">
        <v>683</v>
      </c>
      <c r="C24" s="76" t="s">
        <v>684</v>
      </c>
      <c r="D24" s="111" t="str">
        <f t="shared" si="0"/>
        <v>7-29</v>
      </c>
      <c r="E24" s="5" t="s">
        <v>658</v>
      </c>
      <c r="F24" s="76" t="s">
        <v>659</v>
      </c>
      <c r="G24" s="76" t="s">
        <v>660</v>
      </c>
      <c r="H24" s="112">
        <v>64</v>
      </c>
      <c r="I24" s="112">
        <f t="shared" si="1"/>
        <v>19.2</v>
      </c>
      <c r="J24" s="106" t="str">
        <f t="shared" si="2"/>
        <v>■</v>
      </c>
    </row>
    <row r="25" spans="2:10">
      <c r="B25" s="76" t="s">
        <v>685</v>
      </c>
      <c r="C25" s="76" t="s">
        <v>686</v>
      </c>
      <c r="D25" s="111" t="str">
        <f t="shared" si="0"/>
        <v>7-29</v>
      </c>
      <c r="E25" s="76" t="s">
        <v>651</v>
      </c>
      <c r="F25" s="76" t="s">
        <v>662</v>
      </c>
      <c r="G25" s="76" t="s">
        <v>665</v>
      </c>
      <c r="H25" s="112">
        <v>88</v>
      </c>
      <c r="I25" s="112">
        <f t="shared" si="1"/>
        <v>17.600000000000001</v>
      </c>
      <c r="J25" s="106" t="str">
        <f t="shared" si="2"/>
        <v>■</v>
      </c>
    </row>
    <row r="26" spans="2:10">
      <c r="B26" s="76" t="s">
        <v>687</v>
      </c>
      <c r="C26" s="76" t="s">
        <v>688</v>
      </c>
      <c r="D26" s="111" t="str">
        <f t="shared" si="0"/>
        <v>13-31</v>
      </c>
      <c r="E26" s="76" t="s">
        <v>649</v>
      </c>
      <c r="F26" s="76" t="s">
        <v>662</v>
      </c>
      <c r="G26" s="76" t="s">
        <v>663</v>
      </c>
      <c r="H26" s="112">
        <v>100</v>
      </c>
      <c r="I26" s="112">
        <f t="shared" si="1"/>
        <v>10</v>
      </c>
      <c r="J26" s="106" t="str">
        <f t="shared" si="2"/>
        <v>■</v>
      </c>
    </row>
    <row r="27" spans="2:10">
      <c r="B27" s="76" t="s">
        <v>687</v>
      </c>
      <c r="C27" s="76" t="s">
        <v>688</v>
      </c>
      <c r="D27" s="111" t="str">
        <f t="shared" si="0"/>
        <v>13-31</v>
      </c>
      <c r="E27" s="76" t="s">
        <v>650</v>
      </c>
      <c r="F27" s="76" t="s">
        <v>654</v>
      </c>
      <c r="G27" s="76" t="s">
        <v>655</v>
      </c>
      <c r="H27" s="112">
        <v>80</v>
      </c>
      <c r="I27" s="112">
        <f t="shared" si="1"/>
        <v>24</v>
      </c>
      <c r="J27" s="106" t="str">
        <f t="shared" si="2"/>
        <v>■■</v>
      </c>
    </row>
    <row r="28" spans="2:10">
      <c r="B28" s="76" t="s">
        <v>687</v>
      </c>
      <c r="C28" s="76" t="s">
        <v>688</v>
      </c>
      <c r="D28" s="111" t="str">
        <f t="shared" si="0"/>
        <v>13-31</v>
      </c>
      <c r="E28" s="76" t="s">
        <v>666</v>
      </c>
      <c r="F28" s="76" t="s">
        <v>659</v>
      </c>
      <c r="G28" s="76" t="s">
        <v>669</v>
      </c>
      <c r="H28" s="112">
        <v>72</v>
      </c>
      <c r="I28" s="112">
        <f t="shared" si="1"/>
        <v>14.4</v>
      </c>
      <c r="J28" s="106" t="str">
        <f t="shared" si="2"/>
        <v>■</v>
      </c>
    </row>
    <row r="29" spans="2:10">
      <c r="B29" s="76" t="s">
        <v>689</v>
      </c>
      <c r="C29" s="76" t="s">
        <v>690</v>
      </c>
      <c r="D29" s="111" t="str">
        <f t="shared" si="0"/>
        <v>13-31</v>
      </c>
      <c r="E29" s="76" t="s">
        <v>650</v>
      </c>
      <c r="F29" s="76" t="s">
        <v>662</v>
      </c>
      <c r="G29" s="76" t="s">
        <v>664</v>
      </c>
      <c r="H29" s="112">
        <v>92</v>
      </c>
      <c r="I29" s="112">
        <f t="shared" si="1"/>
        <v>27.599999999999998</v>
      </c>
      <c r="J29" s="106" t="str">
        <f t="shared" si="2"/>
        <v>■■</v>
      </c>
    </row>
    <row r="30" spans="2:10">
      <c r="B30" s="76" t="s">
        <v>687</v>
      </c>
      <c r="C30" s="76" t="s">
        <v>688</v>
      </c>
      <c r="D30" s="111" t="str">
        <f t="shared" si="0"/>
        <v>13-31</v>
      </c>
      <c r="E30" s="76" t="s">
        <v>651</v>
      </c>
      <c r="F30" s="76" t="s">
        <v>654</v>
      </c>
      <c r="G30" s="76" t="s">
        <v>672</v>
      </c>
      <c r="H30" s="112">
        <v>72</v>
      </c>
      <c r="I30" s="112">
        <f t="shared" si="1"/>
        <v>21.599999999999998</v>
      </c>
      <c r="J30" s="106" t="str">
        <f t="shared" si="2"/>
        <v>■■</v>
      </c>
    </row>
    <row r="31" spans="2:10">
      <c r="B31" s="76" t="s">
        <v>687</v>
      </c>
      <c r="C31" s="76" t="s">
        <v>688</v>
      </c>
      <c r="D31" s="111" t="str">
        <f t="shared" si="0"/>
        <v>13-31</v>
      </c>
      <c r="E31" s="76" t="s">
        <v>649</v>
      </c>
      <c r="F31" s="76" t="s">
        <v>662</v>
      </c>
      <c r="G31" s="76" t="s">
        <v>665</v>
      </c>
      <c r="H31" s="112">
        <v>100</v>
      </c>
      <c r="I31" s="112">
        <f t="shared" si="1"/>
        <v>20</v>
      </c>
      <c r="J31" s="106" t="str">
        <f t="shared" si="2"/>
        <v>■■</v>
      </c>
    </row>
    <row r="32" spans="2:10">
      <c r="C32" s="116"/>
    </row>
    <row r="33" spans="3:5">
      <c r="C33" s="116"/>
    </row>
    <row r="34" spans="3:5">
      <c r="C34" s="116"/>
    </row>
    <row r="35" spans="3:5">
      <c r="C35" s="116"/>
    </row>
    <row r="36" spans="3:5">
      <c r="C36" s="116"/>
      <c r="E36" s="115"/>
    </row>
    <row r="37" spans="3:5">
      <c r="E37" s="115"/>
    </row>
    <row r="38" spans="3:5">
      <c r="E38" s="115"/>
    </row>
    <row r="39" spans="3:5">
      <c r="E39" s="50"/>
    </row>
    <row r="40" spans="3:5">
      <c r="E40" s="50"/>
    </row>
    <row r="41" spans="3:5">
      <c r="E41" s="50"/>
    </row>
    <row r="42" spans="3:5">
      <c r="E42" s="50"/>
    </row>
    <row r="43" spans="3:5">
      <c r="E43" s="50"/>
    </row>
    <row r="44" spans="3:5">
      <c r="E44" s="50"/>
    </row>
    <row r="45" spans="3:5">
      <c r="E45" s="115"/>
    </row>
    <row r="46" spans="3:5">
      <c r="E46" s="115"/>
    </row>
    <row r="47" spans="3:5">
      <c r="E47" s="115"/>
    </row>
    <row r="48" spans="3:5">
      <c r="E48" s="50"/>
    </row>
    <row r="49" spans="5:5">
      <c r="E49" s="50"/>
    </row>
    <row r="50" spans="5:5">
      <c r="E50" s="50"/>
    </row>
  </sheetData>
  <phoneticPr fontId="4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B1:M58"/>
  <sheetViews>
    <sheetView workbookViewId="0">
      <selection activeCell="L36" sqref="L36"/>
    </sheetView>
  </sheetViews>
  <sheetFormatPr defaultRowHeight="16.5"/>
  <cols>
    <col min="1" max="1" width="1.875" customWidth="1"/>
    <col min="2" max="2" width="7.375" customWidth="1"/>
    <col min="3" max="4" width="9" bestFit="1" customWidth="1"/>
    <col min="5" max="5" width="7.125" bestFit="1" customWidth="1"/>
    <col min="6" max="7" width="6.5" customWidth="1"/>
    <col min="8" max="8" width="13" bestFit="1" customWidth="1"/>
    <col min="9" max="9" width="11" bestFit="1" customWidth="1"/>
    <col min="11" max="11" width="11" bestFit="1" customWidth="1"/>
    <col min="12" max="12" width="34.25" bestFit="1" customWidth="1"/>
  </cols>
  <sheetData>
    <row r="1" spans="2:13">
      <c r="B1" t="s">
        <v>691</v>
      </c>
    </row>
    <row r="2" spans="2:13">
      <c r="B2" s="96" t="s">
        <v>692</v>
      </c>
      <c r="C2" s="92" t="s">
        <v>693</v>
      </c>
      <c r="D2" s="96" t="s">
        <v>694</v>
      </c>
      <c r="E2" s="96" t="s">
        <v>695</v>
      </c>
      <c r="F2" s="96" t="s">
        <v>696</v>
      </c>
      <c r="G2" s="96" t="s">
        <v>697</v>
      </c>
      <c r="H2" s="92" t="s">
        <v>698</v>
      </c>
      <c r="I2" s="96" t="s">
        <v>699</v>
      </c>
      <c r="J2" s="96" t="s">
        <v>700</v>
      </c>
      <c r="K2" s="96" t="s">
        <v>701</v>
      </c>
      <c r="L2" s="92" t="s">
        <v>702</v>
      </c>
      <c r="M2" s="92" t="s">
        <v>703</v>
      </c>
    </row>
    <row r="3" spans="2:13">
      <c r="B3" s="96" t="s">
        <v>704</v>
      </c>
      <c r="C3" s="117" t="str">
        <f>REPLACE(B3, 2, 0, "-" &amp; RIGHT(D3, 2) &amp; "-")</f>
        <v>S-15-001</v>
      </c>
      <c r="D3" s="117">
        <v>2015</v>
      </c>
      <c r="E3" s="96" t="s">
        <v>705</v>
      </c>
      <c r="F3" s="96" t="s">
        <v>706</v>
      </c>
      <c r="G3" s="96" t="s">
        <v>707</v>
      </c>
      <c r="H3" s="118">
        <f>HLOOKUP(F3, $B$33:$E$35, MATCH(G3, {"영어","수학"}, -1) + 1)</f>
        <v>0.25</v>
      </c>
      <c r="I3" s="74">
        <v>6</v>
      </c>
      <c r="J3" s="74">
        <v>120</v>
      </c>
      <c r="K3" s="74">
        <v>8</v>
      </c>
      <c r="L3" s="74" t="str">
        <f t="shared" ref="L3" si="0">IFERROR(REPT("■", (I3 / K3) * 10) &amp; TEXT(I3 / K3, "0.0%"), "신생강의")</f>
        <v>■■■■■■■75.0%</v>
      </c>
      <c r="M3" s="119" t="str">
        <f>fn비고_2(I3, J3)</f>
        <v/>
      </c>
    </row>
    <row r="4" spans="2:13">
      <c r="B4" s="96" t="s">
        <v>708</v>
      </c>
      <c r="C4" s="117" t="str">
        <f t="shared" ref="C4:C30" si="1">REPLACE(B4, 2, 0, "-" &amp; RIGHT(D4, 2) &amp; "-")</f>
        <v>S-15-002</v>
      </c>
      <c r="D4" s="96">
        <v>2015</v>
      </c>
      <c r="E4" s="96" t="s">
        <v>709</v>
      </c>
      <c r="F4" s="96" t="s">
        <v>710</v>
      </c>
      <c r="G4" s="96" t="s">
        <v>711</v>
      </c>
      <c r="H4" s="118">
        <f>HLOOKUP(F4, $B$33:$E$35, MATCH(G4, {"영어","수학"}, -1) + 1)</f>
        <v>0.05</v>
      </c>
      <c r="I4" s="74">
        <v>1</v>
      </c>
      <c r="J4" s="74">
        <v>15</v>
      </c>
      <c r="K4" s="74"/>
      <c r="L4" s="74" t="str">
        <f>IFERROR(REPT("■", (I4 / K4) * 10) &amp; TEXT(I4 / K4, "0.0%"), "신생강의")</f>
        <v>신생강의</v>
      </c>
      <c r="M4" s="119" t="str">
        <f t="shared" ref="M4:M30" si="2">fn비고_2(I4, J4)</f>
        <v/>
      </c>
    </row>
    <row r="5" spans="2:13">
      <c r="B5" s="96" t="s">
        <v>712</v>
      </c>
      <c r="C5" s="117" t="str">
        <f t="shared" si="1"/>
        <v>S-15-003</v>
      </c>
      <c r="D5" s="96">
        <v>2015</v>
      </c>
      <c r="E5" s="96" t="s">
        <v>713</v>
      </c>
      <c r="F5" s="96" t="s">
        <v>706</v>
      </c>
      <c r="G5" s="96" t="s">
        <v>714</v>
      </c>
      <c r="H5" s="118">
        <f>HLOOKUP(F5, $B$33:$E$35, MATCH(G5, {"영어","수학"}, -1) + 1)</f>
        <v>0.25</v>
      </c>
      <c r="I5" s="74">
        <v>4</v>
      </c>
      <c r="J5" s="74">
        <v>230</v>
      </c>
      <c r="K5" s="74">
        <v>3</v>
      </c>
      <c r="L5" s="74" t="str">
        <f t="shared" ref="L5:L30" si="3">IFERROR(REPT("■", (I5 / K5) * 10) &amp; TEXT(I5 / K5, "0.0%"), "신생강의")</f>
        <v>■■■■■■■■■■■■■133.3%</v>
      </c>
      <c r="M5" s="119" t="str">
        <f t="shared" si="2"/>
        <v>강의추가</v>
      </c>
    </row>
    <row r="6" spans="2:13">
      <c r="B6" s="96" t="s">
        <v>715</v>
      </c>
      <c r="C6" s="117" t="str">
        <f t="shared" si="1"/>
        <v>S-15-004</v>
      </c>
      <c r="D6" s="96">
        <v>2015</v>
      </c>
      <c r="E6" s="2" t="s">
        <v>716</v>
      </c>
      <c r="F6" s="96" t="s">
        <v>710</v>
      </c>
      <c r="G6" s="96" t="s">
        <v>707</v>
      </c>
      <c r="H6" s="118">
        <f>HLOOKUP(F6, $B$33:$E$35, MATCH(G6, {"영어","수학"}, -1) + 1)</f>
        <v>0.1</v>
      </c>
      <c r="I6" s="74">
        <v>8</v>
      </c>
      <c r="J6" s="74">
        <v>131</v>
      </c>
      <c r="K6" s="74">
        <v>9</v>
      </c>
      <c r="L6" s="74" t="str">
        <f t="shared" si="3"/>
        <v>■■■■■■■■88.9%</v>
      </c>
      <c r="M6" s="119" t="str">
        <f t="shared" si="2"/>
        <v/>
      </c>
    </row>
    <row r="7" spans="2:13">
      <c r="B7" s="96" t="s">
        <v>717</v>
      </c>
      <c r="C7" s="117" t="str">
        <f t="shared" si="1"/>
        <v>S-15-005</v>
      </c>
      <c r="D7" s="96">
        <v>2015</v>
      </c>
      <c r="E7" s="2" t="s">
        <v>718</v>
      </c>
      <c r="F7" s="96" t="s">
        <v>719</v>
      </c>
      <c r="G7" s="96" t="s">
        <v>711</v>
      </c>
      <c r="H7" s="118">
        <f>HLOOKUP(F7, $B$33:$E$35, MATCH(G7, {"영어","수학"}, -1) + 1)</f>
        <v>0.1</v>
      </c>
      <c r="I7" s="74">
        <v>5</v>
      </c>
      <c r="J7" s="74">
        <v>155</v>
      </c>
      <c r="K7" s="74">
        <v>7</v>
      </c>
      <c r="L7" s="74" t="str">
        <f t="shared" si="3"/>
        <v>■■■■■■■71.4%</v>
      </c>
      <c r="M7" s="119" t="str">
        <f t="shared" si="2"/>
        <v>강의추가</v>
      </c>
    </row>
    <row r="8" spans="2:13">
      <c r="B8" s="96" t="s">
        <v>720</v>
      </c>
      <c r="C8" s="117" t="str">
        <f t="shared" si="1"/>
        <v>S-15-006</v>
      </c>
      <c r="D8" s="96">
        <v>2015</v>
      </c>
      <c r="E8" s="96" t="s">
        <v>721</v>
      </c>
      <c r="F8" s="96" t="s">
        <v>719</v>
      </c>
      <c r="G8" s="96" t="s">
        <v>707</v>
      </c>
      <c r="H8" s="118">
        <f>HLOOKUP(F8, $B$33:$E$35, MATCH(G8, {"영어","수학"}, -1) + 1)</f>
        <v>0.2</v>
      </c>
      <c r="I8" s="74">
        <v>5</v>
      </c>
      <c r="J8" s="74">
        <v>75</v>
      </c>
      <c r="K8" s="74">
        <v>6</v>
      </c>
      <c r="L8" s="74" t="str">
        <f t="shared" si="3"/>
        <v>■■■■■■■■83.3%</v>
      </c>
      <c r="M8" s="119" t="str">
        <f t="shared" si="2"/>
        <v/>
      </c>
    </row>
    <row r="9" spans="2:13">
      <c r="B9" s="96" t="s">
        <v>722</v>
      </c>
      <c r="C9" s="117" t="str">
        <f t="shared" si="1"/>
        <v>S-15-007</v>
      </c>
      <c r="D9" s="96">
        <v>2015</v>
      </c>
      <c r="E9" s="2" t="s">
        <v>716</v>
      </c>
      <c r="F9" s="96" t="s">
        <v>719</v>
      </c>
      <c r="G9" s="96" t="s">
        <v>707</v>
      </c>
      <c r="H9" s="118">
        <f>HLOOKUP(F9, $B$33:$E$35, MATCH(G9, {"영어","수학"}, -1) + 1)</f>
        <v>0.2</v>
      </c>
      <c r="I9" s="74">
        <v>6</v>
      </c>
      <c r="J9" s="74">
        <v>229</v>
      </c>
      <c r="K9" s="74">
        <v>5</v>
      </c>
      <c r="L9" s="74" t="str">
        <f t="shared" si="3"/>
        <v>■■■■■■■■■■■■120.0%</v>
      </c>
      <c r="M9" s="119" t="str">
        <f t="shared" si="2"/>
        <v>강의추가</v>
      </c>
    </row>
    <row r="10" spans="2:13">
      <c r="B10" s="96" t="s">
        <v>723</v>
      </c>
      <c r="C10" s="117" t="str">
        <f t="shared" si="1"/>
        <v>S-15-008</v>
      </c>
      <c r="D10" s="96">
        <v>2015</v>
      </c>
      <c r="E10" s="96" t="s">
        <v>713</v>
      </c>
      <c r="F10" s="96" t="s">
        <v>710</v>
      </c>
      <c r="G10" s="96" t="s">
        <v>707</v>
      </c>
      <c r="H10" s="118">
        <f>HLOOKUP(F10, $B$33:$E$35, MATCH(G10, {"영어","수학"}, -1) + 1)</f>
        <v>0.1</v>
      </c>
      <c r="I10" s="74">
        <v>5</v>
      </c>
      <c r="J10" s="74">
        <v>89</v>
      </c>
      <c r="K10" s="74">
        <v>7</v>
      </c>
      <c r="L10" s="74" t="str">
        <f t="shared" si="3"/>
        <v>■■■■■■■71.4%</v>
      </c>
      <c r="M10" s="119" t="str">
        <f t="shared" si="2"/>
        <v/>
      </c>
    </row>
    <row r="11" spans="2:13">
      <c r="B11" s="96" t="s">
        <v>724</v>
      </c>
      <c r="C11" s="117" t="str">
        <f t="shared" si="1"/>
        <v>S-15-009</v>
      </c>
      <c r="D11" s="96">
        <v>2015</v>
      </c>
      <c r="E11" s="2" t="s">
        <v>725</v>
      </c>
      <c r="F11" s="96" t="s">
        <v>710</v>
      </c>
      <c r="G11" s="96" t="s">
        <v>714</v>
      </c>
      <c r="H11" s="118">
        <f>HLOOKUP(F11, $B$33:$E$35, MATCH(G11, {"영어","수학"}, -1) + 1)</f>
        <v>0.1</v>
      </c>
      <c r="I11" s="74">
        <v>3</v>
      </c>
      <c r="J11" s="74">
        <v>49</v>
      </c>
      <c r="K11" s="74">
        <v>5</v>
      </c>
      <c r="L11" s="74" t="str">
        <f t="shared" si="3"/>
        <v>■■■■■■60.0%</v>
      </c>
      <c r="M11" s="119" t="str">
        <f t="shared" si="2"/>
        <v/>
      </c>
    </row>
    <row r="12" spans="2:13">
      <c r="B12" s="96" t="s">
        <v>726</v>
      </c>
      <c r="C12" s="117" t="str">
        <f t="shared" si="1"/>
        <v>S-15-010</v>
      </c>
      <c r="D12" s="96">
        <v>2015</v>
      </c>
      <c r="E12" s="96" t="s">
        <v>721</v>
      </c>
      <c r="F12" s="96" t="s">
        <v>710</v>
      </c>
      <c r="G12" s="96" t="s">
        <v>707</v>
      </c>
      <c r="H12" s="118">
        <f>HLOOKUP(F12, $B$33:$E$35, MATCH(G12, {"영어","수학"}, -1) + 1)</f>
        <v>0.1</v>
      </c>
      <c r="I12" s="74">
        <v>2</v>
      </c>
      <c r="J12" s="74">
        <v>50</v>
      </c>
      <c r="K12" s="74"/>
      <c r="L12" s="74" t="str">
        <f t="shared" si="3"/>
        <v>신생강의</v>
      </c>
      <c r="M12" s="119" t="str">
        <f t="shared" si="2"/>
        <v/>
      </c>
    </row>
    <row r="13" spans="2:13">
      <c r="B13" s="96" t="s">
        <v>727</v>
      </c>
      <c r="C13" s="117" t="str">
        <f t="shared" si="1"/>
        <v>S-15-011</v>
      </c>
      <c r="D13" s="96">
        <v>2015</v>
      </c>
      <c r="E13" s="2" t="s">
        <v>728</v>
      </c>
      <c r="F13" s="96" t="s">
        <v>719</v>
      </c>
      <c r="G13" s="96" t="s">
        <v>714</v>
      </c>
      <c r="H13" s="118">
        <f>HLOOKUP(F13, $B$33:$E$35, MATCH(G13, {"영어","수학"}, -1) + 1)</f>
        <v>0.2</v>
      </c>
      <c r="I13" s="74">
        <v>4</v>
      </c>
      <c r="J13" s="74">
        <v>70</v>
      </c>
      <c r="K13" s="74">
        <v>3</v>
      </c>
      <c r="L13" s="74" t="str">
        <f t="shared" si="3"/>
        <v>■■■■■■■■■■■■■133.3%</v>
      </c>
      <c r="M13" s="119" t="str">
        <f t="shared" si="2"/>
        <v/>
      </c>
    </row>
    <row r="14" spans="2:13">
      <c r="B14" s="96" t="s">
        <v>729</v>
      </c>
      <c r="C14" s="117" t="str">
        <f t="shared" si="1"/>
        <v>S-15-012</v>
      </c>
      <c r="D14" s="96">
        <v>2015</v>
      </c>
      <c r="E14" s="96" t="s">
        <v>730</v>
      </c>
      <c r="F14" s="96" t="s">
        <v>706</v>
      </c>
      <c r="G14" s="96" t="s">
        <v>711</v>
      </c>
      <c r="H14" s="118">
        <f>HLOOKUP(F14, $B$33:$E$35, MATCH(G14, {"영어","수학"}, -1) + 1)</f>
        <v>0.15</v>
      </c>
      <c r="I14" s="74">
        <v>3</v>
      </c>
      <c r="J14" s="74">
        <v>42</v>
      </c>
      <c r="K14" s="74">
        <v>6</v>
      </c>
      <c r="L14" s="74" t="str">
        <f t="shared" si="3"/>
        <v>■■■■■50.0%</v>
      </c>
      <c r="M14" s="119" t="str">
        <f t="shared" si="2"/>
        <v>강의축소</v>
      </c>
    </row>
    <row r="15" spans="2:13">
      <c r="B15" s="96" t="s">
        <v>731</v>
      </c>
      <c r="C15" s="117" t="str">
        <f t="shared" si="1"/>
        <v>S-15-013</v>
      </c>
      <c r="D15" s="96">
        <v>2015</v>
      </c>
      <c r="E15" s="96" t="s">
        <v>709</v>
      </c>
      <c r="F15" s="96" t="s">
        <v>706</v>
      </c>
      <c r="G15" s="96" t="s">
        <v>711</v>
      </c>
      <c r="H15" s="118">
        <f>HLOOKUP(F15, $B$33:$E$35, MATCH(G15, {"영어","수학"}, -1) + 1)</f>
        <v>0.15</v>
      </c>
      <c r="I15" s="74">
        <v>2</v>
      </c>
      <c r="J15" s="74">
        <v>32</v>
      </c>
      <c r="K15" s="74">
        <v>5</v>
      </c>
      <c r="L15" s="74" t="str">
        <f t="shared" si="3"/>
        <v>■■■■40.0%</v>
      </c>
      <c r="M15" s="119" t="str">
        <f t="shared" si="2"/>
        <v/>
      </c>
    </row>
    <row r="16" spans="2:13">
      <c r="B16" s="96" t="s">
        <v>732</v>
      </c>
      <c r="C16" s="117" t="str">
        <f t="shared" si="1"/>
        <v>S-15-014</v>
      </c>
      <c r="D16" s="96">
        <v>2015</v>
      </c>
      <c r="E16" s="2" t="s">
        <v>733</v>
      </c>
      <c r="F16" s="96" t="s">
        <v>710</v>
      </c>
      <c r="G16" s="96" t="s">
        <v>714</v>
      </c>
      <c r="H16" s="118">
        <f>HLOOKUP(F16, $B$33:$E$35, MATCH(G16, {"영어","수학"}, -1) + 1)</f>
        <v>0.1</v>
      </c>
      <c r="I16" s="74">
        <v>6</v>
      </c>
      <c r="J16" s="74">
        <v>350</v>
      </c>
      <c r="K16" s="74">
        <v>5</v>
      </c>
      <c r="L16" s="74" t="str">
        <f t="shared" si="3"/>
        <v>■■■■■■■■■■■■120.0%</v>
      </c>
      <c r="M16" s="119" t="str">
        <f t="shared" si="2"/>
        <v>강의추가</v>
      </c>
    </row>
    <row r="17" spans="2:13">
      <c r="B17" s="96" t="s">
        <v>734</v>
      </c>
      <c r="C17" s="117" t="str">
        <f t="shared" si="1"/>
        <v>S-15-015</v>
      </c>
      <c r="D17" s="96">
        <v>2015</v>
      </c>
      <c r="E17" s="2" t="s">
        <v>728</v>
      </c>
      <c r="F17" s="96" t="s">
        <v>706</v>
      </c>
      <c r="G17" s="96" t="s">
        <v>714</v>
      </c>
      <c r="H17" s="118">
        <f>HLOOKUP(F17, $B$33:$E$35, MATCH(G17, {"영어","수학"}, -1) + 1)</f>
        <v>0.25</v>
      </c>
      <c r="I17" s="74">
        <v>2</v>
      </c>
      <c r="J17" s="74">
        <v>37</v>
      </c>
      <c r="K17" s="74">
        <v>2</v>
      </c>
      <c r="L17" s="74" t="str">
        <f t="shared" si="3"/>
        <v>■■■■■■■■■■100.0%</v>
      </c>
      <c r="M17" s="119" t="str">
        <f t="shared" si="2"/>
        <v/>
      </c>
    </row>
    <row r="18" spans="2:13">
      <c r="B18" s="96" t="s">
        <v>735</v>
      </c>
      <c r="C18" s="117" t="str">
        <f t="shared" si="1"/>
        <v>S-15-016</v>
      </c>
      <c r="D18" s="96">
        <v>2015</v>
      </c>
      <c r="E18" s="2" t="s">
        <v>736</v>
      </c>
      <c r="F18" s="96" t="s">
        <v>719</v>
      </c>
      <c r="G18" s="96" t="s">
        <v>714</v>
      </c>
      <c r="H18" s="118">
        <f>HLOOKUP(F18, $B$33:$E$35, MATCH(G18, {"영어","수학"}, -1) + 1)</f>
        <v>0.2</v>
      </c>
      <c r="I18" s="74">
        <v>3</v>
      </c>
      <c r="J18" s="74">
        <v>69</v>
      </c>
      <c r="K18" s="74">
        <v>9</v>
      </c>
      <c r="L18" s="74" t="str">
        <f t="shared" si="3"/>
        <v>■■■33.3%</v>
      </c>
      <c r="M18" s="119" t="str">
        <f t="shared" si="2"/>
        <v/>
      </c>
    </row>
    <row r="19" spans="2:13">
      <c r="B19" s="96" t="s">
        <v>737</v>
      </c>
      <c r="C19" s="117" t="str">
        <f t="shared" si="1"/>
        <v>S-15-017</v>
      </c>
      <c r="D19" s="96">
        <v>2015</v>
      </c>
      <c r="E19" s="2" t="s">
        <v>736</v>
      </c>
      <c r="F19" s="96" t="s">
        <v>710</v>
      </c>
      <c r="G19" s="96" t="s">
        <v>714</v>
      </c>
      <c r="H19" s="118">
        <f>HLOOKUP(F19, $B$33:$E$35, MATCH(G19, {"영어","수학"}, -1) + 1)</f>
        <v>0.1</v>
      </c>
      <c r="I19" s="74">
        <v>5</v>
      </c>
      <c r="J19" s="74">
        <v>53</v>
      </c>
      <c r="K19" s="74">
        <v>5</v>
      </c>
      <c r="L19" s="74" t="str">
        <f t="shared" si="3"/>
        <v>■■■■■■■■■■100.0%</v>
      </c>
      <c r="M19" s="119" t="str">
        <f t="shared" si="2"/>
        <v>강의축소</v>
      </c>
    </row>
    <row r="20" spans="2:13">
      <c r="B20" s="96" t="s">
        <v>738</v>
      </c>
      <c r="C20" s="117" t="str">
        <f t="shared" si="1"/>
        <v>S-15-018</v>
      </c>
      <c r="D20" s="96">
        <v>2015</v>
      </c>
      <c r="E20" s="2" t="s">
        <v>739</v>
      </c>
      <c r="F20" s="96" t="s">
        <v>719</v>
      </c>
      <c r="G20" s="96" t="s">
        <v>711</v>
      </c>
      <c r="H20" s="118">
        <f>HLOOKUP(F20, $B$33:$E$35, MATCH(G20, {"영어","수학"}, -1) + 1)</f>
        <v>0.1</v>
      </c>
      <c r="I20" s="74">
        <v>1</v>
      </c>
      <c r="J20" s="74">
        <v>28</v>
      </c>
      <c r="K20" s="74">
        <v>8</v>
      </c>
      <c r="L20" s="74" t="str">
        <f t="shared" si="3"/>
        <v>■12.5%</v>
      </c>
      <c r="M20" s="119" t="str">
        <f t="shared" si="2"/>
        <v/>
      </c>
    </row>
    <row r="21" spans="2:13">
      <c r="B21" s="96" t="s">
        <v>740</v>
      </c>
      <c r="C21" s="117" t="str">
        <f t="shared" si="1"/>
        <v>S-15-019</v>
      </c>
      <c r="D21" s="96">
        <v>2015</v>
      </c>
      <c r="E21" s="2" t="s">
        <v>741</v>
      </c>
      <c r="F21" s="96" t="s">
        <v>710</v>
      </c>
      <c r="G21" s="96" t="s">
        <v>711</v>
      </c>
      <c r="H21" s="118">
        <f>HLOOKUP(F21, $B$33:$E$35, MATCH(G21, {"영어","수학"}, -1) + 1)</f>
        <v>0.05</v>
      </c>
      <c r="I21" s="74">
        <v>1</v>
      </c>
      <c r="J21" s="74">
        <v>23</v>
      </c>
      <c r="K21" s="74"/>
      <c r="L21" s="74" t="str">
        <f t="shared" si="3"/>
        <v>신생강의</v>
      </c>
      <c r="M21" s="119" t="str">
        <f t="shared" si="2"/>
        <v/>
      </c>
    </row>
    <row r="22" spans="2:13">
      <c r="B22" s="96" t="s">
        <v>742</v>
      </c>
      <c r="C22" s="117" t="str">
        <f t="shared" si="1"/>
        <v>S-16-020</v>
      </c>
      <c r="D22" s="96">
        <v>2016</v>
      </c>
      <c r="E22" s="96" t="s">
        <v>709</v>
      </c>
      <c r="F22" s="96" t="s">
        <v>710</v>
      </c>
      <c r="G22" s="96" t="s">
        <v>711</v>
      </c>
      <c r="H22" s="118">
        <f>HLOOKUP(F22, $B$33:$E$35, MATCH(G22, {"영어","수학"}, -1) + 1)</f>
        <v>0.05</v>
      </c>
      <c r="I22" s="74">
        <v>5</v>
      </c>
      <c r="J22" s="74">
        <v>45</v>
      </c>
      <c r="K22" s="74">
        <v>4</v>
      </c>
      <c r="L22" s="74" t="str">
        <f t="shared" si="3"/>
        <v>■■■■■■■■■■■■125.0%</v>
      </c>
      <c r="M22" s="119" t="str">
        <f t="shared" si="2"/>
        <v>강의축소</v>
      </c>
    </row>
    <row r="23" spans="2:13">
      <c r="B23" s="96" t="s">
        <v>743</v>
      </c>
      <c r="C23" s="117" t="str">
        <f t="shared" si="1"/>
        <v>S-16-021</v>
      </c>
      <c r="D23" s="96">
        <v>2016</v>
      </c>
      <c r="E23" s="2" t="s">
        <v>741</v>
      </c>
      <c r="F23" s="96" t="s">
        <v>710</v>
      </c>
      <c r="G23" s="96" t="s">
        <v>711</v>
      </c>
      <c r="H23" s="118">
        <f>HLOOKUP(F23, $B$33:$E$35, MATCH(G23, {"영어","수학"}, -1) + 1)</f>
        <v>0.05</v>
      </c>
      <c r="I23" s="74">
        <v>4</v>
      </c>
      <c r="J23" s="74">
        <v>64</v>
      </c>
      <c r="K23" s="74">
        <v>5</v>
      </c>
      <c r="L23" s="74" t="str">
        <f t="shared" si="3"/>
        <v>■■■■■■■■80.0%</v>
      </c>
      <c r="M23" s="119" t="str">
        <f t="shared" si="2"/>
        <v/>
      </c>
    </row>
    <row r="24" spans="2:13">
      <c r="B24" s="96" t="s">
        <v>744</v>
      </c>
      <c r="C24" s="117" t="str">
        <f t="shared" si="1"/>
        <v>S-16-022</v>
      </c>
      <c r="D24" s="96">
        <v>2016</v>
      </c>
      <c r="E24" s="2" t="s">
        <v>725</v>
      </c>
      <c r="F24" s="96" t="s">
        <v>710</v>
      </c>
      <c r="G24" s="96" t="s">
        <v>714</v>
      </c>
      <c r="H24" s="118">
        <f>HLOOKUP(F24, $B$33:$E$35, MATCH(G24, {"영어","수학"}, -1) + 1)</f>
        <v>0.1</v>
      </c>
      <c r="I24" s="74">
        <v>4</v>
      </c>
      <c r="J24" s="74">
        <v>79</v>
      </c>
      <c r="K24" s="74">
        <v>5</v>
      </c>
      <c r="L24" s="74" t="str">
        <f t="shared" si="3"/>
        <v>■■■■■■■■80.0%</v>
      </c>
      <c r="M24" s="119" t="str">
        <f t="shared" si="2"/>
        <v/>
      </c>
    </row>
    <row r="25" spans="2:13">
      <c r="B25" s="96" t="s">
        <v>745</v>
      </c>
      <c r="C25" s="117" t="str">
        <f t="shared" si="1"/>
        <v>S-16-023</v>
      </c>
      <c r="D25" s="96">
        <v>2016</v>
      </c>
      <c r="E25" s="2" t="s">
        <v>736</v>
      </c>
      <c r="F25" s="96" t="s">
        <v>710</v>
      </c>
      <c r="G25" s="96" t="s">
        <v>714</v>
      </c>
      <c r="H25" s="118">
        <f>HLOOKUP(F25, $B$33:$E$35, MATCH(G25, {"영어","수학"}, -1) + 1)</f>
        <v>0.1</v>
      </c>
      <c r="I25" s="74">
        <v>3</v>
      </c>
      <c r="J25" s="74">
        <v>36</v>
      </c>
      <c r="K25" s="74">
        <v>3</v>
      </c>
      <c r="L25" s="74" t="str">
        <f t="shared" si="3"/>
        <v>■■■■■■■■■■100.0%</v>
      </c>
      <c r="M25" s="119" t="str">
        <f t="shared" si="2"/>
        <v>강의축소</v>
      </c>
    </row>
    <row r="26" spans="2:13">
      <c r="B26" s="96" t="s">
        <v>746</v>
      </c>
      <c r="C26" s="117" t="str">
        <f t="shared" si="1"/>
        <v>S-16-024</v>
      </c>
      <c r="D26" s="96">
        <v>2016</v>
      </c>
      <c r="E26" s="96" t="s">
        <v>713</v>
      </c>
      <c r="F26" s="96" t="s">
        <v>710</v>
      </c>
      <c r="G26" s="96" t="s">
        <v>707</v>
      </c>
      <c r="H26" s="118">
        <f>HLOOKUP(F26, $B$33:$E$35, MATCH(G26, {"영어","수학"}, -1) + 1)</f>
        <v>0.1</v>
      </c>
      <c r="I26" s="74">
        <v>6</v>
      </c>
      <c r="J26" s="74">
        <v>109</v>
      </c>
      <c r="K26" s="74">
        <v>5</v>
      </c>
      <c r="L26" s="74" t="str">
        <f t="shared" si="3"/>
        <v>■■■■■■■■■■■■120.0%</v>
      </c>
      <c r="M26" s="119" t="str">
        <f t="shared" si="2"/>
        <v/>
      </c>
    </row>
    <row r="27" spans="2:13">
      <c r="B27" s="96" t="s">
        <v>747</v>
      </c>
      <c r="C27" s="117" t="str">
        <f t="shared" si="1"/>
        <v>S-16-025</v>
      </c>
      <c r="D27" s="96">
        <v>2016</v>
      </c>
      <c r="E27" s="96" t="s">
        <v>721</v>
      </c>
      <c r="F27" s="96" t="s">
        <v>710</v>
      </c>
      <c r="G27" s="96" t="s">
        <v>707</v>
      </c>
      <c r="H27" s="118">
        <f>HLOOKUP(F27, $B$33:$E$35, MATCH(G27, {"영어","수학"}, -1) + 1)</f>
        <v>0.1</v>
      </c>
      <c r="I27" s="74">
        <v>2</v>
      </c>
      <c r="J27" s="74">
        <v>33</v>
      </c>
      <c r="K27" s="74">
        <v>5</v>
      </c>
      <c r="L27" s="74" t="str">
        <f t="shared" si="3"/>
        <v>■■■■40.0%</v>
      </c>
      <c r="M27" s="119" t="str">
        <f t="shared" si="2"/>
        <v/>
      </c>
    </row>
    <row r="28" spans="2:13">
      <c r="B28" s="96" t="s">
        <v>748</v>
      </c>
      <c r="C28" s="117" t="str">
        <f t="shared" si="1"/>
        <v>S-16-026</v>
      </c>
      <c r="D28" s="96">
        <v>2016</v>
      </c>
      <c r="E28" s="2" t="s">
        <v>733</v>
      </c>
      <c r="F28" s="96" t="s">
        <v>710</v>
      </c>
      <c r="G28" s="96" t="s">
        <v>714</v>
      </c>
      <c r="H28" s="118">
        <f>HLOOKUP(F28, $B$33:$E$35, MATCH(G28, {"영어","수학"}, -1) + 1)</f>
        <v>0.1</v>
      </c>
      <c r="I28" s="74">
        <v>1</v>
      </c>
      <c r="J28" s="74">
        <v>29</v>
      </c>
      <c r="K28" s="74">
        <v>4</v>
      </c>
      <c r="L28" s="74" t="str">
        <f t="shared" si="3"/>
        <v>■■25.0%</v>
      </c>
      <c r="M28" s="119" t="str">
        <f t="shared" si="2"/>
        <v/>
      </c>
    </row>
    <row r="29" spans="2:13">
      <c r="B29" s="96" t="s">
        <v>749</v>
      </c>
      <c r="C29" s="117" t="str">
        <f t="shared" si="1"/>
        <v>S-16-027</v>
      </c>
      <c r="D29" s="96">
        <v>2016</v>
      </c>
      <c r="E29" s="2" t="s">
        <v>718</v>
      </c>
      <c r="F29" s="96" t="s">
        <v>719</v>
      </c>
      <c r="G29" s="96" t="s">
        <v>711</v>
      </c>
      <c r="H29" s="118">
        <f>HLOOKUP(F29, $B$33:$E$35, MATCH(G29, {"영어","수학"}, -1) + 1)</f>
        <v>0.1</v>
      </c>
      <c r="I29" s="74">
        <v>5</v>
      </c>
      <c r="J29" s="74">
        <v>37</v>
      </c>
      <c r="K29" s="74">
        <v>6</v>
      </c>
      <c r="L29" s="74" t="str">
        <f t="shared" si="3"/>
        <v>■■■■■■■■83.3%</v>
      </c>
      <c r="M29" s="119" t="str">
        <f t="shared" si="2"/>
        <v>강의축소</v>
      </c>
    </row>
    <row r="30" spans="2:13">
      <c r="B30" s="96" t="s">
        <v>750</v>
      </c>
      <c r="C30" s="117" t="str">
        <f t="shared" si="1"/>
        <v>S-16-028</v>
      </c>
      <c r="D30" s="96">
        <v>2016</v>
      </c>
      <c r="E30" s="96" t="s">
        <v>721</v>
      </c>
      <c r="F30" s="96" t="s">
        <v>719</v>
      </c>
      <c r="G30" s="96" t="s">
        <v>707</v>
      </c>
      <c r="H30" s="118">
        <f>HLOOKUP(F30, $B$33:$E$35, MATCH(G30, {"영어","수학"}, -1) + 1)</f>
        <v>0.2</v>
      </c>
      <c r="I30" s="74">
        <v>6</v>
      </c>
      <c r="J30" s="74">
        <v>199</v>
      </c>
      <c r="K30" s="74">
        <v>7</v>
      </c>
      <c r="L30" s="74" t="str">
        <f t="shared" si="3"/>
        <v>■■■■■■■■85.7%</v>
      </c>
      <c r="M30" s="119" t="str">
        <f t="shared" si="2"/>
        <v>강의추가</v>
      </c>
    </row>
    <row r="31" spans="2:13">
      <c r="E31" s="38"/>
      <c r="F31" s="78"/>
      <c r="G31" s="78"/>
      <c r="H31" s="78"/>
      <c r="M31" s="120"/>
    </row>
    <row r="32" spans="2:13">
      <c r="B32" s="83" t="s">
        <v>751</v>
      </c>
      <c r="G32" s="83" t="s">
        <v>752</v>
      </c>
    </row>
    <row r="33" spans="2:10">
      <c r="B33" s="96" t="s">
        <v>697</v>
      </c>
      <c r="C33" s="96" t="s">
        <v>706</v>
      </c>
      <c r="D33" s="96" t="s">
        <v>719</v>
      </c>
      <c r="E33" s="96" t="s">
        <v>710</v>
      </c>
      <c r="G33" s="96" t="s">
        <v>753</v>
      </c>
      <c r="H33" s="92" t="s">
        <v>714</v>
      </c>
      <c r="I33" s="92" t="s">
        <v>711</v>
      </c>
      <c r="J33" s="92" t="s">
        <v>707</v>
      </c>
    </row>
    <row r="34" spans="2:10">
      <c r="B34" s="96" t="s">
        <v>711</v>
      </c>
      <c r="C34" s="79">
        <v>0.15</v>
      </c>
      <c r="D34" s="79">
        <v>0.1</v>
      </c>
      <c r="E34" s="48">
        <v>0.05</v>
      </c>
      <c r="G34" s="96">
        <v>1</v>
      </c>
      <c r="H34" s="96" t="str">
        <f t="array" ref="H34">INDEX($B$3:$K$30, MATCH(LARGE(($G$3:$G$30 = H$33) * $J$3:$J$30, $G34), $J$3:$J$30, 0),4)</f>
        <v>홍길동</v>
      </c>
      <c r="I34" s="190" t="str">
        <f t="array" ref="I34">INDEX($B$3:$K$30, MATCH(LARGE(($G$3:$G$30 = I$33) * $J$3:$J$30, $G34), $J$3:$J$30, 0),4)</f>
        <v>김인하</v>
      </c>
      <c r="J34" s="190" t="str">
        <f t="array" ref="J34">INDEX($B$3:$K$30, MATCH(LARGE(($G$3:$G$30 = J$33) * $J$3:$J$30, $G34), $J$3:$J$30, 0),4)</f>
        <v>박찬훈</v>
      </c>
    </row>
    <row r="35" spans="2:10">
      <c r="B35" s="96" t="s">
        <v>754</v>
      </c>
      <c r="C35" s="79">
        <v>0.25</v>
      </c>
      <c r="D35" s="79">
        <v>0.2</v>
      </c>
      <c r="E35" s="84">
        <v>0.1</v>
      </c>
      <c r="G35" s="96">
        <v>2</v>
      </c>
      <c r="H35" s="190" t="str">
        <f t="array" ref="H35">INDEX($B$3:$K$30, MATCH(LARGE(($G$3:$G$30 = H$33) * $J$3:$J$30, $G35), $J$3:$J$30, 0),4)</f>
        <v>황성호</v>
      </c>
      <c r="I35" s="190" t="str">
        <f t="array" ref="I35">INDEX($B$3:$K$30, MATCH(LARGE(($G$3:$G$30 = I$33) * $J$3:$J$30, $G35), $J$3:$J$30, 0),4)</f>
        <v>이명섭</v>
      </c>
      <c r="J35" s="190" t="str">
        <f t="array" ref="J35">INDEX($B$3:$K$30, MATCH(LARGE(($G$3:$G$30 = J$33) * $J$3:$J$30, $G35), $J$3:$J$30, 0),4)</f>
        <v>정재익</v>
      </c>
    </row>
    <row r="36" spans="2:10">
      <c r="D36" s="121"/>
      <c r="E36" s="82"/>
      <c r="F36" s="78"/>
      <c r="G36" s="96">
        <v>3</v>
      </c>
      <c r="H36" s="190" t="str">
        <f t="array" ref="H36">INDEX($B$3:$K$30, MATCH(LARGE(($G$3:$G$30 = H$33) * $J$3:$J$30, $G36), $J$3:$J$30, 0),4)</f>
        <v>한우규</v>
      </c>
      <c r="I36" s="190" t="str">
        <f t="array" ref="I36">INDEX($B$3:$K$30, MATCH(LARGE(($G$3:$G$30 = I$33) * $J$3:$J$30, $G36), $J$3:$J$30, 0),4)</f>
        <v>박준혁</v>
      </c>
      <c r="J36" s="190" t="str">
        <f t="array" ref="J36">INDEX($B$3:$K$30, MATCH(LARGE(($G$3:$G$30 = J$33) * $J$3:$J$30, $G36), $J$3:$J$30, 0),4)</f>
        <v>박찬훈</v>
      </c>
    </row>
    <row r="37" spans="2:10">
      <c r="C37" s="122"/>
    </row>
    <row r="38" spans="2:10">
      <c r="C38" s="122"/>
    </row>
    <row r="39" spans="2:10">
      <c r="C39" s="122"/>
    </row>
    <row r="40" spans="2:10">
      <c r="C40" s="122"/>
    </row>
    <row r="41" spans="2:10">
      <c r="C41" s="122"/>
    </row>
    <row r="42" spans="2:10">
      <c r="C42" s="122"/>
    </row>
    <row r="43" spans="2:10">
      <c r="C43" s="122"/>
    </row>
    <row r="44" spans="2:10">
      <c r="E44" s="82"/>
    </row>
    <row r="45" spans="2:10">
      <c r="E45" s="82"/>
    </row>
    <row r="46" spans="2:10">
      <c r="E46" s="82"/>
    </row>
    <row r="47" spans="2:10">
      <c r="E47" s="38"/>
    </row>
    <row r="48" spans="2:10">
      <c r="E48" s="38"/>
    </row>
    <row r="49" spans="5:5">
      <c r="E49" s="38"/>
    </row>
    <row r="50" spans="5:5">
      <c r="E50" s="38"/>
    </row>
    <row r="51" spans="5:5">
      <c r="E51" s="38"/>
    </row>
    <row r="52" spans="5:5">
      <c r="E52" s="38"/>
    </row>
    <row r="53" spans="5:5">
      <c r="E53" s="82"/>
    </row>
    <row r="54" spans="5:5">
      <c r="E54" s="82"/>
    </row>
    <row r="55" spans="5:5">
      <c r="E55" s="82"/>
    </row>
    <row r="56" spans="5:5">
      <c r="E56" s="38"/>
    </row>
    <row r="57" spans="5:5">
      <c r="E57" s="38"/>
    </row>
    <row r="58" spans="5:5">
      <c r="E58" s="38"/>
    </row>
  </sheetData>
  <phoneticPr fontId="4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J36"/>
  <sheetViews>
    <sheetView tabSelected="1" workbookViewId="0">
      <selection activeCell="I32" sqref="I32:J32"/>
    </sheetView>
  </sheetViews>
  <sheetFormatPr defaultRowHeight="16.5"/>
  <cols>
    <col min="2" max="2" width="7.125" bestFit="1" customWidth="1"/>
    <col min="3" max="3" width="14.125" bestFit="1" customWidth="1"/>
    <col min="4" max="4" width="12.375" bestFit="1" customWidth="1"/>
    <col min="5" max="5" width="9" bestFit="1" customWidth="1"/>
    <col min="6" max="7" width="13.5" bestFit="1" customWidth="1"/>
    <col min="8" max="8" width="13.875" bestFit="1" customWidth="1"/>
    <col min="9" max="9" width="12" customWidth="1"/>
    <col min="10" max="10" width="9" customWidth="1"/>
  </cols>
  <sheetData>
    <row r="1" spans="1:10">
      <c r="A1" t="s">
        <v>19</v>
      </c>
    </row>
    <row r="2" spans="1:10">
      <c r="A2" s="73" t="s">
        <v>498</v>
      </c>
      <c r="B2" s="73" t="s">
        <v>499</v>
      </c>
      <c r="C2" s="76" t="s">
        <v>500</v>
      </c>
      <c r="D2" s="93" t="s">
        <v>501</v>
      </c>
      <c r="E2" s="73" t="s">
        <v>502</v>
      </c>
      <c r="F2" s="73" t="s">
        <v>503</v>
      </c>
      <c r="G2" s="73" t="s">
        <v>504</v>
      </c>
      <c r="H2" s="73" t="s">
        <v>505</v>
      </c>
      <c r="I2" s="93" t="s">
        <v>506</v>
      </c>
      <c r="J2" s="93" t="s">
        <v>507</v>
      </c>
    </row>
    <row r="3" spans="1:10">
      <c r="A3" s="73" t="s">
        <v>508</v>
      </c>
      <c r="B3" s="73" t="s">
        <v>509</v>
      </c>
      <c r="C3" s="73" t="s">
        <v>510</v>
      </c>
      <c r="D3" s="73" t="str">
        <f>VLOOKUP(LEFT(A3, 2), $A$32:$B$36, 2, FALSE) &amp; "(" &amp; CHOOSE(MOD(RIGHT(A3, 3), 4) +1, "동부", "서부", "남부", "북부") &amp; ")"</f>
        <v>자영업(동부)</v>
      </c>
      <c r="E3" s="73">
        <v>21</v>
      </c>
      <c r="F3" s="94">
        <v>9870000</v>
      </c>
      <c r="G3" s="94">
        <v>5000000</v>
      </c>
      <c r="H3" s="73">
        <v>3</v>
      </c>
      <c r="I3" s="212">
        <f ca="1">IFERROR(PMT(OFFSET($B$31, MATCH(LEFT(A3, 2), $A$32:$A$36, 0), H3) / 12, H3 * 12, -G3), "대출없음")</f>
        <v>150979.50902155141</v>
      </c>
      <c r="J3" s="73" t="str">
        <f>fn비고_3(E3, F3)</f>
        <v/>
      </c>
    </row>
    <row r="4" spans="1:10">
      <c r="A4" s="73" t="s">
        <v>511</v>
      </c>
      <c r="B4" s="73" t="s">
        <v>512</v>
      </c>
      <c r="C4" s="73" t="s">
        <v>513</v>
      </c>
      <c r="D4" s="190" t="str">
        <f t="shared" ref="D4:D27" si="0">VLOOKUP(LEFT(A4, 2), $A$32:$B$36, 2, FALSE) &amp; "(" &amp; CHOOSE(MOD(RIGHT(A4, 3), 4) +1, "동부", "서부", "남부", "북부") &amp; ")"</f>
        <v>회사원(북부)</v>
      </c>
      <c r="E4" s="73">
        <v>25</v>
      </c>
      <c r="F4" s="94">
        <v>11750000</v>
      </c>
      <c r="G4" s="94">
        <v>7000000</v>
      </c>
      <c r="H4" s="73">
        <v>2</v>
      </c>
      <c r="I4" s="212">
        <f t="shared" ref="I4:I27" ca="1" si="1">IFERROR(PMT(OFFSET($B$31, MATCH(LEFT(A4, 2), $A$32:$A$36, 0), H4) / 12, H4 * 12, -G4), "대출없음")</f>
        <v>308041.06925023685</v>
      </c>
      <c r="J4" s="190" t="str">
        <f t="shared" ref="J4:J27" si="2">fn비고_3(E4, F4)</f>
        <v/>
      </c>
    </row>
    <row r="5" spans="1:10">
      <c r="A5" s="73" t="s">
        <v>514</v>
      </c>
      <c r="B5" s="73" t="s">
        <v>515</v>
      </c>
      <c r="C5" s="73" t="s">
        <v>516</v>
      </c>
      <c r="D5" s="190" t="str">
        <f t="shared" si="0"/>
        <v>공무원(북부)</v>
      </c>
      <c r="E5" s="73">
        <v>12</v>
      </c>
      <c r="F5" s="94">
        <v>5640000</v>
      </c>
      <c r="G5" s="94">
        <v>5500000</v>
      </c>
      <c r="H5" s="73">
        <v>2</v>
      </c>
      <c r="I5" s="212">
        <f t="shared" ca="1" si="1"/>
        <v>240308.5965616304</v>
      </c>
      <c r="J5" s="190" t="str">
        <f t="shared" si="2"/>
        <v/>
      </c>
    </row>
    <row r="6" spans="1:10">
      <c r="A6" s="73" t="s">
        <v>517</v>
      </c>
      <c r="B6" s="73" t="s">
        <v>518</v>
      </c>
      <c r="C6" s="73" t="s">
        <v>519</v>
      </c>
      <c r="D6" s="190" t="str">
        <f t="shared" si="0"/>
        <v>의사(동부)</v>
      </c>
      <c r="E6" s="73">
        <v>12</v>
      </c>
      <c r="F6" s="94">
        <v>5640000</v>
      </c>
      <c r="G6" s="94">
        <v>2000000</v>
      </c>
      <c r="H6" s="73">
        <v>4</v>
      </c>
      <c r="I6" s="212">
        <f t="shared" ca="1" si="1"/>
        <v>45427.096547435249</v>
      </c>
      <c r="J6" s="190" t="str">
        <f t="shared" si="2"/>
        <v/>
      </c>
    </row>
    <row r="7" spans="1:10">
      <c r="A7" s="73" t="s">
        <v>520</v>
      </c>
      <c r="B7" s="73" t="s">
        <v>521</v>
      </c>
      <c r="C7" s="73" t="s">
        <v>522</v>
      </c>
      <c r="D7" s="190" t="str">
        <f t="shared" si="0"/>
        <v>자영업(동부)</v>
      </c>
      <c r="E7" s="73">
        <v>15</v>
      </c>
      <c r="F7" s="94">
        <v>7050000</v>
      </c>
      <c r="G7" s="94">
        <v>5000000</v>
      </c>
      <c r="H7" s="73">
        <v>1</v>
      </c>
      <c r="I7" s="212">
        <f t="shared" ca="1" si="1"/>
        <v>431482.08480140701</v>
      </c>
      <c r="J7" s="190" t="str">
        <f t="shared" si="2"/>
        <v/>
      </c>
    </row>
    <row r="8" spans="1:10">
      <c r="A8" s="73" t="s">
        <v>523</v>
      </c>
      <c r="B8" s="73" t="s">
        <v>524</v>
      </c>
      <c r="C8" s="73" t="s">
        <v>525</v>
      </c>
      <c r="D8" s="190" t="str">
        <f t="shared" si="0"/>
        <v>의사(동부)</v>
      </c>
      <c r="E8" s="73">
        <v>57</v>
      </c>
      <c r="F8" s="94">
        <v>26790000</v>
      </c>
      <c r="G8" s="94" t="s">
        <v>526</v>
      </c>
      <c r="H8" s="73" t="s">
        <v>526</v>
      </c>
      <c r="I8" s="212" t="str">
        <f t="shared" ca="1" si="1"/>
        <v>대출없음</v>
      </c>
      <c r="J8" s="190" t="str">
        <f t="shared" si="2"/>
        <v>VIP고객</v>
      </c>
    </row>
    <row r="9" spans="1:10">
      <c r="A9" s="73" t="s">
        <v>527</v>
      </c>
      <c r="B9" s="73" t="s">
        <v>528</v>
      </c>
      <c r="C9" s="73" t="s">
        <v>529</v>
      </c>
      <c r="D9" s="190" t="str">
        <f t="shared" si="0"/>
        <v>자영업(서부)</v>
      </c>
      <c r="E9" s="73">
        <v>5</v>
      </c>
      <c r="F9" s="94">
        <v>2350000</v>
      </c>
      <c r="G9" s="94" t="s">
        <v>526</v>
      </c>
      <c r="H9" s="73" t="s">
        <v>526</v>
      </c>
      <c r="I9" s="212" t="str">
        <f t="shared" ca="1" si="1"/>
        <v>대출없음</v>
      </c>
      <c r="J9" s="190" t="str">
        <f t="shared" si="2"/>
        <v/>
      </c>
    </row>
    <row r="10" spans="1:10">
      <c r="A10" s="73" t="s">
        <v>530</v>
      </c>
      <c r="B10" s="73" t="s">
        <v>531</v>
      </c>
      <c r="C10" s="73" t="s">
        <v>532</v>
      </c>
      <c r="D10" s="190" t="str">
        <f t="shared" si="0"/>
        <v>공무원(서부)</v>
      </c>
      <c r="E10" s="73">
        <v>56</v>
      </c>
      <c r="F10" s="94">
        <v>26320000</v>
      </c>
      <c r="G10" s="94">
        <v>23000000</v>
      </c>
      <c r="H10" s="73">
        <v>5</v>
      </c>
      <c r="I10" s="212">
        <f t="shared" ca="1" si="1"/>
        <v>417380.91270801274</v>
      </c>
      <c r="J10" s="190" t="str">
        <f t="shared" si="2"/>
        <v>VIP고객</v>
      </c>
    </row>
    <row r="11" spans="1:10">
      <c r="A11" s="73" t="s">
        <v>533</v>
      </c>
      <c r="B11" s="73" t="s">
        <v>534</v>
      </c>
      <c r="C11" s="73" t="s">
        <v>535</v>
      </c>
      <c r="D11" s="190" t="str">
        <f t="shared" si="0"/>
        <v>변호사(남부)</v>
      </c>
      <c r="E11" s="73">
        <v>35</v>
      </c>
      <c r="F11" s="94">
        <v>16450000</v>
      </c>
      <c r="G11" s="94">
        <v>10000000</v>
      </c>
      <c r="H11" s="73">
        <v>3</v>
      </c>
      <c r="I11" s="212">
        <f t="shared" ca="1" si="1"/>
        <v>298811.84143792582</v>
      </c>
      <c r="J11" s="190" t="str">
        <f t="shared" si="2"/>
        <v/>
      </c>
    </row>
    <row r="12" spans="1:10">
      <c r="A12" s="73" t="s">
        <v>536</v>
      </c>
      <c r="B12" s="73" t="s">
        <v>537</v>
      </c>
      <c r="C12" s="73" t="s">
        <v>538</v>
      </c>
      <c r="D12" s="190" t="str">
        <f t="shared" si="0"/>
        <v>의사(북부)</v>
      </c>
      <c r="E12" s="73">
        <v>36</v>
      </c>
      <c r="F12" s="94">
        <v>16920000</v>
      </c>
      <c r="G12" s="94">
        <v>7000000</v>
      </c>
      <c r="H12" s="73">
        <v>1</v>
      </c>
      <c r="I12" s="212">
        <f t="shared" ca="1" si="1"/>
        <v>601821.71410148533</v>
      </c>
      <c r="J12" s="190" t="str">
        <f t="shared" si="2"/>
        <v/>
      </c>
    </row>
    <row r="13" spans="1:10">
      <c r="A13" s="73" t="s">
        <v>539</v>
      </c>
      <c r="B13" s="73" t="s">
        <v>540</v>
      </c>
      <c r="C13" s="73" t="s">
        <v>541</v>
      </c>
      <c r="D13" s="190" t="str">
        <f t="shared" si="0"/>
        <v>의사(동부)</v>
      </c>
      <c r="E13" s="73">
        <v>15</v>
      </c>
      <c r="F13" s="94">
        <v>7050000</v>
      </c>
      <c r="G13" s="94">
        <v>5000000</v>
      </c>
      <c r="H13" s="73">
        <v>1</v>
      </c>
      <c r="I13" s="212">
        <f t="shared" ca="1" si="1"/>
        <v>429872.65292963234</v>
      </c>
      <c r="J13" s="190" t="str">
        <f t="shared" si="2"/>
        <v/>
      </c>
    </row>
    <row r="14" spans="1:10">
      <c r="A14" s="73" t="s">
        <v>542</v>
      </c>
      <c r="B14" s="73" t="s">
        <v>543</v>
      </c>
      <c r="C14" s="73" t="s">
        <v>544</v>
      </c>
      <c r="D14" s="190" t="str">
        <f t="shared" si="0"/>
        <v>자영업(서부)</v>
      </c>
      <c r="E14" s="73">
        <v>25</v>
      </c>
      <c r="F14" s="94">
        <v>11750000</v>
      </c>
      <c r="G14" s="94">
        <v>10000000</v>
      </c>
      <c r="H14" s="73">
        <v>5</v>
      </c>
      <c r="I14" s="212">
        <f t="shared" ca="1" si="1"/>
        <v>186430.1924151665</v>
      </c>
      <c r="J14" s="190" t="str">
        <f t="shared" si="2"/>
        <v/>
      </c>
    </row>
    <row r="15" spans="1:10">
      <c r="A15" s="73" t="s">
        <v>545</v>
      </c>
      <c r="B15" s="73" t="s">
        <v>546</v>
      </c>
      <c r="C15" s="73" t="s">
        <v>547</v>
      </c>
      <c r="D15" s="190" t="str">
        <f t="shared" si="0"/>
        <v>회사원(남부)</v>
      </c>
      <c r="E15" s="73">
        <v>56</v>
      </c>
      <c r="F15" s="94">
        <v>29320000</v>
      </c>
      <c r="G15" s="94">
        <v>20000000</v>
      </c>
      <c r="H15" s="73">
        <v>5</v>
      </c>
      <c r="I15" s="212">
        <f t="shared" ca="1" si="1"/>
        <v>366528.09309015982</v>
      </c>
      <c r="J15" s="190" t="str">
        <f t="shared" si="2"/>
        <v>VIP고객</v>
      </c>
    </row>
    <row r="16" spans="1:10">
      <c r="A16" s="73" t="s">
        <v>548</v>
      </c>
      <c r="B16" s="73" t="s">
        <v>549</v>
      </c>
      <c r="C16" s="73" t="s">
        <v>550</v>
      </c>
      <c r="D16" s="190" t="str">
        <f t="shared" si="0"/>
        <v>의사(서부)</v>
      </c>
      <c r="E16" s="73">
        <v>4</v>
      </c>
      <c r="F16" s="94">
        <v>1880000</v>
      </c>
      <c r="G16" s="73" t="s">
        <v>526</v>
      </c>
      <c r="H16" s="73" t="s">
        <v>526</v>
      </c>
      <c r="I16" s="212" t="str">
        <f t="shared" ca="1" si="1"/>
        <v>대출없음</v>
      </c>
      <c r="J16" s="190" t="str">
        <f t="shared" si="2"/>
        <v/>
      </c>
    </row>
    <row r="17" spans="1:10">
      <c r="A17" s="73" t="s">
        <v>551</v>
      </c>
      <c r="B17" s="73" t="s">
        <v>552</v>
      </c>
      <c r="C17" s="73" t="s">
        <v>553</v>
      </c>
      <c r="D17" s="190" t="str">
        <f t="shared" si="0"/>
        <v>회사원(서부)</v>
      </c>
      <c r="E17" s="73">
        <v>25</v>
      </c>
      <c r="F17" s="94">
        <v>11750000</v>
      </c>
      <c r="G17" s="94">
        <v>5000000</v>
      </c>
      <c r="H17" s="73">
        <v>2</v>
      </c>
      <c r="I17" s="212">
        <f t="shared" ca="1" si="1"/>
        <v>220029.33517874058</v>
      </c>
      <c r="J17" s="190" t="str">
        <f t="shared" si="2"/>
        <v/>
      </c>
    </row>
    <row r="18" spans="1:10">
      <c r="A18" s="73" t="s">
        <v>554</v>
      </c>
      <c r="B18" s="73" t="s">
        <v>555</v>
      </c>
      <c r="C18" s="73" t="s">
        <v>556</v>
      </c>
      <c r="D18" s="190" t="str">
        <f t="shared" si="0"/>
        <v>자영업(북부)</v>
      </c>
      <c r="E18" s="73">
        <v>51</v>
      </c>
      <c r="F18" s="94">
        <v>23970000</v>
      </c>
      <c r="G18" s="94">
        <v>15000000</v>
      </c>
      <c r="H18" s="73">
        <v>1</v>
      </c>
      <c r="I18" s="212">
        <f t="shared" ca="1" si="1"/>
        <v>1294446.254404221</v>
      </c>
      <c r="J18" s="190" t="str">
        <f t="shared" si="2"/>
        <v>VIP고객</v>
      </c>
    </row>
    <row r="19" spans="1:10">
      <c r="A19" s="73" t="s">
        <v>557</v>
      </c>
      <c r="B19" s="73" t="s">
        <v>558</v>
      </c>
      <c r="C19" s="73" t="s">
        <v>559</v>
      </c>
      <c r="D19" s="190" t="str">
        <f t="shared" si="0"/>
        <v>회사원(동부)</v>
      </c>
      <c r="E19" s="73">
        <v>5</v>
      </c>
      <c r="F19" s="94">
        <v>2350000</v>
      </c>
      <c r="G19" s="94">
        <v>2000000</v>
      </c>
      <c r="H19" s="73">
        <v>4</v>
      </c>
      <c r="I19" s="212">
        <f t="shared" ca="1" si="1"/>
        <v>45337.323944525269</v>
      </c>
      <c r="J19" s="190" t="str">
        <f t="shared" si="2"/>
        <v/>
      </c>
    </row>
    <row r="20" spans="1:10">
      <c r="A20" s="73" t="s">
        <v>560</v>
      </c>
      <c r="B20" s="73" t="s">
        <v>561</v>
      </c>
      <c r="C20" s="73" t="s">
        <v>562</v>
      </c>
      <c r="D20" s="190" t="str">
        <f t="shared" si="0"/>
        <v>회사원(북부)</v>
      </c>
      <c r="E20" s="73">
        <v>20</v>
      </c>
      <c r="F20" s="94">
        <v>9400000</v>
      </c>
      <c r="G20" s="73" t="s">
        <v>563</v>
      </c>
      <c r="H20" s="73" t="s">
        <v>563</v>
      </c>
      <c r="I20" s="212" t="str">
        <f t="shared" ca="1" si="1"/>
        <v>대출없음</v>
      </c>
      <c r="J20" s="190" t="str">
        <f t="shared" si="2"/>
        <v/>
      </c>
    </row>
    <row r="21" spans="1:10">
      <c r="A21" s="73" t="s">
        <v>564</v>
      </c>
      <c r="B21" s="73" t="s">
        <v>565</v>
      </c>
      <c r="C21" s="73" t="s">
        <v>566</v>
      </c>
      <c r="D21" s="190" t="str">
        <f t="shared" si="0"/>
        <v>회사원(남부)</v>
      </c>
      <c r="E21" s="73">
        <v>25</v>
      </c>
      <c r="F21" s="94">
        <v>11750000</v>
      </c>
      <c r="G21" s="94">
        <v>10000000</v>
      </c>
      <c r="H21" s="73">
        <v>3</v>
      </c>
      <c r="I21" s="212">
        <f t="shared" ca="1" si="1"/>
        <v>297469.2447837558</v>
      </c>
      <c r="J21" s="190" t="str">
        <f t="shared" si="2"/>
        <v/>
      </c>
    </row>
    <row r="22" spans="1:10">
      <c r="A22" s="73" t="s">
        <v>567</v>
      </c>
      <c r="B22" s="73" t="s">
        <v>568</v>
      </c>
      <c r="C22" s="73" t="s">
        <v>569</v>
      </c>
      <c r="D22" s="190" t="str">
        <f t="shared" si="0"/>
        <v>의사(서부)</v>
      </c>
      <c r="E22" s="73">
        <v>31</v>
      </c>
      <c r="F22" s="94">
        <v>14570000</v>
      </c>
      <c r="G22" s="94">
        <v>10000000</v>
      </c>
      <c r="H22" s="73">
        <v>4</v>
      </c>
      <c r="I22" s="212">
        <f t="shared" ca="1" si="1"/>
        <v>227135.48273717627</v>
      </c>
      <c r="J22" s="190" t="str">
        <f t="shared" si="2"/>
        <v/>
      </c>
    </row>
    <row r="23" spans="1:10">
      <c r="A23" s="73" t="s">
        <v>570</v>
      </c>
      <c r="B23" s="73" t="s">
        <v>571</v>
      </c>
      <c r="C23" s="73" t="s">
        <v>572</v>
      </c>
      <c r="D23" s="190" t="str">
        <f t="shared" si="0"/>
        <v>의사(남부)</v>
      </c>
      <c r="E23" s="73">
        <v>17</v>
      </c>
      <c r="F23" s="94">
        <v>7990000</v>
      </c>
      <c r="G23" s="94">
        <v>10000000</v>
      </c>
      <c r="H23" s="73">
        <v>2</v>
      </c>
      <c r="I23" s="212">
        <f t="shared" ca="1" si="1"/>
        <v>440058.67035748117</v>
      </c>
      <c r="J23" s="190" t="str">
        <f t="shared" si="2"/>
        <v/>
      </c>
    </row>
    <row r="24" spans="1:10">
      <c r="A24" s="73" t="s">
        <v>573</v>
      </c>
      <c r="B24" s="73" t="s">
        <v>574</v>
      </c>
      <c r="C24" s="73" t="s">
        <v>575</v>
      </c>
      <c r="D24" s="190" t="str">
        <f t="shared" si="0"/>
        <v>자영업(서부)</v>
      </c>
      <c r="E24" s="73">
        <v>23</v>
      </c>
      <c r="F24" s="94">
        <v>10810000</v>
      </c>
      <c r="G24" s="94">
        <v>10000000</v>
      </c>
      <c r="H24" s="73">
        <v>1</v>
      </c>
      <c r="I24" s="212">
        <f t="shared" ca="1" si="1"/>
        <v>862964.16960281401</v>
      </c>
      <c r="J24" s="190" t="str">
        <f t="shared" si="2"/>
        <v/>
      </c>
    </row>
    <row r="25" spans="1:10">
      <c r="A25" s="73" t="s">
        <v>576</v>
      </c>
      <c r="B25" s="73" t="s">
        <v>577</v>
      </c>
      <c r="C25" s="73" t="s">
        <v>578</v>
      </c>
      <c r="D25" s="190" t="str">
        <f t="shared" si="0"/>
        <v>회사원(북부)</v>
      </c>
      <c r="E25" s="73">
        <v>19</v>
      </c>
      <c r="F25" s="94">
        <v>8930000</v>
      </c>
      <c r="G25" s="94">
        <v>10000000</v>
      </c>
      <c r="H25" s="73">
        <v>2</v>
      </c>
      <c r="I25" s="212">
        <f t="shared" ca="1" si="1"/>
        <v>440058.67035748117</v>
      </c>
      <c r="J25" s="190" t="str">
        <f t="shared" si="2"/>
        <v/>
      </c>
    </row>
    <row r="26" spans="1:10">
      <c r="A26" s="73" t="s">
        <v>579</v>
      </c>
      <c r="B26" s="73" t="s">
        <v>580</v>
      </c>
      <c r="C26" s="73" t="s">
        <v>581</v>
      </c>
      <c r="D26" s="190" t="str">
        <f t="shared" si="0"/>
        <v>회사원(북부)</v>
      </c>
      <c r="E26" s="73">
        <v>11</v>
      </c>
      <c r="F26" s="94">
        <v>5170000</v>
      </c>
      <c r="G26" s="94">
        <v>10000000</v>
      </c>
      <c r="H26" s="73">
        <v>3</v>
      </c>
      <c r="I26" s="212">
        <f t="shared" ca="1" si="1"/>
        <v>297469.2447837558</v>
      </c>
      <c r="J26" s="190" t="str">
        <f t="shared" si="2"/>
        <v/>
      </c>
    </row>
    <row r="27" spans="1:10">
      <c r="A27" s="73" t="s">
        <v>582</v>
      </c>
      <c r="B27" s="73" t="s">
        <v>583</v>
      </c>
      <c r="C27" s="73" t="s">
        <v>584</v>
      </c>
      <c r="D27" s="190" t="str">
        <f t="shared" si="0"/>
        <v>공무원(북부)</v>
      </c>
      <c r="E27" s="73">
        <v>21</v>
      </c>
      <c r="F27" s="94">
        <v>9870000</v>
      </c>
      <c r="G27" s="73" t="s">
        <v>585</v>
      </c>
      <c r="H27" s="73" t="s">
        <v>585</v>
      </c>
      <c r="I27" s="212" t="str">
        <f t="shared" ca="1" si="1"/>
        <v>대출없음</v>
      </c>
      <c r="J27" s="190" t="str">
        <f t="shared" si="2"/>
        <v/>
      </c>
    </row>
    <row r="28" spans="1:10">
      <c r="F28" s="95"/>
    </row>
    <row r="29" spans="1:10">
      <c r="A29" s="83" t="s">
        <v>586</v>
      </c>
    </row>
    <row r="30" spans="1:10">
      <c r="C30" s="202" t="s">
        <v>587</v>
      </c>
      <c r="D30" s="202"/>
      <c r="E30" s="202"/>
      <c r="F30" s="202"/>
      <c r="G30" s="202"/>
      <c r="H30" s="206" t="s">
        <v>588</v>
      </c>
      <c r="I30" s="208" t="s">
        <v>589</v>
      </c>
      <c r="J30" s="209"/>
    </row>
    <row r="31" spans="1:10">
      <c r="A31" s="73" t="s">
        <v>590</v>
      </c>
      <c r="B31" s="97" t="s">
        <v>591</v>
      </c>
      <c r="C31" s="73">
        <v>1</v>
      </c>
      <c r="D31" s="73">
        <v>2</v>
      </c>
      <c r="E31" s="73">
        <v>3</v>
      </c>
      <c r="F31" s="73">
        <v>4</v>
      </c>
      <c r="G31" s="73">
        <v>5</v>
      </c>
      <c r="H31" s="207"/>
      <c r="I31" s="210"/>
      <c r="J31" s="211"/>
    </row>
    <row r="32" spans="1:10">
      <c r="A32" s="98" t="s">
        <v>592</v>
      </c>
      <c r="B32" s="98" t="s">
        <v>593</v>
      </c>
      <c r="C32" s="99">
        <v>6.5000000000000002E-2</v>
      </c>
      <c r="D32" s="99">
        <v>0.06</v>
      </c>
      <c r="E32" s="99">
        <v>5.5E-2</v>
      </c>
      <c r="F32" s="99">
        <v>0.05</v>
      </c>
      <c r="G32" s="99">
        <v>4.4999999999999998E-2</v>
      </c>
      <c r="H32" s="100" t="str">
        <f t="array" ref="H32">TEXT(MAXA(IF((LEFT($A$3:$A$27,2)=$A32),$G$3:$G$27)), "\#,##0원")</f>
        <v>₩15,000,000원</v>
      </c>
      <c r="I32" s="202" t="str">
        <f>INDEX($A$3:$H$27, MATCH(MIN($E$3:$E$27), $E$3:$E$27, 0), 2)</f>
        <v>오수진</v>
      </c>
      <c r="J32" s="202"/>
    </row>
    <row r="33" spans="1:8">
      <c r="A33" s="73" t="s">
        <v>594</v>
      </c>
      <c r="B33" s="73" t="s">
        <v>595</v>
      </c>
      <c r="C33" s="99">
        <v>5.5E-2</v>
      </c>
      <c r="D33" s="99">
        <v>5.2999999999999999E-2</v>
      </c>
      <c r="E33" s="99">
        <v>4.4999999999999998E-2</v>
      </c>
      <c r="F33" s="99">
        <v>4.2000000000000003E-2</v>
      </c>
      <c r="G33" s="99">
        <v>3.7999999999999999E-2</v>
      </c>
      <c r="H33" s="100" t="str">
        <f t="array" ref="H33">TEXT(MAXA(IF((LEFT($A$3:$A$27,2)=$A33),$G$3:$G$27)), "\#,##0원")</f>
        <v>₩20,000,000원</v>
      </c>
    </row>
    <row r="34" spans="1:8">
      <c r="A34" s="73" t="s">
        <v>596</v>
      </c>
      <c r="B34" s="73" t="s">
        <v>597</v>
      </c>
      <c r="C34" s="99">
        <v>0.05</v>
      </c>
      <c r="D34" s="99">
        <v>4.5999999999999999E-2</v>
      </c>
      <c r="E34" s="99">
        <v>4.2000000000000003E-2</v>
      </c>
      <c r="F34" s="99">
        <v>3.7999999999999999E-2</v>
      </c>
      <c r="G34" s="99">
        <v>3.4000000000000002E-2</v>
      </c>
      <c r="H34" s="100" t="str">
        <f t="array" ref="H34">TEXT(MAXA(IF((LEFT($A$3:$A$27,2)=$A34),$G$3:$G$27)), "\#,##0원")</f>
        <v>₩23,000,000원</v>
      </c>
    </row>
    <row r="35" spans="1:8">
      <c r="A35" s="73" t="s">
        <v>598</v>
      </c>
      <c r="B35" s="73" t="s">
        <v>599</v>
      </c>
      <c r="C35" s="99">
        <v>5.8000000000000003E-2</v>
      </c>
      <c r="D35" s="99">
        <v>5.2999999999999999E-2</v>
      </c>
      <c r="E35" s="99">
        <v>4.8000000000000001E-2</v>
      </c>
      <c r="F35" s="99">
        <v>4.2999999999999997E-2</v>
      </c>
      <c r="G35" s="99">
        <v>3.7999999999999999E-2</v>
      </c>
      <c r="H35" s="100" t="str">
        <f t="array" ref="H35">TEXT(MAXA(IF((LEFT($A$3:$A$27,2)=$A35),$G$3:$G$27)), "\#,##0원")</f>
        <v>₩10,000,000원</v>
      </c>
    </row>
    <row r="36" spans="1:8">
      <c r="A36" s="73" t="s">
        <v>600</v>
      </c>
      <c r="B36" s="73" t="s">
        <v>601</v>
      </c>
      <c r="C36" s="99">
        <v>5.8000000000000003E-2</v>
      </c>
      <c r="D36" s="99">
        <v>5.2999999999999999E-2</v>
      </c>
      <c r="E36" s="99">
        <v>4.8000000000000001E-2</v>
      </c>
      <c r="F36" s="99">
        <v>4.2999999999999997E-2</v>
      </c>
      <c r="G36" s="99">
        <v>3.7999999999999999E-2</v>
      </c>
      <c r="H36" s="100" t="str">
        <f t="array" ref="H36">TEXT(MAXA(IF((LEFT($A$3:$A$27,2)=$A36),$G$3:$G$27)), "\#,##0원")</f>
        <v>₩10,000,000원</v>
      </c>
    </row>
  </sheetData>
  <mergeCells count="4">
    <mergeCell ref="C30:G30"/>
    <mergeCell ref="H30:H31"/>
    <mergeCell ref="I30:J31"/>
    <mergeCell ref="I32:J32"/>
  </mergeCells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20</vt:i4>
      </vt:variant>
    </vt:vector>
  </HeadingPairs>
  <TitlesOfParts>
    <vt:vector size="20" baseType="lpstr">
      <vt:lpstr>실전A형</vt:lpstr>
      <vt:lpstr>실전B형</vt:lpstr>
      <vt:lpstr>실전C형</vt:lpstr>
      <vt:lpstr>실전D형</vt:lpstr>
      <vt:lpstr>실전E형</vt:lpstr>
      <vt:lpstr>실전F형</vt:lpstr>
      <vt:lpstr>실전G형</vt:lpstr>
      <vt:lpstr>실전H형</vt:lpstr>
      <vt:lpstr>실전I형</vt:lpstr>
      <vt:lpstr>실전J형</vt:lpstr>
      <vt:lpstr>19년1회E형</vt:lpstr>
      <vt:lpstr>18년2회E형</vt:lpstr>
      <vt:lpstr>18년1회E형</vt:lpstr>
      <vt:lpstr>17년상시</vt:lpstr>
      <vt:lpstr>17년1회E형</vt:lpstr>
      <vt:lpstr>16년3회E형</vt:lpstr>
      <vt:lpstr>16년2회E형</vt:lpstr>
      <vt:lpstr>16년1회E형</vt:lpstr>
      <vt:lpstr>15년3회E형</vt:lpstr>
      <vt:lpstr>15년상시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SungJin Park</cp:lastModifiedBy>
  <dcterms:created xsi:type="dcterms:W3CDTF">2011-07-03T13:35:24Z</dcterms:created>
  <dcterms:modified xsi:type="dcterms:W3CDTF">2020-02-29T07:38:58Z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44d9428c-0703-4f2f-9cf3-1ca5c0a03598</vt:lpwstr>
  </property>
</Properties>
</file>